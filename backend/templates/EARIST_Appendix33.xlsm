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OneDrive\Desktop\HRIS_ADVANCE\HRIS\backend\templates\"/>
    </mc:Choice>
  </mc:AlternateContent>
  <xr:revisionPtr revIDLastSave="0" documentId="8_{BF10CF4A-A00C-4B5B-AB53-5121FDC4D846}" xr6:coauthVersionLast="47" xr6:coauthVersionMax="47" xr10:uidLastSave="{00000000-0000-0000-0000-000000000000}"/>
  <bookViews>
    <workbookView xWindow="-120" yWindow="-120" windowWidth="29040" windowHeight="15720" tabRatio="850" firstSheet="31" activeTab="40" xr2:uid="{00000000-000D-0000-FFFF-FFFF00000000}"/>
  </bookViews>
  <sheets>
    <sheet name="Payroll" sheetId="3" state="hidden" r:id="rId1"/>
    <sheet name="SUMMARY" sheetId="14" r:id="rId2"/>
    <sheet name="WTAX-GEN.AD" sheetId="4" r:id="rId3"/>
    <sheet name="GEN.AD - PAY" sheetId="1" r:id="rId4"/>
    <sheet name="GEN.AD - DEDS" sheetId="2" r:id="rId5"/>
    <sheet name="WTAX-AUX" sheetId="5" r:id="rId6"/>
    <sheet name="AUX - PAY" sheetId="6" r:id="rId7"/>
    <sheet name="AUX - DEDS" sheetId="7" r:id="rId8"/>
    <sheet name="WTAX-CEN" sheetId="8" r:id="rId9"/>
    <sheet name="CEN - PAY" sheetId="9" r:id="rId10"/>
    <sheet name="CEN - DEDS" sheetId="10" r:id="rId11"/>
    <sheet name="WTAX-CIT" sheetId="11" r:id="rId12"/>
    <sheet name="CIT - PAY" sheetId="12" r:id="rId13"/>
    <sheet name="CIT - DEDS" sheetId="13" r:id="rId14"/>
    <sheet name="WTAX-CBPA" sheetId="15" r:id="rId15"/>
    <sheet name="CBPA - PAY" sheetId="16" r:id="rId16"/>
    <sheet name="CBPA - DEDS" sheetId="17" r:id="rId17"/>
    <sheet name="WTAX-CAS" sheetId="18" r:id="rId18"/>
    <sheet name="CAS - PAY" sheetId="19" r:id="rId19"/>
    <sheet name="CAS - DEDS" sheetId="20" r:id="rId20"/>
    <sheet name="WTAX-CAFA" sheetId="21" r:id="rId21"/>
    <sheet name="CAFA - PAY" sheetId="22" r:id="rId22"/>
    <sheet name="CAFA - DEDS" sheetId="23" r:id="rId23"/>
    <sheet name="WTAX-CED" sheetId="24" r:id="rId24"/>
    <sheet name="CED - PAY" sheetId="25" r:id="rId25"/>
    <sheet name="CED - DEDS" sheetId="26" r:id="rId26"/>
    <sheet name="WTAX-PE" sheetId="27" r:id="rId27"/>
    <sheet name="PE - PAY" sheetId="28" r:id="rId28"/>
    <sheet name="PE - DEDS" sheetId="29" r:id="rId29"/>
    <sheet name="WTAX-RESEARCH" sheetId="30" r:id="rId30"/>
    <sheet name="RESEARCH - PAY" sheetId="31" r:id="rId31"/>
    <sheet name="RESEARCH - DEDS" sheetId="32" r:id="rId32"/>
    <sheet name="WTAX-EXTENSION" sheetId="33" r:id="rId33"/>
    <sheet name="EXTENSION - PAY" sheetId="34" r:id="rId34"/>
    <sheet name="EXTENSION - DEDS" sheetId="35" r:id="rId35"/>
    <sheet name="WTAX-TEMPO" sheetId="36" r:id="rId36"/>
    <sheet name="TEMPO - PAY" sheetId="37" r:id="rId37"/>
    <sheet name="TEMPO - DEDS" sheetId="38" r:id="rId38"/>
    <sheet name="WTAX-CONTRACTUAL" sheetId="39" r:id="rId39"/>
    <sheet name="CONTRACTUAL - PAY" sheetId="40" r:id="rId40"/>
    <sheet name="CONTRACTUAL - DEDS" sheetId="41" r:id="rId41"/>
  </sheets>
  <definedNames>
    <definedName name="_xlnm.Print_Area" localSheetId="7">'AUX - DEDS'!$B$2:$AF$44</definedName>
    <definedName name="_xlnm.Print_Area" localSheetId="6">'AUX - PAY'!$B$2:$Y$54</definedName>
    <definedName name="_xlnm.Print_Area" localSheetId="22">'CAFA - DEDS'!$B$2:$AF$49</definedName>
    <definedName name="_xlnm.Print_Area" localSheetId="21">'CAFA - PAY'!$B$2:$Y$59</definedName>
    <definedName name="_xlnm.Print_Area" localSheetId="19">'CAS - DEDS'!$B$2:$AF$72</definedName>
    <definedName name="_xlnm.Print_Area" localSheetId="18">'CAS - PAY'!$B$2:$Y$82</definedName>
    <definedName name="_xlnm.Print_Area" localSheetId="16">'CBPA - DEDS'!$B$2:$AF$96</definedName>
    <definedName name="_xlnm.Print_Area" localSheetId="15">'CBPA - PAY'!$B$2:$Y$106</definedName>
    <definedName name="_xlnm.Print_Area" localSheetId="25">'CED - DEDS'!$B$2:$AF$75</definedName>
    <definedName name="_xlnm.Print_Area" localSheetId="24">'CED - PAY'!$B$2:$Y$85</definedName>
    <definedName name="_xlnm.Print_Area" localSheetId="10">'CEN - DEDS'!$B$2:$AF$52</definedName>
    <definedName name="_xlnm.Print_Area" localSheetId="9">'CEN - PAY'!$B$2:$Y$62</definedName>
    <definedName name="_xlnm.Print_Area" localSheetId="13">'CIT - DEDS'!$B$2:$AF$87</definedName>
    <definedName name="_xlnm.Print_Area" localSheetId="12">'CIT - PAY'!$B$2:$Y$97</definedName>
    <definedName name="_xlnm.Print_Area" localSheetId="40">'CONTRACTUAL - DEDS'!$B$2:$AF$38</definedName>
    <definedName name="_xlnm.Print_Area" localSheetId="39">'CONTRACTUAL - PAY'!$B$2:$Y$48</definedName>
    <definedName name="_xlnm.Print_Area" localSheetId="34">'EXTENSION - DEDS'!$B$2:$AF$64</definedName>
    <definedName name="_xlnm.Print_Area" localSheetId="33">'EXTENSION - PAY'!$B$2:$Y$74</definedName>
    <definedName name="_xlnm.Print_Area" localSheetId="4">'GEN.AD - DEDS'!$B$2:$AF$166</definedName>
    <definedName name="_xlnm.Print_Area" localSheetId="3">'GEN.AD - PAY'!$B$2:$Y$176</definedName>
    <definedName name="_xlnm.Print_Area" localSheetId="0">Payroll!$A$1:$P$36</definedName>
    <definedName name="_xlnm.Print_Area" localSheetId="28">'PE - DEDS'!$B$2:$AF$38</definedName>
    <definedName name="_xlnm.Print_Area" localSheetId="27">'PE - PAY'!$B$2:$Y$48</definedName>
    <definedName name="_xlnm.Print_Area" localSheetId="31">'RESEARCH - DEDS'!$B$2:$AF$38</definedName>
    <definedName name="_xlnm.Print_Area" localSheetId="30">'RESEARCH - PAY'!$B$2:$Y$48</definedName>
    <definedName name="_xlnm.Print_Area" localSheetId="37">'TEMPO - DEDS'!$B$2:$AF$90</definedName>
    <definedName name="_xlnm.Print_Area" localSheetId="36">'TEMPO - PAY'!$B$2:$Y$100</definedName>
    <definedName name="_xlnm.Print_Titles" localSheetId="7">'AUX - DEDS'!$2:$19</definedName>
    <definedName name="_xlnm.Print_Titles" localSheetId="6">'AUX - PAY'!$2:$20</definedName>
    <definedName name="_xlnm.Print_Titles" localSheetId="22">'CAFA - DEDS'!$2:$19</definedName>
    <definedName name="_xlnm.Print_Titles" localSheetId="21">'CAFA - PAY'!$2:$20</definedName>
    <definedName name="_xlnm.Print_Titles" localSheetId="19">'CAS - DEDS'!$2:$19</definedName>
    <definedName name="_xlnm.Print_Titles" localSheetId="18">'CAS - PAY'!$2:$20</definedName>
    <definedName name="_xlnm.Print_Titles" localSheetId="16">'CBPA - DEDS'!$2:$19</definedName>
    <definedName name="_xlnm.Print_Titles" localSheetId="15">'CBPA - PAY'!$2:$20</definedName>
    <definedName name="_xlnm.Print_Titles" localSheetId="25">'CED - DEDS'!$2:$19</definedName>
    <definedName name="_xlnm.Print_Titles" localSheetId="24">'CED - PAY'!$2:$20</definedName>
    <definedName name="_xlnm.Print_Titles" localSheetId="10">'CEN - DEDS'!$2:$19</definedName>
    <definedName name="_xlnm.Print_Titles" localSheetId="9">'CEN - PAY'!$2:$20</definedName>
    <definedName name="_xlnm.Print_Titles" localSheetId="13">'CIT - DEDS'!$2:$19</definedName>
    <definedName name="_xlnm.Print_Titles" localSheetId="12">'CIT - PAY'!$2:$20</definedName>
    <definedName name="_xlnm.Print_Titles" localSheetId="40">'CONTRACTUAL - DEDS'!$2:$19</definedName>
    <definedName name="_xlnm.Print_Titles" localSheetId="39">'CONTRACTUAL - PAY'!$2:$20</definedName>
    <definedName name="_xlnm.Print_Titles" localSheetId="34">'EXTENSION - DEDS'!$2:$19</definedName>
    <definedName name="_xlnm.Print_Titles" localSheetId="33">'EXTENSION - PAY'!$2:$20</definedName>
    <definedName name="_xlnm.Print_Titles" localSheetId="4">'GEN.AD - DEDS'!$2:$19</definedName>
    <definedName name="_xlnm.Print_Titles" localSheetId="3">'GEN.AD - PAY'!$2:$20</definedName>
    <definedName name="_xlnm.Print_Titles" localSheetId="28">'PE - DEDS'!$2:$19</definedName>
    <definedName name="_xlnm.Print_Titles" localSheetId="27">'PE - PAY'!$2:$20</definedName>
    <definedName name="_xlnm.Print_Titles" localSheetId="31">'RESEARCH - DEDS'!$2:$19</definedName>
    <definedName name="_xlnm.Print_Titles" localSheetId="30">'RESEARCH - PAY'!$2:$20</definedName>
    <definedName name="_xlnm.Print_Titles" localSheetId="37">'TEMPO - DEDS'!$2:$19</definedName>
    <definedName name="_xlnm.Print_Titles" localSheetId="36">'TEMPO - PAY'!$2:$20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E31" i="41" l="1"/>
  <c r="X31" i="41"/>
  <c r="B31" i="41"/>
  <c r="AE30" i="41"/>
  <c r="X30" i="41"/>
  <c r="B30" i="41"/>
  <c r="AE29" i="41"/>
  <c r="X29" i="41"/>
  <c r="B29" i="41"/>
  <c r="AE28" i="41"/>
  <c r="X28" i="41"/>
  <c r="B28" i="41"/>
  <c r="AE27" i="41"/>
  <c r="X27" i="41"/>
  <c r="B27" i="41"/>
  <c r="AE26" i="41"/>
  <c r="X26" i="41"/>
  <c r="B26" i="41"/>
  <c r="AE25" i="41"/>
  <c r="X25" i="41"/>
  <c r="B25" i="41"/>
  <c r="AE24" i="41"/>
  <c r="X24" i="41"/>
  <c r="B24" i="41"/>
  <c r="AE23" i="41"/>
  <c r="X23" i="41"/>
  <c r="B23" i="41"/>
  <c r="AE22" i="41"/>
  <c r="X22" i="41"/>
  <c r="F22" i="41"/>
  <c r="B22" i="41"/>
  <c r="Y32" i="40"/>
  <c r="W32" i="40"/>
  <c r="L32" i="40"/>
  <c r="F31" i="41" s="1"/>
  <c r="I32" i="40"/>
  <c r="V32" i="40" s="1"/>
  <c r="E32" i="40"/>
  <c r="E31" i="41" s="1"/>
  <c r="B32" i="40"/>
  <c r="C32" i="40" s="1"/>
  <c r="D32" i="40" s="1"/>
  <c r="D31" i="41" s="1"/>
  <c r="Y31" i="40"/>
  <c r="W31" i="40"/>
  <c r="L31" i="40"/>
  <c r="F30" i="41" s="1"/>
  <c r="I31" i="40"/>
  <c r="V31" i="40" s="1"/>
  <c r="E31" i="40"/>
  <c r="E30" i="41" s="1"/>
  <c r="B31" i="40"/>
  <c r="C31" i="40" s="1"/>
  <c r="D31" i="40" s="1"/>
  <c r="D30" i="41" s="1"/>
  <c r="Y30" i="40"/>
  <c r="W30" i="40"/>
  <c r="U30" i="40"/>
  <c r="P30" i="40"/>
  <c r="O30" i="40"/>
  <c r="N30" i="40"/>
  <c r="M30" i="40"/>
  <c r="L30" i="40"/>
  <c r="Q30" i="40" s="1"/>
  <c r="I30" i="40"/>
  <c r="Y29" i="41" s="1"/>
  <c r="B30" i="40"/>
  <c r="E30" i="40" s="1"/>
  <c r="E29" i="41" s="1"/>
  <c r="Y29" i="40"/>
  <c r="Y35" i="40" s="1"/>
  <c r="Y20" i="14" s="1"/>
  <c r="W29" i="40"/>
  <c r="P29" i="40"/>
  <c r="O29" i="40"/>
  <c r="N29" i="40"/>
  <c r="M29" i="40"/>
  <c r="L29" i="40"/>
  <c r="F28" i="41" s="1"/>
  <c r="I29" i="40"/>
  <c r="X29" i="40" s="1"/>
  <c r="B29" i="40"/>
  <c r="E29" i="40" s="1"/>
  <c r="E28" i="41" s="1"/>
  <c r="Y28" i="40"/>
  <c r="W28" i="40"/>
  <c r="P28" i="40"/>
  <c r="O28" i="40"/>
  <c r="N28" i="40"/>
  <c r="M28" i="40"/>
  <c r="L28" i="40"/>
  <c r="F27" i="41" s="1"/>
  <c r="I28" i="40"/>
  <c r="G27" i="41" s="1"/>
  <c r="R27" i="41" s="1"/>
  <c r="C28" i="40"/>
  <c r="D28" i="40" s="1"/>
  <c r="D27" i="41" s="1"/>
  <c r="B28" i="40"/>
  <c r="U28" i="40" s="1"/>
  <c r="Y27" i="40"/>
  <c r="W27" i="40"/>
  <c r="P27" i="40"/>
  <c r="O27" i="40"/>
  <c r="N27" i="40"/>
  <c r="M27" i="40"/>
  <c r="L27" i="40"/>
  <c r="F26" i="41" s="1"/>
  <c r="I27" i="40"/>
  <c r="X27" i="40" s="1"/>
  <c r="B27" i="40"/>
  <c r="E27" i="40" s="1"/>
  <c r="E26" i="41" s="1"/>
  <c r="Y26" i="40"/>
  <c r="W26" i="40"/>
  <c r="P26" i="40"/>
  <c r="O26" i="40"/>
  <c r="N26" i="40"/>
  <c r="M26" i="40"/>
  <c r="L26" i="40"/>
  <c r="F25" i="41" s="1"/>
  <c r="I26" i="40"/>
  <c r="V26" i="40" s="1"/>
  <c r="E26" i="40"/>
  <c r="E25" i="41" s="1"/>
  <c r="C26" i="40"/>
  <c r="D26" i="40" s="1"/>
  <c r="D25" i="41" s="1"/>
  <c r="B26" i="40"/>
  <c r="U26" i="40" s="1"/>
  <c r="Y25" i="40"/>
  <c r="W25" i="40"/>
  <c r="V25" i="40"/>
  <c r="P25" i="40"/>
  <c r="O25" i="40"/>
  <c r="N25" i="40"/>
  <c r="M25" i="40"/>
  <c r="L25" i="40"/>
  <c r="F24" i="41" s="1"/>
  <c r="I25" i="40"/>
  <c r="X25" i="40" s="1"/>
  <c r="B25" i="40"/>
  <c r="U25" i="40" s="1"/>
  <c r="Y24" i="40"/>
  <c r="P24" i="40"/>
  <c r="O24" i="40"/>
  <c r="N24" i="40"/>
  <c r="M24" i="40"/>
  <c r="L24" i="40"/>
  <c r="F23" i="41" s="1"/>
  <c r="I24" i="40"/>
  <c r="V24" i="40" s="1"/>
  <c r="E24" i="40"/>
  <c r="E23" i="41" s="1"/>
  <c r="B24" i="40"/>
  <c r="C24" i="40" s="1"/>
  <c r="D24" i="40" s="1"/>
  <c r="D23" i="41" s="1"/>
  <c r="Y23" i="40"/>
  <c r="W23" i="40"/>
  <c r="P23" i="40"/>
  <c r="O23" i="40"/>
  <c r="N23" i="40"/>
  <c r="M23" i="40"/>
  <c r="L23" i="40"/>
  <c r="I23" i="40"/>
  <c r="V23" i="40" s="1"/>
  <c r="E23" i="40"/>
  <c r="E22" i="41" s="1"/>
  <c r="B23" i="40"/>
  <c r="C23" i="40" s="1"/>
  <c r="D23" i="40" s="1"/>
  <c r="D22" i="41" s="1"/>
  <c r="B19" i="39"/>
  <c r="B18" i="39"/>
  <c r="I17" i="39"/>
  <c r="G17" i="39"/>
  <c r="M17" i="39" s="1"/>
  <c r="B17" i="39"/>
  <c r="G16" i="39"/>
  <c r="M16" i="39" s="1"/>
  <c r="B16" i="39"/>
  <c r="G15" i="39"/>
  <c r="K15" i="39" s="1"/>
  <c r="B15" i="39"/>
  <c r="M14" i="39"/>
  <c r="I14" i="39"/>
  <c r="G14" i="39"/>
  <c r="K14" i="39" s="1"/>
  <c r="B14" i="39"/>
  <c r="G13" i="39"/>
  <c r="K13" i="39" s="1"/>
  <c r="B13" i="39"/>
  <c r="M12" i="39"/>
  <c r="K12" i="39"/>
  <c r="I12" i="39"/>
  <c r="G12" i="39"/>
  <c r="B12" i="39"/>
  <c r="G11" i="39"/>
  <c r="K11" i="39" s="1"/>
  <c r="B11" i="39"/>
  <c r="M10" i="39"/>
  <c r="G10" i="39"/>
  <c r="K10" i="39" s="1"/>
  <c r="B10" i="39"/>
  <c r="AE83" i="38"/>
  <c r="X83" i="38"/>
  <c r="AE82" i="38"/>
  <c r="X82" i="38"/>
  <c r="AE81" i="38"/>
  <c r="X81" i="38"/>
  <c r="AE80" i="38"/>
  <c r="X80" i="38"/>
  <c r="AE79" i="38"/>
  <c r="X79" i="38"/>
  <c r="AE78" i="38"/>
  <c r="X78" i="38"/>
  <c r="AE77" i="38"/>
  <c r="X77" i="38"/>
  <c r="AE76" i="38"/>
  <c r="X76" i="38"/>
  <c r="B76" i="38"/>
  <c r="AE75" i="38"/>
  <c r="X75" i="38"/>
  <c r="AE74" i="38"/>
  <c r="X74" i="38"/>
  <c r="AE73" i="38"/>
  <c r="X73" i="38"/>
  <c r="AE72" i="38"/>
  <c r="X72" i="38"/>
  <c r="AE71" i="38"/>
  <c r="X71" i="38"/>
  <c r="AE70" i="38"/>
  <c r="X70" i="38"/>
  <c r="AE69" i="38"/>
  <c r="X69" i="38"/>
  <c r="F69" i="38"/>
  <c r="AE68" i="38"/>
  <c r="X68" i="38"/>
  <c r="B68" i="38"/>
  <c r="AE67" i="38"/>
  <c r="X67" i="38"/>
  <c r="AE66" i="38"/>
  <c r="X66" i="38"/>
  <c r="F66" i="38"/>
  <c r="AE65" i="38"/>
  <c r="X65" i="38"/>
  <c r="AE64" i="38"/>
  <c r="X64" i="38"/>
  <c r="AE63" i="38"/>
  <c r="X63" i="38"/>
  <c r="AE62" i="38"/>
  <c r="X62" i="38"/>
  <c r="L84" i="37"/>
  <c r="F83" i="38" s="1"/>
  <c r="I84" i="37"/>
  <c r="V84" i="37" s="1"/>
  <c r="L83" i="37"/>
  <c r="F82" i="38" s="1"/>
  <c r="I83" i="37"/>
  <c r="G82" i="38" s="1"/>
  <c r="R82" i="38" s="1"/>
  <c r="L82" i="37"/>
  <c r="F81" i="38" s="1"/>
  <c r="I82" i="37"/>
  <c r="V82" i="37" s="1"/>
  <c r="L81" i="37"/>
  <c r="F80" i="38" s="1"/>
  <c r="I81" i="37"/>
  <c r="Y80" i="38" s="1"/>
  <c r="L80" i="37"/>
  <c r="F79" i="38" s="1"/>
  <c r="I80" i="37"/>
  <c r="Y79" i="38" s="1"/>
  <c r="L79" i="37"/>
  <c r="F78" i="38" s="1"/>
  <c r="I79" i="37"/>
  <c r="V79" i="37" s="1"/>
  <c r="L78" i="37"/>
  <c r="F77" i="38" s="1"/>
  <c r="I78" i="37"/>
  <c r="Y77" i="38" s="1"/>
  <c r="L77" i="37"/>
  <c r="F76" i="38" s="1"/>
  <c r="I77" i="37"/>
  <c r="Y76" i="38" s="1"/>
  <c r="L76" i="37"/>
  <c r="F75" i="38" s="1"/>
  <c r="I76" i="37"/>
  <c r="G75" i="38" s="1"/>
  <c r="R75" i="38" s="1"/>
  <c r="L75" i="37"/>
  <c r="F74" i="38" s="1"/>
  <c r="I75" i="37"/>
  <c r="Y74" i="38" s="1"/>
  <c r="L74" i="37"/>
  <c r="F73" i="38" s="1"/>
  <c r="I74" i="37"/>
  <c r="G73" i="38" s="1"/>
  <c r="R73" i="38" s="1"/>
  <c r="L73" i="37"/>
  <c r="F72" i="38" s="1"/>
  <c r="I73" i="37"/>
  <c r="Y72" i="38" s="1"/>
  <c r="L72" i="37"/>
  <c r="F71" i="38" s="1"/>
  <c r="I72" i="37"/>
  <c r="G71" i="38" s="1"/>
  <c r="R71" i="38" s="1"/>
  <c r="L71" i="37"/>
  <c r="F70" i="38" s="1"/>
  <c r="I71" i="37"/>
  <c r="V71" i="37" s="1"/>
  <c r="L70" i="37"/>
  <c r="I70" i="37"/>
  <c r="G69" i="38" s="1"/>
  <c r="R69" i="38" s="1"/>
  <c r="L69" i="37"/>
  <c r="F68" i="38" s="1"/>
  <c r="I69" i="37"/>
  <c r="Y68" i="38" s="1"/>
  <c r="L68" i="37"/>
  <c r="F67" i="38" s="1"/>
  <c r="I68" i="37"/>
  <c r="V68" i="37" s="1"/>
  <c r="L67" i="37"/>
  <c r="I67" i="37"/>
  <c r="G66" i="38" s="1"/>
  <c r="R66" i="38" s="1"/>
  <c r="L66" i="37"/>
  <c r="F65" i="38" s="1"/>
  <c r="I66" i="37"/>
  <c r="Y65" i="38" s="1"/>
  <c r="L65" i="37"/>
  <c r="F64" i="38" s="1"/>
  <c r="I65" i="37"/>
  <c r="Y64" i="38" s="1"/>
  <c r="L64" i="37"/>
  <c r="F63" i="38" s="1"/>
  <c r="I64" i="37"/>
  <c r="Y63" i="38" s="1"/>
  <c r="L63" i="37"/>
  <c r="F62" i="38" s="1"/>
  <c r="I63" i="37"/>
  <c r="V63" i="37" s="1"/>
  <c r="AE57" i="35"/>
  <c r="X57" i="35"/>
  <c r="AE56" i="35"/>
  <c r="X56" i="35"/>
  <c r="AE55" i="35"/>
  <c r="X55" i="35"/>
  <c r="AE54" i="35"/>
  <c r="X54" i="35"/>
  <c r="AE53" i="35"/>
  <c r="X53" i="35"/>
  <c r="AE52" i="35"/>
  <c r="X52" i="35"/>
  <c r="AE51" i="35"/>
  <c r="X51" i="35"/>
  <c r="AE50" i="35"/>
  <c r="X50" i="35"/>
  <c r="AE49" i="35"/>
  <c r="X49" i="35"/>
  <c r="F49" i="35"/>
  <c r="AE48" i="35"/>
  <c r="X48" i="35"/>
  <c r="F48" i="35"/>
  <c r="AE47" i="35"/>
  <c r="X47" i="35"/>
  <c r="AE46" i="35"/>
  <c r="X46" i="35"/>
  <c r="AE45" i="35"/>
  <c r="X45" i="35"/>
  <c r="F45" i="35"/>
  <c r="L58" i="34"/>
  <c r="F57" i="35" s="1"/>
  <c r="I58" i="34"/>
  <c r="Y57" i="35" s="1"/>
  <c r="L57" i="34"/>
  <c r="F56" i="35" s="1"/>
  <c r="I57" i="34"/>
  <c r="V57" i="34" s="1"/>
  <c r="L56" i="34"/>
  <c r="F55" i="35" s="1"/>
  <c r="I56" i="34"/>
  <c r="V56" i="34" s="1"/>
  <c r="L55" i="34"/>
  <c r="F54" i="35" s="1"/>
  <c r="I55" i="34"/>
  <c r="G54" i="35" s="1"/>
  <c r="R54" i="35" s="1"/>
  <c r="L54" i="34"/>
  <c r="F53" i="35" s="1"/>
  <c r="I54" i="34"/>
  <c r="Y53" i="35" s="1"/>
  <c r="L53" i="34"/>
  <c r="F52" i="35" s="1"/>
  <c r="I53" i="34"/>
  <c r="Y52" i="35" s="1"/>
  <c r="L52" i="34"/>
  <c r="F51" i="35" s="1"/>
  <c r="I52" i="34"/>
  <c r="V52" i="34" s="1"/>
  <c r="L51" i="34"/>
  <c r="F50" i="35" s="1"/>
  <c r="I51" i="34"/>
  <c r="Y50" i="35" s="1"/>
  <c r="L50" i="34"/>
  <c r="I50" i="34"/>
  <c r="Y49" i="35" s="1"/>
  <c r="L49" i="34"/>
  <c r="I49" i="34"/>
  <c r="V49" i="34" s="1"/>
  <c r="L48" i="34"/>
  <c r="F47" i="35" s="1"/>
  <c r="I48" i="34"/>
  <c r="G47" i="35" s="1"/>
  <c r="R47" i="35" s="1"/>
  <c r="L47" i="34"/>
  <c r="F46" i="35" s="1"/>
  <c r="I47" i="34"/>
  <c r="Y46" i="35" s="1"/>
  <c r="L46" i="34"/>
  <c r="I46" i="34"/>
  <c r="Y45" i="35" s="1"/>
  <c r="AE31" i="32"/>
  <c r="X31" i="32"/>
  <c r="B31" i="32"/>
  <c r="AE30" i="32"/>
  <c r="X30" i="32"/>
  <c r="B30" i="32"/>
  <c r="AE29" i="32"/>
  <c r="X29" i="32"/>
  <c r="B29" i="32"/>
  <c r="AE28" i="32"/>
  <c r="X28" i="32"/>
  <c r="B28" i="32"/>
  <c r="AE27" i="32"/>
  <c r="X27" i="32"/>
  <c r="B27" i="32"/>
  <c r="AE26" i="32"/>
  <c r="X26" i="32"/>
  <c r="B26" i="32"/>
  <c r="AE25" i="32"/>
  <c r="X25" i="32"/>
  <c r="B25" i="32"/>
  <c r="AE24" i="32"/>
  <c r="X24" i="32"/>
  <c r="B24" i="32"/>
  <c r="AE23" i="32"/>
  <c r="X23" i="32"/>
  <c r="B23" i="32"/>
  <c r="AE22" i="32"/>
  <c r="X22" i="32"/>
  <c r="B22" i="32"/>
  <c r="Y32" i="31"/>
  <c r="W32" i="31"/>
  <c r="L32" i="31"/>
  <c r="F31" i="32" s="1"/>
  <c r="I32" i="31"/>
  <c r="V32" i="31" s="1"/>
  <c r="E32" i="31"/>
  <c r="E31" i="32" s="1"/>
  <c r="B32" i="31"/>
  <c r="C32" i="31" s="1"/>
  <c r="D32" i="31" s="1"/>
  <c r="D31" i="32" s="1"/>
  <c r="Y31" i="31"/>
  <c r="W31" i="31"/>
  <c r="L31" i="31"/>
  <c r="F30" i="32" s="1"/>
  <c r="I31" i="31"/>
  <c r="V31" i="31" s="1"/>
  <c r="B31" i="31"/>
  <c r="C31" i="31" s="1"/>
  <c r="D31" i="31" s="1"/>
  <c r="D30" i="32" s="1"/>
  <c r="Y30" i="31"/>
  <c r="W30" i="31"/>
  <c r="V30" i="31"/>
  <c r="P30" i="31"/>
  <c r="O30" i="31"/>
  <c r="N30" i="31"/>
  <c r="M30" i="31"/>
  <c r="L30" i="31"/>
  <c r="F29" i="32" s="1"/>
  <c r="I30" i="31"/>
  <c r="X30" i="31" s="1"/>
  <c r="C30" i="31"/>
  <c r="D30" i="31" s="1"/>
  <c r="D29" i="32" s="1"/>
  <c r="B30" i="31"/>
  <c r="E30" i="31" s="1"/>
  <c r="E29" i="32" s="1"/>
  <c r="Y29" i="31"/>
  <c r="W29" i="31"/>
  <c r="P29" i="31"/>
  <c r="O29" i="31"/>
  <c r="N29" i="31"/>
  <c r="M29" i="31"/>
  <c r="L29" i="31"/>
  <c r="F28" i="32" s="1"/>
  <c r="I29" i="31"/>
  <c r="X29" i="31" s="1"/>
  <c r="B29" i="31"/>
  <c r="E29" i="31" s="1"/>
  <c r="E28" i="32" s="1"/>
  <c r="Y28" i="31"/>
  <c r="W28" i="31"/>
  <c r="V28" i="31"/>
  <c r="P28" i="31"/>
  <c r="O28" i="31"/>
  <c r="N28" i="31"/>
  <c r="M28" i="31"/>
  <c r="L28" i="31"/>
  <c r="F27" i="32" s="1"/>
  <c r="I28" i="31"/>
  <c r="G27" i="32" s="1"/>
  <c r="R27" i="32" s="1"/>
  <c r="E28" i="31"/>
  <c r="E27" i="32" s="1"/>
  <c r="C28" i="31"/>
  <c r="D28" i="31" s="1"/>
  <c r="D27" i="32" s="1"/>
  <c r="B28" i="31"/>
  <c r="U28" i="31" s="1"/>
  <c r="Y27" i="31"/>
  <c r="W27" i="31"/>
  <c r="Q27" i="31"/>
  <c r="P27" i="31"/>
  <c r="O27" i="31"/>
  <c r="N27" i="31"/>
  <c r="M27" i="31"/>
  <c r="L27" i="31"/>
  <c r="F26" i="32" s="1"/>
  <c r="I27" i="31"/>
  <c r="X27" i="31" s="1"/>
  <c r="B27" i="31"/>
  <c r="E27" i="31" s="1"/>
  <c r="E26" i="32" s="1"/>
  <c r="Y26" i="31"/>
  <c r="W26" i="31"/>
  <c r="P26" i="31"/>
  <c r="O26" i="31"/>
  <c r="N26" i="31"/>
  <c r="Q26" i="31" s="1"/>
  <c r="M26" i="31"/>
  <c r="L26" i="31"/>
  <c r="F25" i="32" s="1"/>
  <c r="I26" i="31"/>
  <c r="Y25" i="32" s="1"/>
  <c r="E26" i="31"/>
  <c r="E25" i="32" s="1"/>
  <c r="C26" i="31"/>
  <c r="D26" i="31" s="1"/>
  <c r="D25" i="32" s="1"/>
  <c r="B26" i="31"/>
  <c r="U26" i="31" s="1"/>
  <c r="Y25" i="31"/>
  <c r="W25" i="31"/>
  <c r="V25" i="31"/>
  <c r="P25" i="31"/>
  <c r="O25" i="31"/>
  <c r="N25" i="31"/>
  <c r="M25" i="31"/>
  <c r="L25" i="31"/>
  <c r="F24" i="32" s="1"/>
  <c r="I25" i="31"/>
  <c r="X25" i="31" s="1"/>
  <c r="B25" i="31"/>
  <c r="E25" i="31" s="1"/>
  <c r="E24" i="32" s="1"/>
  <c r="Y24" i="31"/>
  <c r="P24" i="31"/>
  <c r="O24" i="31"/>
  <c r="N24" i="31"/>
  <c r="M24" i="31"/>
  <c r="L24" i="31"/>
  <c r="Q24" i="31" s="1"/>
  <c r="I24" i="31"/>
  <c r="V24" i="31" s="1"/>
  <c r="E24" i="31"/>
  <c r="E23" i="32" s="1"/>
  <c r="B24" i="31"/>
  <c r="C24" i="31" s="1"/>
  <c r="D24" i="31" s="1"/>
  <c r="D23" i="32" s="1"/>
  <c r="Y23" i="31"/>
  <c r="W23" i="31"/>
  <c r="P23" i="31"/>
  <c r="O23" i="31"/>
  <c r="N23" i="31"/>
  <c r="M23" i="31"/>
  <c r="L23" i="31"/>
  <c r="F22" i="32" s="1"/>
  <c r="I23" i="31"/>
  <c r="V23" i="31" s="1"/>
  <c r="B23" i="31"/>
  <c r="C23" i="31" s="1"/>
  <c r="D23" i="31" s="1"/>
  <c r="D22" i="32" s="1"/>
  <c r="B19" i="30"/>
  <c r="B18" i="30"/>
  <c r="G17" i="30"/>
  <c r="M17" i="30" s="1"/>
  <c r="B17" i="30"/>
  <c r="G16" i="30"/>
  <c r="M16" i="30" s="1"/>
  <c r="B16" i="30"/>
  <c r="G15" i="30"/>
  <c r="M15" i="30" s="1"/>
  <c r="B15" i="30"/>
  <c r="M14" i="30"/>
  <c r="G14" i="30"/>
  <c r="I14" i="30" s="1"/>
  <c r="B14" i="30"/>
  <c r="G13" i="30"/>
  <c r="M13" i="30" s="1"/>
  <c r="B13" i="30"/>
  <c r="K12" i="30"/>
  <c r="G12" i="30"/>
  <c r="I12" i="30" s="1"/>
  <c r="B12" i="30"/>
  <c r="G11" i="30"/>
  <c r="M11" i="30" s="1"/>
  <c r="B11" i="30"/>
  <c r="M10" i="30"/>
  <c r="I10" i="30"/>
  <c r="G10" i="30"/>
  <c r="K10" i="30" s="1"/>
  <c r="B10" i="30"/>
  <c r="AE31" i="29"/>
  <c r="X31" i="29"/>
  <c r="C31" i="29"/>
  <c r="B31" i="29"/>
  <c r="AE30" i="29"/>
  <c r="X30" i="29"/>
  <c r="C30" i="29"/>
  <c r="B30" i="29"/>
  <c r="AE29" i="29"/>
  <c r="X29" i="29"/>
  <c r="C29" i="29"/>
  <c r="B29" i="29"/>
  <c r="AE28" i="29"/>
  <c r="X28" i="29"/>
  <c r="C28" i="29"/>
  <c r="B28" i="29"/>
  <c r="AE27" i="29"/>
  <c r="X27" i="29"/>
  <c r="C27" i="29"/>
  <c r="B27" i="29"/>
  <c r="AE26" i="29"/>
  <c r="X26" i="29"/>
  <c r="C26" i="29"/>
  <c r="B26" i="29"/>
  <c r="AE25" i="29"/>
  <c r="X25" i="29"/>
  <c r="F25" i="29"/>
  <c r="C25" i="29"/>
  <c r="B25" i="29"/>
  <c r="AE24" i="29"/>
  <c r="X24" i="29"/>
  <c r="F24" i="29"/>
  <c r="C24" i="29"/>
  <c r="B24" i="29"/>
  <c r="AE23" i="29"/>
  <c r="X23" i="29"/>
  <c r="F23" i="29"/>
  <c r="C23" i="29"/>
  <c r="B23" i="29"/>
  <c r="AE22" i="29"/>
  <c r="X22" i="29"/>
  <c r="F22" i="29"/>
  <c r="C22" i="29"/>
  <c r="B22" i="29"/>
  <c r="Y32" i="28"/>
  <c r="W32" i="28"/>
  <c r="L32" i="28"/>
  <c r="F31" i="29" s="1"/>
  <c r="I32" i="28"/>
  <c r="V32" i="28" s="1"/>
  <c r="E32" i="28"/>
  <c r="E31" i="29" s="1"/>
  <c r="D32" i="28"/>
  <c r="D31" i="29" s="1"/>
  <c r="B32" i="28"/>
  <c r="U32" i="28" s="1"/>
  <c r="Y31" i="28"/>
  <c r="W31" i="28"/>
  <c r="L31" i="28"/>
  <c r="F30" i="29" s="1"/>
  <c r="I31" i="28"/>
  <c r="G30" i="29" s="1"/>
  <c r="R30" i="29" s="1"/>
  <c r="D31" i="28"/>
  <c r="D30" i="29" s="1"/>
  <c r="B31" i="28"/>
  <c r="U31" i="28" s="1"/>
  <c r="Y30" i="28"/>
  <c r="W30" i="28"/>
  <c r="P30" i="28"/>
  <c r="O30" i="28"/>
  <c r="N30" i="28"/>
  <c r="M30" i="28"/>
  <c r="L30" i="28"/>
  <c r="Q30" i="28" s="1"/>
  <c r="I30" i="28"/>
  <c r="V30" i="28" s="1"/>
  <c r="E30" i="28"/>
  <c r="E29" i="29" s="1"/>
  <c r="D30" i="28"/>
  <c r="D29" i="29" s="1"/>
  <c r="B30" i="28"/>
  <c r="U30" i="28" s="1"/>
  <c r="Y29" i="28"/>
  <c r="W29" i="28"/>
  <c r="V29" i="28"/>
  <c r="P29" i="28"/>
  <c r="O29" i="28"/>
  <c r="N29" i="28"/>
  <c r="M29" i="28"/>
  <c r="L29" i="28"/>
  <c r="F28" i="29" s="1"/>
  <c r="I29" i="28"/>
  <c r="X29" i="28" s="1"/>
  <c r="D29" i="28"/>
  <c r="D28" i="29" s="1"/>
  <c r="B29" i="28"/>
  <c r="U29" i="28" s="1"/>
  <c r="Y28" i="28"/>
  <c r="W28" i="28"/>
  <c r="P28" i="28"/>
  <c r="O28" i="28"/>
  <c r="N28" i="28"/>
  <c r="M28" i="28"/>
  <c r="L28" i="28"/>
  <c r="Q28" i="28" s="1"/>
  <c r="I28" i="28"/>
  <c r="V28" i="28" s="1"/>
  <c r="E28" i="28"/>
  <c r="E27" i="29" s="1"/>
  <c r="D28" i="28"/>
  <c r="D27" i="29" s="1"/>
  <c r="B28" i="28"/>
  <c r="U28" i="28" s="1"/>
  <c r="Y27" i="28"/>
  <c r="W27" i="28"/>
  <c r="P27" i="28"/>
  <c r="O27" i="28"/>
  <c r="N27" i="28"/>
  <c r="M27" i="28"/>
  <c r="L27" i="28"/>
  <c r="F26" i="29" s="1"/>
  <c r="I27" i="28"/>
  <c r="X27" i="28" s="1"/>
  <c r="D27" i="28"/>
  <c r="D26" i="29" s="1"/>
  <c r="B27" i="28"/>
  <c r="U27" i="28" s="1"/>
  <c r="Y26" i="28"/>
  <c r="W26" i="28"/>
  <c r="V26" i="28"/>
  <c r="P26" i="28"/>
  <c r="O26" i="28"/>
  <c r="N26" i="28"/>
  <c r="M26" i="28"/>
  <c r="L26" i="28"/>
  <c r="Q26" i="28" s="1"/>
  <c r="I26" i="28"/>
  <c r="G25" i="29" s="1"/>
  <c r="R25" i="29" s="1"/>
  <c r="E26" i="28"/>
  <c r="E25" i="29" s="1"/>
  <c r="D26" i="28"/>
  <c r="D25" i="29" s="1"/>
  <c r="B26" i="28"/>
  <c r="U26" i="28" s="1"/>
  <c r="Y25" i="28"/>
  <c r="W25" i="28"/>
  <c r="P25" i="28"/>
  <c r="O25" i="28"/>
  <c r="N25" i="28"/>
  <c r="M25" i="28"/>
  <c r="L25" i="28"/>
  <c r="I25" i="28"/>
  <c r="X25" i="28" s="1"/>
  <c r="D25" i="28"/>
  <c r="D24" i="29" s="1"/>
  <c r="B25" i="28"/>
  <c r="U25" i="28" s="1"/>
  <c r="Y24" i="28"/>
  <c r="P24" i="28"/>
  <c r="O24" i="28"/>
  <c r="N24" i="28"/>
  <c r="M24" i="28"/>
  <c r="L24" i="28"/>
  <c r="I24" i="28"/>
  <c r="G23" i="29" s="1"/>
  <c r="R23" i="29" s="1"/>
  <c r="E24" i="28"/>
  <c r="E23" i="29" s="1"/>
  <c r="D24" i="28"/>
  <c r="D23" i="29" s="1"/>
  <c r="B24" i="28"/>
  <c r="U24" i="28" s="1"/>
  <c r="Y23" i="28"/>
  <c r="W23" i="28"/>
  <c r="P23" i="28"/>
  <c r="O23" i="28"/>
  <c r="N23" i="28"/>
  <c r="M23" i="28"/>
  <c r="L23" i="28"/>
  <c r="I23" i="28"/>
  <c r="X23" i="28" s="1"/>
  <c r="D23" i="28"/>
  <c r="D22" i="29" s="1"/>
  <c r="B23" i="28"/>
  <c r="U23" i="28" s="1"/>
  <c r="B19" i="27"/>
  <c r="B18" i="27"/>
  <c r="G17" i="27"/>
  <c r="M17" i="27" s="1"/>
  <c r="B17" i="27"/>
  <c r="G16" i="27"/>
  <c r="M16" i="27" s="1"/>
  <c r="B16" i="27"/>
  <c r="G15" i="27"/>
  <c r="M15" i="27" s="1"/>
  <c r="B15" i="27"/>
  <c r="G14" i="27"/>
  <c r="I14" i="27" s="1"/>
  <c r="B14" i="27"/>
  <c r="I13" i="27"/>
  <c r="G13" i="27"/>
  <c r="M13" i="27" s="1"/>
  <c r="B13" i="27"/>
  <c r="G12" i="27"/>
  <c r="M12" i="27" s="1"/>
  <c r="B12" i="27"/>
  <c r="G11" i="27"/>
  <c r="M11" i="27" s="1"/>
  <c r="B11" i="27"/>
  <c r="M10" i="27"/>
  <c r="G10" i="27"/>
  <c r="K10" i="27" s="1"/>
  <c r="B10" i="27"/>
  <c r="AE68" i="26"/>
  <c r="X68" i="26"/>
  <c r="AE67" i="26"/>
  <c r="X67" i="26"/>
  <c r="AE66" i="26"/>
  <c r="X66" i="26"/>
  <c r="F66" i="26"/>
  <c r="AE65" i="26"/>
  <c r="Y65" i="26"/>
  <c r="X65" i="26"/>
  <c r="AE64" i="26"/>
  <c r="X64" i="26"/>
  <c r="AE63" i="26"/>
  <c r="X63" i="26"/>
  <c r="AE62" i="26"/>
  <c r="X62" i="26"/>
  <c r="AE61" i="26"/>
  <c r="X61" i="26"/>
  <c r="AE60" i="26"/>
  <c r="X60" i="26"/>
  <c r="F60" i="26"/>
  <c r="AE59" i="26"/>
  <c r="X59" i="26"/>
  <c r="AE58" i="26"/>
  <c r="X58" i="26"/>
  <c r="AE57" i="26"/>
  <c r="X57" i="26"/>
  <c r="AE56" i="26"/>
  <c r="X56" i="26"/>
  <c r="AE55" i="26"/>
  <c r="X55" i="26"/>
  <c r="AE54" i="26"/>
  <c r="X54" i="26"/>
  <c r="F54" i="26"/>
  <c r="AE53" i="26"/>
  <c r="X53" i="26"/>
  <c r="AE52" i="26"/>
  <c r="X52" i="26"/>
  <c r="L69" i="25"/>
  <c r="F68" i="26" s="1"/>
  <c r="I69" i="25"/>
  <c r="G68" i="26" s="1"/>
  <c r="R68" i="26" s="1"/>
  <c r="L68" i="25"/>
  <c r="F67" i="26" s="1"/>
  <c r="I68" i="25"/>
  <c r="G67" i="26" s="1"/>
  <c r="R67" i="26" s="1"/>
  <c r="L67" i="25"/>
  <c r="I67" i="25"/>
  <c r="Y66" i="26" s="1"/>
  <c r="L66" i="25"/>
  <c r="F65" i="26" s="1"/>
  <c r="I66" i="25"/>
  <c r="G65" i="26" s="1"/>
  <c r="R65" i="26" s="1"/>
  <c r="L65" i="25"/>
  <c r="F64" i="26" s="1"/>
  <c r="I65" i="25"/>
  <c r="Y64" i="26" s="1"/>
  <c r="L64" i="25"/>
  <c r="F63" i="26" s="1"/>
  <c r="I64" i="25"/>
  <c r="G63" i="26" s="1"/>
  <c r="R63" i="26" s="1"/>
  <c r="L63" i="25"/>
  <c r="F62" i="26" s="1"/>
  <c r="I63" i="25"/>
  <c r="V63" i="25" s="1"/>
  <c r="L62" i="25"/>
  <c r="F61" i="26" s="1"/>
  <c r="I62" i="25"/>
  <c r="G61" i="26" s="1"/>
  <c r="R61" i="26" s="1"/>
  <c r="L61" i="25"/>
  <c r="I61" i="25"/>
  <c r="Y60" i="26" s="1"/>
  <c r="L60" i="25"/>
  <c r="F59" i="26" s="1"/>
  <c r="I60" i="25"/>
  <c r="Y59" i="26" s="1"/>
  <c r="V59" i="25"/>
  <c r="L59" i="25"/>
  <c r="F58" i="26" s="1"/>
  <c r="I59" i="25"/>
  <c r="G58" i="26" s="1"/>
  <c r="R58" i="26" s="1"/>
  <c r="L58" i="25"/>
  <c r="F57" i="26" s="1"/>
  <c r="I58" i="25"/>
  <c r="Y57" i="26" s="1"/>
  <c r="L57" i="25"/>
  <c r="F56" i="26" s="1"/>
  <c r="I57" i="25"/>
  <c r="Y56" i="26" s="1"/>
  <c r="L56" i="25"/>
  <c r="F55" i="26" s="1"/>
  <c r="I56" i="25"/>
  <c r="Y55" i="26" s="1"/>
  <c r="L55" i="25"/>
  <c r="I55" i="25"/>
  <c r="V55" i="25" s="1"/>
  <c r="L54" i="25"/>
  <c r="F53" i="26" s="1"/>
  <c r="I54" i="25"/>
  <c r="G53" i="26" s="1"/>
  <c r="R53" i="26" s="1"/>
  <c r="L53" i="25"/>
  <c r="F52" i="26" s="1"/>
  <c r="I53" i="25"/>
  <c r="Y52" i="26" s="1"/>
  <c r="AE42" i="23"/>
  <c r="X42" i="23"/>
  <c r="AE41" i="23"/>
  <c r="X41" i="23"/>
  <c r="AE40" i="23"/>
  <c r="X40" i="23"/>
  <c r="AE39" i="23"/>
  <c r="X39" i="23"/>
  <c r="AE38" i="23"/>
  <c r="X38" i="23"/>
  <c r="AE37" i="23"/>
  <c r="X37" i="23"/>
  <c r="AE36" i="23"/>
  <c r="X36" i="23"/>
  <c r="G36" i="23"/>
  <c r="R36" i="23" s="1"/>
  <c r="AE35" i="23"/>
  <c r="X35" i="23"/>
  <c r="AE34" i="23"/>
  <c r="X34" i="23"/>
  <c r="AE33" i="23"/>
  <c r="X33" i="23"/>
  <c r="L43" i="22"/>
  <c r="F42" i="23" s="1"/>
  <c r="I43" i="22"/>
  <c r="V43" i="22" s="1"/>
  <c r="L42" i="22"/>
  <c r="F41" i="23" s="1"/>
  <c r="I42" i="22"/>
  <c r="V42" i="22" s="1"/>
  <c r="L41" i="22"/>
  <c r="F40" i="23" s="1"/>
  <c r="I41" i="22"/>
  <c r="V41" i="22" s="1"/>
  <c r="L40" i="22"/>
  <c r="F39" i="23" s="1"/>
  <c r="I40" i="22"/>
  <c r="G39" i="23" s="1"/>
  <c r="R39" i="23" s="1"/>
  <c r="L39" i="22"/>
  <c r="F38" i="23" s="1"/>
  <c r="I39" i="22"/>
  <c r="Y38" i="23" s="1"/>
  <c r="L38" i="22"/>
  <c r="F37" i="23" s="1"/>
  <c r="I38" i="22"/>
  <c r="G37" i="23" s="1"/>
  <c r="R37" i="23" s="1"/>
  <c r="L37" i="22"/>
  <c r="F36" i="23" s="1"/>
  <c r="I37" i="22"/>
  <c r="V37" i="22" s="1"/>
  <c r="L36" i="22"/>
  <c r="F35" i="23" s="1"/>
  <c r="I36" i="22"/>
  <c r="Y35" i="23" s="1"/>
  <c r="L35" i="22"/>
  <c r="F34" i="23" s="1"/>
  <c r="I35" i="22"/>
  <c r="V35" i="22" s="1"/>
  <c r="L34" i="22"/>
  <c r="F33" i="23" s="1"/>
  <c r="I34" i="22"/>
  <c r="V34" i="22" s="1"/>
  <c r="AE65" i="20"/>
  <c r="X65" i="20"/>
  <c r="AE64" i="20"/>
  <c r="X64" i="20"/>
  <c r="AE63" i="20"/>
  <c r="X63" i="20"/>
  <c r="AE62" i="20"/>
  <c r="X62" i="20"/>
  <c r="AE61" i="20"/>
  <c r="X61" i="20"/>
  <c r="AE60" i="20"/>
  <c r="X60" i="20"/>
  <c r="AE59" i="20"/>
  <c r="X59" i="20"/>
  <c r="AE58" i="20"/>
  <c r="X58" i="20"/>
  <c r="AE57" i="20"/>
  <c r="X57" i="20"/>
  <c r="F57" i="20"/>
  <c r="AE56" i="20"/>
  <c r="X56" i="20"/>
  <c r="F56" i="20"/>
  <c r="AE55" i="20"/>
  <c r="X55" i="20"/>
  <c r="AE54" i="20"/>
  <c r="X54" i="20"/>
  <c r="AE53" i="20"/>
  <c r="X53" i="20"/>
  <c r="F53" i="20"/>
  <c r="AE52" i="20"/>
  <c r="X52" i="20"/>
  <c r="AE51" i="20"/>
  <c r="X51" i="20"/>
  <c r="AE50" i="20"/>
  <c r="X50" i="20"/>
  <c r="F50" i="20"/>
  <c r="L66" i="19"/>
  <c r="F65" i="20" s="1"/>
  <c r="I66" i="19"/>
  <c r="G65" i="20" s="1"/>
  <c r="R65" i="20" s="1"/>
  <c r="L65" i="19"/>
  <c r="F64" i="20" s="1"/>
  <c r="I65" i="19"/>
  <c r="G64" i="20" s="1"/>
  <c r="R64" i="20" s="1"/>
  <c r="L64" i="19"/>
  <c r="F63" i="20" s="1"/>
  <c r="I64" i="19"/>
  <c r="Y63" i="20" s="1"/>
  <c r="L63" i="19"/>
  <c r="F62" i="20" s="1"/>
  <c r="I63" i="19"/>
  <c r="Y62" i="20" s="1"/>
  <c r="V62" i="19"/>
  <c r="L62" i="19"/>
  <c r="F61" i="20" s="1"/>
  <c r="I62" i="19"/>
  <c r="Y61" i="20" s="1"/>
  <c r="L61" i="19"/>
  <c r="F60" i="20" s="1"/>
  <c r="I61" i="19"/>
  <c r="G60" i="20" s="1"/>
  <c r="R60" i="20" s="1"/>
  <c r="L60" i="19"/>
  <c r="F59" i="20" s="1"/>
  <c r="I60" i="19"/>
  <c r="V60" i="19" s="1"/>
  <c r="L59" i="19"/>
  <c r="F58" i="20" s="1"/>
  <c r="I59" i="19"/>
  <c r="Y58" i="20" s="1"/>
  <c r="L58" i="19"/>
  <c r="I58" i="19"/>
  <c r="Y57" i="20" s="1"/>
  <c r="L57" i="19"/>
  <c r="I57" i="19"/>
  <c r="Y56" i="20" s="1"/>
  <c r="L56" i="19"/>
  <c r="F55" i="20" s="1"/>
  <c r="I56" i="19"/>
  <c r="Y55" i="20" s="1"/>
  <c r="L55" i="19"/>
  <c r="F54" i="20" s="1"/>
  <c r="I55" i="19"/>
  <c r="Y54" i="20" s="1"/>
  <c r="L54" i="19"/>
  <c r="I54" i="19"/>
  <c r="G53" i="20" s="1"/>
  <c r="R53" i="20" s="1"/>
  <c r="L53" i="19"/>
  <c r="F52" i="20" s="1"/>
  <c r="I53" i="19"/>
  <c r="Y52" i="20" s="1"/>
  <c r="L52" i="19"/>
  <c r="F51" i="20" s="1"/>
  <c r="I52" i="19"/>
  <c r="V52" i="19" s="1"/>
  <c r="L51" i="19"/>
  <c r="I51" i="19"/>
  <c r="G50" i="20" s="1"/>
  <c r="R50" i="20" s="1"/>
  <c r="AE89" i="17"/>
  <c r="X89" i="17"/>
  <c r="AE88" i="17"/>
  <c r="X88" i="17"/>
  <c r="AE87" i="17"/>
  <c r="X87" i="17"/>
  <c r="AE86" i="17"/>
  <c r="Y86" i="17"/>
  <c r="X86" i="17"/>
  <c r="AE85" i="17"/>
  <c r="X85" i="17"/>
  <c r="AE84" i="17"/>
  <c r="X84" i="17"/>
  <c r="F84" i="17"/>
  <c r="AE83" i="17"/>
  <c r="X83" i="17"/>
  <c r="AE82" i="17"/>
  <c r="X82" i="17"/>
  <c r="AE81" i="17"/>
  <c r="X81" i="17"/>
  <c r="AE80" i="17"/>
  <c r="X80" i="17"/>
  <c r="AE79" i="17"/>
  <c r="X79" i="17"/>
  <c r="AE78" i="17"/>
  <c r="X78" i="17"/>
  <c r="AE77" i="17"/>
  <c r="X77" i="17"/>
  <c r="AE76" i="17"/>
  <c r="X76" i="17"/>
  <c r="AE75" i="17"/>
  <c r="X75" i="17"/>
  <c r="AE74" i="17"/>
  <c r="X74" i="17"/>
  <c r="F74" i="17"/>
  <c r="AE73" i="17"/>
  <c r="X73" i="17"/>
  <c r="AE72" i="17"/>
  <c r="X72" i="17"/>
  <c r="AE71" i="17"/>
  <c r="X71" i="17"/>
  <c r="F71" i="17"/>
  <c r="AE70" i="17"/>
  <c r="X70" i="17"/>
  <c r="AE69" i="17"/>
  <c r="X69" i="17"/>
  <c r="AE68" i="17"/>
  <c r="X68" i="17"/>
  <c r="F68" i="17"/>
  <c r="AE67" i="17"/>
  <c r="X67" i="17"/>
  <c r="AE66" i="17"/>
  <c r="X66" i="17"/>
  <c r="L90" i="16"/>
  <c r="F89" i="17" s="1"/>
  <c r="I90" i="16"/>
  <c r="Y89" i="17" s="1"/>
  <c r="L89" i="16"/>
  <c r="F88" i="17" s="1"/>
  <c r="I89" i="16"/>
  <c r="V89" i="16" s="1"/>
  <c r="L88" i="16"/>
  <c r="F87" i="17" s="1"/>
  <c r="I88" i="16"/>
  <c r="Y87" i="17" s="1"/>
  <c r="L87" i="16"/>
  <c r="F86" i="17" s="1"/>
  <c r="I87" i="16"/>
  <c r="G86" i="17" s="1"/>
  <c r="R86" i="17" s="1"/>
  <c r="L86" i="16"/>
  <c r="F85" i="17" s="1"/>
  <c r="I86" i="16"/>
  <c r="Y85" i="17" s="1"/>
  <c r="L85" i="16"/>
  <c r="I85" i="16"/>
  <c r="Y84" i="17" s="1"/>
  <c r="L84" i="16"/>
  <c r="F83" i="17" s="1"/>
  <c r="I84" i="16"/>
  <c r="V84" i="16" s="1"/>
  <c r="L83" i="16"/>
  <c r="F82" i="17" s="1"/>
  <c r="I83" i="16"/>
  <c r="Y82" i="17" s="1"/>
  <c r="L82" i="16"/>
  <c r="F81" i="17" s="1"/>
  <c r="I82" i="16"/>
  <c r="G81" i="17" s="1"/>
  <c r="R81" i="17" s="1"/>
  <c r="L81" i="16"/>
  <c r="F80" i="17" s="1"/>
  <c r="I81" i="16"/>
  <c r="V81" i="16" s="1"/>
  <c r="L80" i="16"/>
  <c r="F79" i="17" s="1"/>
  <c r="I80" i="16"/>
  <c r="G79" i="17" s="1"/>
  <c r="R79" i="17" s="1"/>
  <c r="L79" i="16"/>
  <c r="F78" i="17" s="1"/>
  <c r="I79" i="16"/>
  <c r="Y78" i="17" s="1"/>
  <c r="L78" i="16"/>
  <c r="F77" i="17" s="1"/>
  <c r="I78" i="16"/>
  <c r="Y77" i="17" s="1"/>
  <c r="L77" i="16"/>
  <c r="F76" i="17" s="1"/>
  <c r="I77" i="16"/>
  <c r="Y76" i="17" s="1"/>
  <c r="L76" i="16"/>
  <c r="F75" i="17" s="1"/>
  <c r="I76" i="16"/>
  <c r="V76" i="16" s="1"/>
  <c r="L75" i="16"/>
  <c r="I75" i="16"/>
  <c r="V75" i="16" s="1"/>
  <c r="L74" i="16"/>
  <c r="F73" i="17" s="1"/>
  <c r="I74" i="16"/>
  <c r="Y73" i="17" s="1"/>
  <c r="L73" i="16"/>
  <c r="F72" i="17" s="1"/>
  <c r="I73" i="16"/>
  <c r="V73" i="16" s="1"/>
  <c r="L72" i="16"/>
  <c r="I72" i="16"/>
  <c r="V72" i="16" s="1"/>
  <c r="L71" i="16"/>
  <c r="F70" i="17" s="1"/>
  <c r="I71" i="16"/>
  <c r="Y70" i="17" s="1"/>
  <c r="L70" i="16"/>
  <c r="F69" i="17" s="1"/>
  <c r="I70" i="16"/>
  <c r="Y69" i="17" s="1"/>
  <c r="L69" i="16"/>
  <c r="I69" i="16"/>
  <c r="Y68" i="17" s="1"/>
  <c r="L68" i="16"/>
  <c r="F67" i="17" s="1"/>
  <c r="I68" i="16"/>
  <c r="V68" i="16" s="1"/>
  <c r="L67" i="16"/>
  <c r="F66" i="17" s="1"/>
  <c r="I67" i="16"/>
  <c r="Y66" i="17" s="1"/>
  <c r="AE80" i="13"/>
  <c r="X80" i="13"/>
  <c r="AE79" i="13"/>
  <c r="X79" i="13"/>
  <c r="AE78" i="13"/>
  <c r="X78" i="13"/>
  <c r="AE77" i="13"/>
  <c r="X77" i="13"/>
  <c r="AE76" i="13"/>
  <c r="X76" i="13"/>
  <c r="AE75" i="13"/>
  <c r="X75" i="13"/>
  <c r="AE74" i="13"/>
  <c r="X74" i="13"/>
  <c r="AE73" i="13"/>
  <c r="X73" i="13"/>
  <c r="AE72" i="13"/>
  <c r="X72" i="13"/>
  <c r="AE71" i="13"/>
  <c r="X71" i="13"/>
  <c r="AE70" i="13"/>
  <c r="X70" i="13"/>
  <c r="AE69" i="13"/>
  <c r="X69" i="13"/>
  <c r="AE68" i="13"/>
  <c r="X68" i="13"/>
  <c r="AE67" i="13"/>
  <c r="X67" i="13"/>
  <c r="AE66" i="13"/>
  <c r="Y66" i="13"/>
  <c r="X66" i="13"/>
  <c r="AE65" i="13"/>
  <c r="X65" i="13"/>
  <c r="AE64" i="13"/>
  <c r="X64" i="13"/>
  <c r="AE63" i="13"/>
  <c r="X63" i="13"/>
  <c r="AE62" i="13"/>
  <c r="X62" i="13"/>
  <c r="AE61" i="13"/>
  <c r="X61" i="13"/>
  <c r="AE60" i="13"/>
  <c r="X60" i="13"/>
  <c r="L81" i="12"/>
  <c r="F80" i="13" s="1"/>
  <c r="I81" i="12"/>
  <c r="V81" i="12" s="1"/>
  <c r="L80" i="12"/>
  <c r="F79" i="13" s="1"/>
  <c r="I80" i="12"/>
  <c r="V80" i="12" s="1"/>
  <c r="L79" i="12"/>
  <c r="F78" i="13" s="1"/>
  <c r="I79" i="12"/>
  <c r="V79" i="12" s="1"/>
  <c r="L78" i="12"/>
  <c r="F77" i="13" s="1"/>
  <c r="I78" i="12"/>
  <c r="Y77" i="13" s="1"/>
  <c r="L77" i="12"/>
  <c r="F76" i="13" s="1"/>
  <c r="I77" i="12"/>
  <c r="Y76" i="13" s="1"/>
  <c r="L76" i="12"/>
  <c r="F75" i="13" s="1"/>
  <c r="I76" i="12"/>
  <c r="G75" i="13" s="1"/>
  <c r="R75" i="13" s="1"/>
  <c r="L75" i="12"/>
  <c r="F74" i="13" s="1"/>
  <c r="I75" i="12"/>
  <c r="V75" i="12" s="1"/>
  <c r="L74" i="12"/>
  <c r="F73" i="13" s="1"/>
  <c r="I74" i="12"/>
  <c r="Y73" i="13" s="1"/>
  <c r="L73" i="12"/>
  <c r="F72" i="13" s="1"/>
  <c r="I73" i="12"/>
  <c r="G72" i="13" s="1"/>
  <c r="R72" i="13" s="1"/>
  <c r="L72" i="12"/>
  <c r="F71" i="13" s="1"/>
  <c r="I72" i="12"/>
  <c r="V72" i="12" s="1"/>
  <c r="L71" i="12"/>
  <c r="F70" i="13" s="1"/>
  <c r="I71" i="12"/>
  <c r="G70" i="13" s="1"/>
  <c r="R70" i="13" s="1"/>
  <c r="L70" i="12"/>
  <c r="F69" i="13" s="1"/>
  <c r="I70" i="12"/>
  <c r="Y69" i="13" s="1"/>
  <c r="L69" i="12"/>
  <c r="F68" i="13" s="1"/>
  <c r="I69" i="12"/>
  <c r="V69" i="12" s="1"/>
  <c r="L68" i="12"/>
  <c r="F67" i="13" s="1"/>
  <c r="I68" i="12"/>
  <c r="Y67" i="13" s="1"/>
  <c r="L67" i="12"/>
  <c r="F66" i="13" s="1"/>
  <c r="I67" i="12"/>
  <c r="G66" i="13" s="1"/>
  <c r="R66" i="13" s="1"/>
  <c r="L66" i="12"/>
  <c r="F65" i="13" s="1"/>
  <c r="I66" i="12"/>
  <c r="V66" i="12" s="1"/>
  <c r="L65" i="12"/>
  <c r="F64" i="13" s="1"/>
  <c r="I65" i="12"/>
  <c r="Y64" i="13" s="1"/>
  <c r="L64" i="12"/>
  <c r="F63" i="13" s="1"/>
  <c r="I64" i="12"/>
  <c r="V64" i="12" s="1"/>
  <c r="L63" i="12"/>
  <c r="F62" i="13" s="1"/>
  <c r="I63" i="12"/>
  <c r="V63" i="12" s="1"/>
  <c r="L62" i="12"/>
  <c r="F61" i="13" s="1"/>
  <c r="I62" i="12"/>
  <c r="Y61" i="13" s="1"/>
  <c r="L61" i="12"/>
  <c r="F60" i="13" s="1"/>
  <c r="I61" i="12"/>
  <c r="Y60" i="13" s="1"/>
  <c r="AE45" i="10"/>
  <c r="X45" i="10"/>
  <c r="AE44" i="10"/>
  <c r="X44" i="10"/>
  <c r="AE43" i="10"/>
  <c r="X43" i="10"/>
  <c r="AE42" i="10"/>
  <c r="X42" i="10"/>
  <c r="AE41" i="10"/>
  <c r="X41" i="10"/>
  <c r="AE40" i="10"/>
  <c r="X40" i="10"/>
  <c r="F40" i="10"/>
  <c r="AE39" i="10"/>
  <c r="X39" i="10"/>
  <c r="AE38" i="10"/>
  <c r="X38" i="10"/>
  <c r="AE37" i="10"/>
  <c r="X37" i="10"/>
  <c r="F37" i="10"/>
  <c r="AE36" i="10"/>
  <c r="X36" i="10"/>
  <c r="F36" i="10"/>
  <c r="L46" i="9"/>
  <c r="F45" i="10" s="1"/>
  <c r="I46" i="9"/>
  <c r="V46" i="9" s="1"/>
  <c r="L45" i="9"/>
  <c r="F44" i="10" s="1"/>
  <c r="I45" i="9"/>
  <c r="V45" i="9" s="1"/>
  <c r="L44" i="9"/>
  <c r="F43" i="10" s="1"/>
  <c r="I44" i="9"/>
  <c r="Y43" i="10" s="1"/>
  <c r="L43" i="9"/>
  <c r="F42" i="10" s="1"/>
  <c r="I43" i="9"/>
  <c r="G42" i="10" s="1"/>
  <c r="R42" i="10" s="1"/>
  <c r="L42" i="9"/>
  <c r="F41" i="10" s="1"/>
  <c r="I42" i="9"/>
  <c r="V42" i="9" s="1"/>
  <c r="L41" i="9"/>
  <c r="I41" i="9"/>
  <c r="G40" i="10" s="1"/>
  <c r="R40" i="10" s="1"/>
  <c r="L40" i="9"/>
  <c r="F39" i="10" s="1"/>
  <c r="I40" i="9"/>
  <c r="Y39" i="10" s="1"/>
  <c r="V39" i="9"/>
  <c r="L39" i="9"/>
  <c r="F38" i="10" s="1"/>
  <c r="I39" i="9"/>
  <c r="Y38" i="10" s="1"/>
  <c r="L38" i="9"/>
  <c r="I38" i="9"/>
  <c r="V38" i="9" s="1"/>
  <c r="L37" i="9"/>
  <c r="I37" i="9"/>
  <c r="V37" i="9" s="1"/>
  <c r="AE37" i="7"/>
  <c r="X37" i="7"/>
  <c r="AE36" i="7"/>
  <c r="X36" i="7"/>
  <c r="AE35" i="7"/>
  <c r="X35" i="7"/>
  <c r="AE34" i="7"/>
  <c r="Y34" i="7"/>
  <c r="X34" i="7"/>
  <c r="AE33" i="7"/>
  <c r="X33" i="7"/>
  <c r="AE32" i="7"/>
  <c r="X32" i="7"/>
  <c r="AE31" i="7"/>
  <c r="X31" i="7"/>
  <c r="G31" i="7"/>
  <c r="R31" i="7" s="1"/>
  <c r="F31" i="7"/>
  <c r="B31" i="7"/>
  <c r="AE30" i="7"/>
  <c r="X30" i="7"/>
  <c r="B30" i="7"/>
  <c r="AE29" i="7"/>
  <c r="X29" i="7"/>
  <c r="B29" i="7"/>
  <c r="AE28" i="7"/>
  <c r="X28" i="7"/>
  <c r="B28" i="7"/>
  <c r="L38" i="6"/>
  <c r="F37" i="7" s="1"/>
  <c r="I38" i="6"/>
  <c r="V38" i="6" s="1"/>
  <c r="L37" i="6"/>
  <c r="F36" i="7" s="1"/>
  <c r="I37" i="6"/>
  <c r="V37" i="6" s="1"/>
  <c r="L36" i="6"/>
  <c r="F35" i="7" s="1"/>
  <c r="I36" i="6"/>
  <c r="Y35" i="7" s="1"/>
  <c r="L35" i="6"/>
  <c r="F34" i="7" s="1"/>
  <c r="I35" i="6"/>
  <c r="G34" i="7" s="1"/>
  <c r="R34" i="7" s="1"/>
  <c r="L34" i="6"/>
  <c r="F33" i="7" s="1"/>
  <c r="I34" i="6"/>
  <c r="V34" i="6" s="1"/>
  <c r="L33" i="6"/>
  <c r="F32" i="7" s="1"/>
  <c r="I33" i="6"/>
  <c r="V33" i="6" s="1"/>
  <c r="Y32" i="6"/>
  <c r="W32" i="6"/>
  <c r="L32" i="6"/>
  <c r="I32" i="6"/>
  <c r="V32" i="6" s="1"/>
  <c r="E32" i="6"/>
  <c r="E31" i="7" s="1"/>
  <c r="B32" i="6"/>
  <c r="C32" i="6" s="1"/>
  <c r="D32" i="6" s="1"/>
  <c r="D31" i="7" s="1"/>
  <c r="Y31" i="6"/>
  <c r="W31" i="6"/>
  <c r="L31" i="6"/>
  <c r="F30" i="7" s="1"/>
  <c r="I31" i="6"/>
  <c r="V31" i="6" s="1"/>
  <c r="B31" i="6"/>
  <c r="E31" i="6" s="1"/>
  <c r="E30" i="7" s="1"/>
  <c r="Y30" i="6"/>
  <c r="W30" i="6"/>
  <c r="V30" i="6"/>
  <c r="P30" i="6"/>
  <c r="O30" i="6"/>
  <c r="N30" i="6"/>
  <c r="M30" i="6"/>
  <c r="L30" i="6"/>
  <c r="F29" i="7" s="1"/>
  <c r="I30" i="6"/>
  <c r="Y29" i="7" s="1"/>
  <c r="E30" i="6"/>
  <c r="E29" i="7" s="1"/>
  <c r="C30" i="6"/>
  <c r="C29" i="7" s="1"/>
  <c r="B30" i="6"/>
  <c r="U30" i="6" s="1"/>
  <c r="Y29" i="6"/>
  <c r="W29" i="6"/>
  <c r="P29" i="6"/>
  <c r="O29" i="6"/>
  <c r="N29" i="6"/>
  <c r="M29" i="6"/>
  <c r="L29" i="6"/>
  <c r="Q29" i="6" s="1"/>
  <c r="I29" i="6"/>
  <c r="V29" i="6" s="1"/>
  <c r="B29" i="6"/>
  <c r="C29" i="6" s="1"/>
  <c r="D29" i="6" s="1"/>
  <c r="D28" i="7" s="1"/>
  <c r="B19" i="5"/>
  <c r="B18" i="5"/>
  <c r="G17" i="5"/>
  <c r="I17" i="5" s="1"/>
  <c r="B17" i="5"/>
  <c r="G16" i="5"/>
  <c r="K16" i="5" s="1"/>
  <c r="B16" i="5"/>
  <c r="AE159" i="2"/>
  <c r="X159" i="2"/>
  <c r="AE158" i="2"/>
  <c r="X158" i="2"/>
  <c r="AE157" i="2"/>
  <c r="X157" i="2"/>
  <c r="AE156" i="2"/>
  <c r="X156" i="2"/>
  <c r="AE155" i="2"/>
  <c r="X155" i="2"/>
  <c r="AE154" i="2"/>
  <c r="X154" i="2"/>
  <c r="AE153" i="2"/>
  <c r="X153" i="2"/>
  <c r="AE152" i="2"/>
  <c r="X152" i="2"/>
  <c r="AE151" i="2"/>
  <c r="X151" i="2"/>
  <c r="AE150" i="2"/>
  <c r="X150" i="2"/>
  <c r="AE149" i="2"/>
  <c r="X149" i="2"/>
  <c r="AE148" i="2"/>
  <c r="X148" i="2"/>
  <c r="AE147" i="2"/>
  <c r="X147" i="2"/>
  <c r="F147" i="2"/>
  <c r="AE146" i="2"/>
  <c r="X146" i="2"/>
  <c r="AE145" i="2"/>
  <c r="X145" i="2"/>
  <c r="AE144" i="2"/>
  <c r="X144" i="2"/>
  <c r="AE143" i="2"/>
  <c r="X143" i="2"/>
  <c r="AE142" i="2"/>
  <c r="X142" i="2"/>
  <c r="AE141" i="2"/>
  <c r="X141" i="2"/>
  <c r="AE140" i="2"/>
  <c r="X140" i="2"/>
  <c r="AE139" i="2"/>
  <c r="X139" i="2"/>
  <c r="AE138" i="2"/>
  <c r="X138" i="2"/>
  <c r="F138" i="2"/>
  <c r="AE137" i="2"/>
  <c r="X137" i="2"/>
  <c r="AE136" i="2"/>
  <c r="X136" i="2"/>
  <c r="AE135" i="2"/>
  <c r="X135" i="2"/>
  <c r="AE134" i="2"/>
  <c r="X134" i="2"/>
  <c r="AE133" i="2"/>
  <c r="X133" i="2"/>
  <c r="AE132" i="2"/>
  <c r="X132" i="2"/>
  <c r="AE131" i="2"/>
  <c r="X131" i="2"/>
  <c r="F131" i="2"/>
  <c r="AE130" i="2"/>
  <c r="X130" i="2"/>
  <c r="AE129" i="2"/>
  <c r="X129" i="2"/>
  <c r="AE128" i="2"/>
  <c r="X128" i="2"/>
  <c r="AE127" i="2"/>
  <c r="X127" i="2"/>
  <c r="AE126" i="2"/>
  <c r="X126" i="2"/>
  <c r="F126" i="2"/>
  <c r="AE125" i="2"/>
  <c r="X125" i="2"/>
  <c r="AE124" i="2"/>
  <c r="X124" i="2"/>
  <c r="AE123" i="2"/>
  <c r="X123" i="2"/>
  <c r="AE122" i="2"/>
  <c r="X122" i="2"/>
  <c r="AE121" i="2"/>
  <c r="X121" i="2"/>
  <c r="AE120" i="2"/>
  <c r="X120" i="2"/>
  <c r="F120" i="2"/>
  <c r="AE119" i="2"/>
  <c r="X119" i="2"/>
  <c r="AE118" i="2"/>
  <c r="X118" i="2"/>
  <c r="AE117" i="2"/>
  <c r="X117" i="2"/>
  <c r="F117" i="2"/>
  <c r="AE116" i="2"/>
  <c r="X116" i="2"/>
  <c r="F116" i="2"/>
  <c r="AE115" i="2"/>
  <c r="X115" i="2"/>
  <c r="AE114" i="2"/>
  <c r="X114" i="2"/>
  <c r="AE113" i="2"/>
  <c r="X113" i="2"/>
  <c r="L160" i="1"/>
  <c r="F159" i="2" s="1"/>
  <c r="I160" i="1"/>
  <c r="G159" i="2" s="1"/>
  <c r="R159" i="2" s="1"/>
  <c r="L159" i="1"/>
  <c r="F158" i="2" s="1"/>
  <c r="I159" i="1"/>
  <c r="G158" i="2" s="1"/>
  <c r="R158" i="2" s="1"/>
  <c r="L158" i="1"/>
  <c r="F157" i="2" s="1"/>
  <c r="I158" i="1"/>
  <c r="G157" i="2" s="1"/>
  <c r="R157" i="2" s="1"/>
  <c r="L157" i="1"/>
  <c r="F156" i="2" s="1"/>
  <c r="I157" i="1"/>
  <c r="G156" i="2" s="1"/>
  <c r="R156" i="2" s="1"/>
  <c r="L156" i="1"/>
  <c r="F155" i="2" s="1"/>
  <c r="I156" i="1"/>
  <c r="Y155" i="2" s="1"/>
  <c r="L155" i="1"/>
  <c r="F154" i="2" s="1"/>
  <c r="I155" i="1"/>
  <c r="V155" i="1" s="1"/>
  <c r="L154" i="1"/>
  <c r="F153" i="2" s="1"/>
  <c r="I154" i="1"/>
  <c r="G153" i="2" s="1"/>
  <c r="R153" i="2" s="1"/>
  <c r="L153" i="1"/>
  <c r="F152" i="2" s="1"/>
  <c r="I153" i="1"/>
  <c r="G152" i="2" s="1"/>
  <c r="R152" i="2" s="1"/>
  <c r="V152" i="1"/>
  <c r="L152" i="1"/>
  <c r="F151" i="2" s="1"/>
  <c r="I152" i="1"/>
  <c r="G151" i="2" s="1"/>
  <c r="R151" i="2" s="1"/>
  <c r="L151" i="1"/>
  <c r="F150" i="2" s="1"/>
  <c r="I151" i="1"/>
  <c r="G150" i="2" s="1"/>
  <c r="R150" i="2" s="1"/>
  <c r="L150" i="1"/>
  <c r="F149" i="2" s="1"/>
  <c r="I150" i="1"/>
  <c r="V150" i="1" s="1"/>
  <c r="L149" i="1"/>
  <c r="F148" i="2" s="1"/>
  <c r="I149" i="1"/>
  <c r="Y148" i="2" s="1"/>
  <c r="V148" i="1"/>
  <c r="L148" i="1"/>
  <c r="I148" i="1"/>
  <c r="Y147" i="2" s="1"/>
  <c r="L147" i="1"/>
  <c r="F146" i="2" s="1"/>
  <c r="I147" i="1"/>
  <c r="V147" i="1" s="1"/>
  <c r="L146" i="1"/>
  <c r="F145" i="2" s="1"/>
  <c r="I146" i="1"/>
  <c r="G145" i="2" s="1"/>
  <c r="R145" i="2" s="1"/>
  <c r="V145" i="1"/>
  <c r="L145" i="1"/>
  <c r="F144" i="2" s="1"/>
  <c r="I145" i="1"/>
  <c r="G144" i="2" s="1"/>
  <c r="R144" i="2" s="1"/>
  <c r="L144" i="1"/>
  <c r="F143" i="2" s="1"/>
  <c r="I144" i="1"/>
  <c r="Y143" i="2" s="1"/>
  <c r="L143" i="1"/>
  <c r="F142" i="2" s="1"/>
  <c r="I143" i="1"/>
  <c r="G142" i="2" s="1"/>
  <c r="R142" i="2" s="1"/>
  <c r="L142" i="1"/>
  <c r="F141" i="2" s="1"/>
  <c r="I142" i="1"/>
  <c r="Y141" i="2" s="1"/>
  <c r="L141" i="1"/>
  <c r="F140" i="2" s="1"/>
  <c r="I141" i="1"/>
  <c r="Y140" i="2" s="1"/>
  <c r="L140" i="1"/>
  <c r="F139" i="2" s="1"/>
  <c r="I140" i="1"/>
  <c r="Y139" i="2" s="1"/>
  <c r="L139" i="1"/>
  <c r="I139" i="1"/>
  <c r="V139" i="1" s="1"/>
  <c r="L138" i="1"/>
  <c r="F137" i="2" s="1"/>
  <c r="I138" i="1"/>
  <c r="G137" i="2" s="1"/>
  <c r="R137" i="2" s="1"/>
  <c r="L137" i="1"/>
  <c r="F136" i="2" s="1"/>
  <c r="I137" i="1"/>
  <c r="Y136" i="2" s="1"/>
  <c r="L136" i="1"/>
  <c r="F135" i="2" s="1"/>
  <c r="I136" i="1"/>
  <c r="G135" i="2" s="1"/>
  <c r="R135" i="2" s="1"/>
  <c r="L135" i="1"/>
  <c r="F134" i="2" s="1"/>
  <c r="I135" i="1"/>
  <c r="G134" i="2" s="1"/>
  <c r="R134" i="2" s="1"/>
  <c r="L134" i="1"/>
  <c r="F133" i="2" s="1"/>
  <c r="I134" i="1"/>
  <c r="G133" i="2" s="1"/>
  <c r="R133" i="2" s="1"/>
  <c r="L133" i="1"/>
  <c r="F132" i="2" s="1"/>
  <c r="I133" i="1"/>
  <c r="Y132" i="2" s="1"/>
  <c r="L132" i="1"/>
  <c r="I132" i="1"/>
  <c r="Y131" i="2" s="1"/>
  <c r="L131" i="1"/>
  <c r="F130" i="2" s="1"/>
  <c r="I131" i="1"/>
  <c r="V131" i="1" s="1"/>
  <c r="L130" i="1"/>
  <c r="F129" i="2" s="1"/>
  <c r="I130" i="1"/>
  <c r="Y129" i="2" s="1"/>
  <c r="L129" i="1"/>
  <c r="F128" i="2" s="1"/>
  <c r="I129" i="1"/>
  <c r="G128" i="2" s="1"/>
  <c r="R128" i="2" s="1"/>
  <c r="V128" i="1"/>
  <c r="L128" i="1"/>
  <c r="F127" i="2" s="1"/>
  <c r="I128" i="1"/>
  <c r="G127" i="2" s="1"/>
  <c r="R127" i="2" s="1"/>
  <c r="L127" i="1"/>
  <c r="I127" i="1"/>
  <c r="Y126" i="2" s="1"/>
  <c r="L126" i="1"/>
  <c r="F125" i="2" s="1"/>
  <c r="I126" i="1"/>
  <c r="Y125" i="2" s="1"/>
  <c r="L125" i="1"/>
  <c r="F124" i="2" s="1"/>
  <c r="I125" i="1"/>
  <c r="Y124" i="2" s="1"/>
  <c r="L124" i="1"/>
  <c r="F123" i="2" s="1"/>
  <c r="I124" i="1"/>
  <c r="G123" i="2" s="1"/>
  <c r="R123" i="2" s="1"/>
  <c r="L123" i="1"/>
  <c r="F122" i="2" s="1"/>
  <c r="I123" i="1"/>
  <c r="V123" i="1" s="1"/>
  <c r="L122" i="1"/>
  <c r="F121" i="2" s="1"/>
  <c r="I122" i="1"/>
  <c r="G121" i="2" s="1"/>
  <c r="R121" i="2" s="1"/>
  <c r="L121" i="1"/>
  <c r="I121" i="1"/>
  <c r="G120" i="2" s="1"/>
  <c r="R120" i="2" s="1"/>
  <c r="L120" i="1"/>
  <c r="F119" i="2" s="1"/>
  <c r="I120" i="1"/>
  <c r="G119" i="2" s="1"/>
  <c r="R119" i="2" s="1"/>
  <c r="L119" i="1"/>
  <c r="F118" i="2" s="1"/>
  <c r="I119" i="1"/>
  <c r="Y118" i="2" s="1"/>
  <c r="L118" i="1"/>
  <c r="I118" i="1"/>
  <c r="Y117" i="2" s="1"/>
  <c r="L117" i="1"/>
  <c r="I117" i="1"/>
  <c r="G116" i="2" s="1"/>
  <c r="R116" i="2" s="1"/>
  <c r="L116" i="1"/>
  <c r="F115" i="2" s="1"/>
  <c r="I116" i="1"/>
  <c r="Y115" i="2" s="1"/>
  <c r="L115" i="1"/>
  <c r="F114" i="2" s="1"/>
  <c r="I115" i="1"/>
  <c r="V115" i="1" s="1"/>
  <c r="L114" i="1"/>
  <c r="F113" i="2" s="1"/>
  <c r="I114" i="1"/>
  <c r="Y113" i="2" s="1"/>
  <c r="W47" i="40"/>
  <c r="W46" i="40"/>
  <c r="W45" i="40"/>
  <c r="W44" i="40"/>
  <c r="W99" i="37"/>
  <c r="W98" i="37"/>
  <c r="W97" i="37"/>
  <c r="W96" i="37"/>
  <c r="W73" i="34"/>
  <c r="W72" i="34"/>
  <c r="W71" i="34"/>
  <c r="W70" i="34"/>
  <c r="W47" i="31"/>
  <c r="W46" i="31"/>
  <c r="W45" i="31"/>
  <c r="W44" i="31"/>
  <c r="W47" i="28"/>
  <c r="W46" i="28"/>
  <c r="W45" i="28"/>
  <c r="W44" i="28"/>
  <c r="W84" i="25"/>
  <c r="W83" i="25"/>
  <c r="W82" i="25"/>
  <c r="W81" i="25"/>
  <c r="W58" i="22"/>
  <c r="W57" i="22"/>
  <c r="W56" i="22"/>
  <c r="W55" i="22"/>
  <c r="W81" i="19"/>
  <c r="W80" i="19"/>
  <c r="W79" i="19"/>
  <c r="W78" i="19"/>
  <c r="W105" i="16"/>
  <c r="W104" i="16"/>
  <c r="W103" i="16"/>
  <c r="W102" i="16"/>
  <c r="W96" i="12"/>
  <c r="W95" i="12"/>
  <c r="W94" i="12"/>
  <c r="W93" i="12"/>
  <c r="W61" i="9"/>
  <c r="W60" i="9"/>
  <c r="W59" i="9"/>
  <c r="W58" i="9"/>
  <c r="W53" i="6"/>
  <c r="W52" i="6"/>
  <c r="W51" i="6"/>
  <c r="W50" i="6"/>
  <c r="I19" i="14"/>
  <c r="B9" i="41"/>
  <c r="B10" i="41"/>
  <c r="D11" i="41"/>
  <c r="X20" i="41"/>
  <c r="N21" i="40" s="1"/>
  <c r="AE20" i="41"/>
  <c r="P31" i="40" s="1"/>
  <c r="B21" i="41"/>
  <c r="B32" i="41" s="1"/>
  <c r="X21" i="41"/>
  <c r="N32" i="40" s="1"/>
  <c r="AE21" i="41"/>
  <c r="P22" i="40" s="1"/>
  <c r="X32" i="41"/>
  <c r="N33" i="40" s="1"/>
  <c r="AE32" i="41"/>
  <c r="AF33" i="41"/>
  <c r="H34" i="41"/>
  <c r="K20" i="14" s="1"/>
  <c r="I34" i="41"/>
  <c r="M20" i="14" s="1"/>
  <c r="J34" i="41"/>
  <c r="N20" i="14" s="1"/>
  <c r="K34" i="41"/>
  <c r="O20" i="14" s="1"/>
  <c r="L34" i="41"/>
  <c r="P20" i="14" s="1"/>
  <c r="M34" i="41"/>
  <c r="Q20" i="14" s="1"/>
  <c r="N34" i="41"/>
  <c r="R20" i="14" s="1"/>
  <c r="O34" i="41"/>
  <c r="S20" i="14" s="1"/>
  <c r="P34" i="41"/>
  <c r="T20" i="14" s="1"/>
  <c r="Q34" i="41"/>
  <c r="U20" i="14" s="1"/>
  <c r="S34" i="41"/>
  <c r="X20" i="14" s="1"/>
  <c r="T34" i="41"/>
  <c r="Z20" i="14" s="1"/>
  <c r="U34" i="41"/>
  <c r="AA20" i="14" s="1"/>
  <c r="V34" i="41"/>
  <c r="AB20" i="14" s="1"/>
  <c r="W34" i="41"/>
  <c r="AC20" i="14" s="1"/>
  <c r="Z34" i="41"/>
  <c r="AH20" i="14" s="1"/>
  <c r="AA34" i="41"/>
  <c r="AI20" i="14" s="1"/>
  <c r="AB34" i="41"/>
  <c r="AJ20" i="14" s="1"/>
  <c r="AC34" i="41"/>
  <c r="AK20" i="14" s="1"/>
  <c r="AD34" i="41"/>
  <c r="AL20" i="14" s="1"/>
  <c r="C21" i="40"/>
  <c r="D21" i="40" s="1"/>
  <c r="D20" i="41" s="1"/>
  <c r="E21" i="40"/>
  <c r="E20" i="41" s="1"/>
  <c r="I21" i="40"/>
  <c r="G20" i="41" s="1"/>
  <c r="L21" i="40"/>
  <c r="P21" i="40"/>
  <c r="U21" i="40"/>
  <c r="B22" i="40"/>
  <c r="B33" i="40" s="1"/>
  <c r="I22" i="40"/>
  <c r="V22" i="40" s="1"/>
  <c r="L22" i="40"/>
  <c r="F21" i="41" s="1"/>
  <c r="U22" i="40"/>
  <c r="W22" i="40"/>
  <c r="W33" i="40" s="1"/>
  <c r="Y22" i="40"/>
  <c r="I33" i="40"/>
  <c r="G32" i="41" s="1"/>
  <c r="R32" i="41" s="1"/>
  <c r="M33" i="40" s="1"/>
  <c r="L33" i="40"/>
  <c r="F32" i="41" s="1"/>
  <c r="P33" i="40"/>
  <c r="Y33" i="40"/>
  <c r="F35" i="40"/>
  <c r="H35" i="40"/>
  <c r="F40" i="40"/>
  <c r="M40" i="40"/>
  <c r="G8" i="39"/>
  <c r="B9" i="39"/>
  <c r="F21" i="39"/>
  <c r="B9" i="38"/>
  <c r="B10" i="38"/>
  <c r="D11" i="38"/>
  <c r="X20" i="38"/>
  <c r="N21" i="37" s="1"/>
  <c r="AE20" i="38"/>
  <c r="B21" i="38"/>
  <c r="X21" i="38"/>
  <c r="AE21" i="38"/>
  <c r="B22" i="38"/>
  <c r="B23" i="38" s="1"/>
  <c r="B24" i="38" s="1"/>
  <c r="B25" i="38" s="1"/>
  <c r="B26" i="38" s="1"/>
  <c r="B27" i="38" s="1"/>
  <c r="B28" i="38" s="1"/>
  <c r="B29" i="38" s="1"/>
  <c r="B30" i="38" s="1"/>
  <c r="B31" i="38" s="1"/>
  <c r="B32" i="38" s="1"/>
  <c r="B33" i="38" s="1"/>
  <c r="B34" i="38" s="1"/>
  <c r="B35" i="38" s="1"/>
  <c r="B36" i="38" s="1"/>
  <c r="B37" i="38" s="1"/>
  <c r="B38" i="38" s="1"/>
  <c r="B39" i="38" s="1"/>
  <c r="B40" i="38" s="1"/>
  <c r="B41" i="38" s="1"/>
  <c r="B42" i="38" s="1"/>
  <c r="B43" i="38" s="1"/>
  <c r="B44" i="38" s="1"/>
  <c r="B45" i="38" s="1"/>
  <c r="B46" i="38" s="1"/>
  <c r="B47" i="38" s="1"/>
  <c r="B48" i="38" s="1"/>
  <c r="B49" i="38" s="1"/>
  <c r="B50" i="38" s="1"/>
  <c r="B51" i="38" s="1"/>
  <c r="B52" i="38" s="1"/>
  <c r="B53" i="38" s="1"/>
  <c r="B54" i="38" s="1"/>
  <c r="B55" i="38" s="1"/>
  <c r="B56" i="38" s="1"/>
  <c r="B57" i="38" s="1"/>
  <c r="B58" i="38" s="1"/>
  <c r="B59" i="38" s="1"/>
  <c r="B60" i="38" s="1"/>
  <c r="B61" i="38" s="1"/>
  <c r="B84" i="38" s="1"/>
  <c r="X22" i="38"/>
  <c r="N23" i="37" s="1"/>
  <c r="AE22" i="38"/>
  <c r="P23" i="37" s="1"/>
  <c r="X23" i="38"/>
  <c r="N24" i="37" s="1"/>
  <c r="AE23" i="38"/>
  <c r="P24" i="37" s="1"/>
  <c r="X24" i="38"/>
  <c r="AE24" i="38"/>
  <c r="X25" i="38"/>
  <c r="N26" i="37" s="1"/>
  <c r="AE25" i="38"/>
  <c r="P26" i="37" s="1"/>
  <c r="X26" i="38"/>
  <c r="N27" i="37" s="1"/>
  <c r="AE26" i="38"/>
  <c r="X27" i="38"/>
  <c r="N28" i="37" s="1"/>
  <c r="AE27" i="38"/>
  <c r="X28" i="38"/>
  <c r="N29" i="37" s="1"/>
  <c r="AE28" i="38"/>
  <c r="X29" i="38"/>
  <c r="N30" i="37" s="1"/>
  <c r="AE29" i="38"/>
  <c r="P30" i="37" s="1"/>
  <c r="X30" i="38"/>
  <c r="N31" i="37" s="1"/>
  <c r="AE30" i="38"/>
  <c r="P31" i="37" s="1"/>
  <c r="X31" i="38"/>
  <c r="N32" i="37" s="1"/>
  <c r="AE31" i="38"/>
  <c r="P32" i="37" s="1"/>
  <c r="X32" i="38"/>
  <c r="N33" i="37" s="1"/>
  <c r="AE32" i="38"/>
  <c r="X33" i="38"/>
  <c r="AE33" i="38"/>
  <c r="P34" i="37" s="1"/>
  <c r="X34" i="38"/>
  <c r="N35" i="37" s="1"/>
  <c r="AE34" i="38"/>
  <c r="P35" i="37" s="1"/>
  <c r="X35" i="38"/>
  <c r="N36" i="37" s="1"/>
  <c r="AE35" i="38"/>
  <c r="P36" i="37" s="1"/>
  <c r="X36" i="38"/>
  <c r="N37" i="37" s="1"/>
  <c r="AE36" i="38"/>
  <c r="X37" i="38"/>
  <c r="N38" i="37" s="1"/>
  <c r="AE37" i="38"/>
  <c r="P38" i="37" s="1"/>
  <c r="X38" i="38"/>
  <c r="N39" i="37" s="1"/>
  <c r="AE38" i="38"/>
  <c r="P39" i="37" s="1"/>
  <c r="X39" i="38"/>
  <c r="N40" i="37" s="1"/>
  <c r="AE39" i="38"/>
  <c r="X40" i="38"/>
  <c r="N41" i="37" s="1"/>
  <c r="AE40" i="38"/>
  <c r="P63" i="37" s="1"/>
  <c r="X41" i="38"/>
  <c r="N42" i="37" s="1"/>
  <c r="AE41" i="38"/>
  <c r="P64" i="37" s="1"/>
  <c r="X42" i="38"/>
  <c r="N43" i="37" s="1"/>
  <c r="AE42" i="38"/>
  <c r="P43" i="37" s="1"/>
  <c r="X43" i="38"/>
  <c r="N44" i="37" s="1"/>
  <c r="AE43" i="38"/>
  <c r="P66" i="37" s="1"/>
  <c r="X44" i="38"/>
  <c r="N45" i="37" s="1"/>
  <c r="AE44" i="38"/>
  <c r="P45" i="37" s="1"/>
  <c r="X45" i="38"/>
  <c r="N68" i="37" s="1"/>
  <c r="AE45" i="38"/>
  <c r="P46" i="37" s="1"/>
  <c r="X46" i="38"/>
  <c r="N69" i="37" s="1"/>
  <c r="AE46" i="38"/>
  <c r="P69" i="37" s="1"/>
  <c r="X47" i="38"/>
  <c r="N70" i="37" s="1"/>
  <c r="AE47" i="38"/>
  <c r="P70" i="37" s="1"/>
  <c r="X48" i="38"/>
  <c r="N71" i="37" s="1"/>
  <c r="AE48" i="38"/>
  <c r="P71" i="37" s="1"/>
  <c r="X49" i="38"/>
  <c r="N50" i="37" s="1"/>
  <c r="AE49" i="38"/>
  <c r="P50" i="37" s="1"/>
  <c r="X50" i="38"/>
  <c r="N73" i="37" s="1"/>
  <c r="AE50" i="38"/>
  <c r="P73" i="37" s="1"/>
  <c r="X51" i="38"/>
  <c r="N74" i="37" s="1"/>
  <c r="AE51" i="38"/>
  <c r="P74" i="37" s="1"/>
  <c r="X52" i="38"/>
  <c r="N75" i="37" s="1"/>
  <c r="AE52" i="38"/>
  <c r="P53" i="37" s="1"/>
  <c r="X53" i="38"/>
  <c r="N76" i="37" s="1"/>
  <c r="AE53" i="38"/>
  <c r="P76" i="37" s="1"/>
  <c r="X54" i="38"/>
  <c r="N55" i="37" s="1"/>
  <c r="AE54" i="38"/>
  <c r="P55" i="37" s="1"/>
  <c r="X55" i="38"/>
  <c r="N78" i="37" s="1"/>
  <c r="AE55" i="38"/>
  <c r="P78" i="37" s="1"/>
  <c r="X56" i="38"/>
  <c r="N57" i="37" s="1"/>
  <c r="AE56" i="38"/>
  <c r="P57" i="37" s="1"/>
  <c r="X57" i="38"/>
  <c r="N80" i="37" s="1"/>
  <c r="AE57" i="38"/>
  <c r="P80" i="37" s="1"/>
  <c r="X58" i="38"/>
  <c r="N81" i="37" s="1"/>
  <c r="AE58" i="38"/>
  <c r="P81" i="37" s="1"/>
  <c r="X59" i="38"/>
  <c r="N60" i="37" s="1"/>
  <c r="AE59" i="38"/>
  <c r="P82" i="37" s="1"/>
  <c r="X60" i="38"/>
  <c r="N83" i="37" s="1"/>
  <c r="AE60" i="38"/>
  <c r="P83" i="37" s="1"/>
  <c r="X61" i="38"/>
  <c r="N84" i="37" s="1"/>
  <c r="AE61" i="38"/>
  <c r="P84" i="37" s="1"/>
  <c r="X84" i="38"/>
  <c r="N85" i="37" s="1"/>
  <c r="AE84" i="38"/>
  <c r="P85" i="37" s="1"/>
  <c r="AF85" i="38"/>
  <c r="H86" i="38"/>
  <c r="K19" i="14" s="1"/>
  <c r="I86" i="38"/>
  <c r="M19" i="14" s="1"/>
  <c r="J86" i="38"/>
  <c r="N19" i="14" s="1"/>
  <c r="K86" i="38"/>
  <c r="O19" i="14" s="1"/>
  <c r="L86" i="38"/>
  <c r="P19" i="14" s="1"/>
  <c r="M86" i="38"/>
  <c r="Q19" i="14" s="1"/>
  <c r="N86" i="38"/>
  <c r="R19" i="14" s="1"/>
  <c r="O86" i="38"/>
  <c r="S19" i="14" s="1"/>
  <c r="P86" i="38"/>
  <c r="T19" i="14" s="1"/>
  <c r="Q86" i="38"/>
  <c r="U19" i="14" s="1"/>
  <c r="S86" i="38"/>
  <c r="X19" i="14" s="1"/>
  <c r="T86" i="38"/>
  <c r="Z19" i="14" s="1"/>
  <c r="U86" i="38"/>
  <c r="AA19" i="14" s="1"/>
  <c r="V86" i="38"/>
  <c r="AB19" i="14" s="1"/>
  <c r="W86" i="38"/>
  <c r="AC19" i="14" s="1"/>
  <c r="Z86" i="38"/>
  <c r="AH19" i="14" s="1"/>
  <c r="AA86" i="38"/>
  <c r="AI19" i="14" s="1"/>
  <c r="AB86" i="38"/>
  <c r="AJ19" i="14" s="1"/>
  <c r="AC86" i="38"/>
  <c r="AK19" i="14" s="1"/>
  <c r="AD86" i="38"/>
  <c r="AL19" i="14" s="1"/>
  <c r="C20" i="38"/>
  <c r="E21" i="37"/>
  <c r="E20" i="38" s="1"/>
  <c r="I21" i="37"/>
  <c r="G20" i="38" s="1"/>
  <c r="L21" i="37"/>
  <c r="F20" i="38" s="1"/>
  <c r="U21" i="37"/>
  <c r="B22" i="37"/>
  <c r="I22" i="37"/>
  <c r="G21" i="38" s="1"/>
  <c r="R21" i="38" s="1"/>
  <c r="M22" i="37" s="1"/>
  <c r="L22" i="37"/>
  <c r="N22" i="37"/>
  <c r="P22" i="37"/>
  <c r="U22" i="37"/>
  <c r="B23" i="37"/>
  <c r="B24" i="37" s="1"/>
  <c r="D23" i="37"/>
  <c r="D22" i="38" s="1"/>
  <c r="I23" i="37"/>
  <c r="V23" i="37" s="1"/>
  <c r="L23" i="37"/>
  <c r="F22" i="38" s="1"/>
  <c r="I24" i="37"/>
  <c r="G11" i="36" s="1"/>
  <c r="K11" i="36" s="1"/>
  <c r="L24" i="37"/>
  <c r="I25" i="37"/>
  <c r="G24" i="38" s="1"/>
  <c r="R24" i="38" s="1"/>
  <c r="M25" i="37" s="1"/>
  <c r="L25" i="37"/>
  <c r="F24" i="38" s="1"/>
  <c r="N25" i="37"/>
  <c r="P25" i="37"/>
  <c r="I26" i="37"/>
  <c r="L26" i="37"/>
  <c r="I27" i="37"/>
  <c r="G14" i="36" s="1"/>
  <c r="I14" i="36" s="1"/>
  <c r="L27" i="37"/>
  <c r="P27" i="37"/>
  <c r="I28" i="37"/>
  <c r="Y27" i="38" s="1"/>
  <c r="X28" i="37" s="1"/>
  <c r="L28" i="37"/>
  <c r="F27" i="38" s="1"/>
  <c r="P28" i="37"/>
  <c r="V28" i="37"/>
  <c r="I29" i="37"/>
  <c r="V29" i="37" s="1"/>
  <c r="L29" i="37"/>
  <c r="F28" i="38" s="1"/>
  <c r="P29" i="37"/>
  <c r="I30" i="37"/>
  <c r="G29" i="38" s="1"/>
  <c r="R29" i="38" s="1"/>
  <c r="M30" i="37" s="1"/>
  <c r="L30" i="37"/>
  <c r="F29" i="38" s="1"/>
  <c r="I31" i="37"/>
  <c r="L31" i="37"/>
  <c r="I32" i="37"/>
  <c r="G31" i="38" s="1"/>
  <c r="R31" i="38" s="1"/>
  <c r="M32" i="37" s="1"/>
  <c r="L32" i="37"/>
  <c r="I33" i="37"/>
  <c r="G32" i="38" s="1"/>
  <c r="R32" i="38" s="1"/>
  <c r="M33" i="37" s="1"/>
  <c r="L33" i="37"/>
  <c r="F32" i="38" s="1"/>
  <c r="P33" i="37"/>
  <c r="I34" i="37"/>
  <c r="Y33" i="38" s="1"/>
  <c r="X34" i="37" s="1"/>
  <c r="L34" i="37"/>
  <c r="N34" i="37"/>
  <c r="V34" i="37"/>
  <c r="I35" i="37"/>
  <c r="G22" i="36" s="1"/>
  <c r="L35" i="37"/>
  <c r="F34" i="38" s="1"/>
  <c r="I36" i="37"/>
  <c r="Y35" i="38" s="1"/>
  <c r="X36" i="37" s="1"/>
  <c r="L36" i="37"/>
  <c r="I37" i="37"/>
  <c r="G36" i="38" s="1"/>
  <c r="R36" i="38" s="1"/>
  <c r="M37" i="37" s="1"/>
  <c r="L37" i="37"/>
  <c r="F36" i="38" s="1"/>
  <c r="P37" i="37"/>
  <c r="I38" i="37"/>
  <c r="V38" i="37" s="1"/>
  <c r="L38" i="37"/>
  <c r="F37" i="38" s="1"/>
  <c r="I39" i="37"/>
  <c r="G26" i="36" s="1"/>
  <c r="I26" i="36" s="1"/>
  <c r="L39" i="37"/>
  <c r="F38" i="38" s="1"/>
  <c r="I40" i="37"/>
  <c r="L40" i="37"/>
  <c r="F39" i="38" s="1"/>
  <c r="P40" i="37"/>
  <c r="I41" i="37"/>
  <c r="V41" i="37" s="1"/>
  <c r="L41" i="37"/>
  <c r="F40" i="38" s="1"/>
  <c r="P41" i="37"/>
  <c r="I42" i="37"/>
  <c r="G41" i="38" s="1"/>
  <c r="R41" i="38" s="1"/>
  <c r="M42" i="37" s="1"/>
  <c r="L42" i="37"/>
  <c r="F41" i="38" s="1"/>
  <c r="I43" i="37"/>
  <c r="G52" i="36" s="1"/>
  <c r="M52" i="36" s="1"/>
  <c r="L43" i="37"/>
  <c r="F42" i="38" s="1"/>
  <c r="I44" i="37"/>
  <c r="G43" i="38" s="1"/>
  <c r="R43" i="38" s="1"/>
  <c r="M44" i="37" s="1"/>
  <c r="L44" i="37"/>
  <c r="P44" i="37"/>
  <c r="I45" i="37"/>
  <c r="L45" i="37"/>
  <c r="F44" i="38" s="1"/>
  <c r="I46" i="37"/>
  <c r="G45" i="38" s="1"/>
  <c r="R45" i="38" s="1"/>
  <c r="M46" i="37" s="1"/>
  <c r="L46" i="37"/>
  <c r="F45" i="38" s="1"/>
  <c r="I47" i="37"/>
  <c r="G56" i="36" s="1"/>
  <c r="M56" i="36" s="1"/>
  <c r="L47" i="37"/>
  <c r="I48" i="37"/>
  <c r="G57" i="36" s="1"/>
  <c r="L48" i="37"/>
  <c r="F47" i="38" s="1"/>
  <c r="P48" i="37"/>
  <c r="I49" i="37"/>
  <c r="Y48" i="38" s="1"/>
  <c r="L49" i="37"/>
  <c r="P49" i="37"/>
  <c r="V49" i="37"/>
  <c r="I50" i="37"/>
  <c r="G59" i="36" s="1"/>
  <c r="L50" i="37"/>
  <c r="I51" i="37"/>
  <c r="G60" i="36" s="1"/>
  <c r="M60" i="36" s="1"/>
  <c r="L51" i="37"/>
  <c r="F50" i="38" s="1"/>
  <c r="I52" i="37"/>
  <c r="G61" i="36" s="1"/>
  <c r="L52" i="37"/>
  <c r="F51" i="38" s="1"/>
  <c r="I53" i="37"/>
  <c r="G62" i="36" s="1"/>
  <c r="L53" i="37"/>
  <c r="I54" i="37"/>
  <c r="G53" i="38" s="1"/>
  <c r="R53" i="38" s="1"/>
  <c r="L54" i="37"/>
  <c r="F53" i="38" s="1"/>
  <c r="I55" i="37"/>
  <c r="G64" i="36" s="1"/>
  <c r="M64" i="36" s="1"/>
  <c r="L55" i="37"/>
  <c r="I56" i="37"/>
  <c r="G65" i="36" s="1"/>
  <c r="L56" i="37"/>
  <c r="F55" i="38" s="1"/>
  <c r="I57" i="37"/>
  <c r="G44" i="36" s="1"/>
  <c r="L57" i="37"/>
  <c r="F56" i="38" s="1"/>
  <c r="I58" i="37"/>
  <c r="G45" i="36" s="1"/>
  <c r="L58" i="37"/>
  <c r="F57" i="38" s="1"/>
  <c r="I59" i="37"/>
  <c r="G68" i="36" s="1"/>
  <c r="M68" i="36" s="1"/>
  <c r="L59" i="37"/>
  <c r="F58" i="38" s="1"/>
  <c r="I60" i="37"/>
  <c r="G59" i="38" s="1"/>
  <c r="R59" i="38" s="1"/>
  <c r="L60" i="37"/>
  <c r="F59" i="38" s="1"/>
  <c r="I61" i="37"/>
  <c r="G60" i="38" s="1"/>
  <c r="R60" i="38" s="1"/>
  <c r="L61" i="37"/>
  <c r="F60" i="38" s="1"/>
  <c r="I62" i="37"/>
  <c r="Y61" i="38" s="1"/>
  <c r="X62" i="37" s="1"/>
  <c r="L62" i="37"/>
  <c r="F61" i="38" s="1"/>
  <c r="I85" i="37"/>
  <c r="Y84" i="38" s="1"/>
  <c r="O85" i="37" s="1"/>
  <c r="L85" i="37"/>
  <c r="V85" i="37"/>
  <c r="F87" i="37"/>
  <c r="H87" i="37"/>
  <c r="W87" i="37"/>
  <c r="Y87" i="37"/>
  <c r="Y19" i="14" s="1"/>
  <c r="F92" i="37"/>
  <c r="M92" i="37"/>
  <c r="B9" i="36"/>
  <c r="E22" i="37" s="1"/>
  <c r="E21" i="38" s="1"/>
  <c r="B10" i="36"/>
  <c r="B11" i="36" s="1"/>
  <c r="G10" i="36"/>
  <c r="M10" i="36" s="1"/>
  <c r="B12" i="36"/>
  <c r="B13" i="36" s="1"/>
  <c r="G12" i="36"/>
  <c r="M12" i="36" s="1"/>
  <c r="I12" i="36"/>
  <c r="B14" i="36"/>
  <c r="B15" i="36" s="1"/>
  <c r="B16" i="36" s="1"/>
  <c r="B17" i="36" s="1"/>
  <c r="B18" i="36" s="1"/>
  <c r="B19" i="36" s="1"/>
  <c r="B20" i="36" s="1"/>
  <c r="B21" i="36" s="1"/>
  <c r="B22" i="36" s="1"/>
  <c r="B23" i="36" s="1"/>
  <c r="B24" i="36" s="1"/>
  <c r="B25" i="36" s="1"/>
  <c r="B26" i="36" s="1"/>
  <c r="B27" i="36" s="1"/>
  <c r="B28" i="36" s="1"/>
  <c r="B29" i="36" s="1"/>
  <c r="B30" i="36" s="1"/>
  <c r="B31" i="36" s="1"/>
  <c r="B32" i="36" s="1"/>
  <c r="B33" i="36" s="1"/>
  <c r="B34" i="36" s="1"/>
  <c r="B35" i="36" s="1"/>
  <c r="B36" i="36" s="1"/>
  <c r="B37" i="36" s="1"/>
  <c r="B38" i="36" s="1"/>
  <c r="B39" i="36" s="1"/>
  <c r="B40" i="36" s="1"/>
  <c r="B41" i="36" s="1"/>
  <c r="B42" i="36" s="1"/>
  <c r="B43" i="36" s="1"/>
  <c r="B44" i="36" s="1"/>
  <c r="B45" i="36" s="1"/>
  <c r="B46" i="36" s="1"/>
  <c r="B47" i="36" s="1"/>
  <c r="B48" i="36" s="1"/>
  <c r="B49" i="36" s="1"/>
  <c r="B72" i="36" s="1"/>
  <c r="G15" i="36"/>
  <c r="K15" i="36" s="1"/>
  <c r="G16" i="36"/>
  <c r="M16" i="36" s="1"/>
  <c r="G19" i="36"/>
  <c r="K19" i="36" s="1"/>
  <c r="G21" i="36"/>
  <c r="K21" i="36" s="1"/>
  <c r="G25" i="36"/>
  <c r="K25" i="36" s="1"/>
  <c r="G30" i="36"/>
  <c r="G36" i="36"/>
  <c r="I36" i="36" s="1"/>
  <c r="G38" i="36"/>
  <c r="I38" i="36" s="1"/>
  <c r="F73" i="36"/>
  <c r="N22" i="40" l="1"/>
  <c r="X26" i="40"/>
  <c r="V28" i="40"/>
  <c r="Y27" i="41"/>
  <c r="G23" i="41"/>
  <c r="R23" i="41" s="1"/>
  <c r="Y30" i="41"/>
  <c r="Y24" i="41"/>
  <c r="G29" i="41"/>
  <c r="R29" i="41" s="1"/>
  <c r="AF29" i="41" s="1"/>
  <c r="X23" i="40"/>
  <c r="V30" i="40"/>
  <c r="G26" i="41"/>
  <c r="R26" i="41" s="1"/>
  <c r="G22" i="41"/>
  <c r="R22" i="41" s="1"/>
  <c r="X24" i="40"/>
  <c r="Y23" i="41"/>
  <c r="AF23" i="41" s="1"/>
  <c r="G25" i="41"/>
  <c r="R25" i="41" s="1"/>
  <c r="AF25" i="41" s="1"/>
  <c r="Y26" i="41"/>
  <c r="G28" i="41"/>
  <c r="R28" i="41" s="1"/>
  <c r="AF28" i="41" s="1"/>
  <c r="Y32" i="41"/>
  <c r="O33" i="40" s="1"/>
  <c r="Q33" i="40" s="1"/>
  <c r="G31" i="41"/>
  <c r="R31" i="41" s="1"/>
  <c r="G20" i="39"/>
  <c r="M20" i="39" s="1"/>
  <c r="V33" i="40"/>
  <c r="G18" i="39"/>
  <c r="K18" i="39" s="1"/>
  <c r="Y22" i="41"/>
  <c r="Y28" i="41"/>
  <c r="X28" i="40"/>
  <c r="G24" i="41"/>
  <c r="R24" i="41" s="1"/>
  <c r="AF24" i="41" s="1"/>
  <c r="Y25" i="41"/>
  <c r="G30" i="41"/>
  <c r="R30" i="41" s="1"/>
  <c r="AF30" i="41" s="1"/>
  <c r="Y31" i="41"/>
  <c r="AF27" i="41"/>
  <c r="Q29" i="40"/>
  <c r="F29" i="41"/>
  <c r="C31" i="41"/>
  <c r="C22" i="41"/>
  <c r="C27" i="41"/>
  <c r="C23" i="41"/>
  <c r="C30" i="41"/>
  <c r="C25" i="41"/>
  <c r="AM20" i="14"/>
  <c r="Q27" i="40"/>
  <c r="Q25" i="40"/>
  <c r="Q26" i="40"/>
  <c r="Q28" i="40"/>
  <c r="N31" i="40"/>
  <c r="N35" i="40" s="1"/>
  <c r="Q23" i="40"/>
  <c r="Q24" i="40"/>
  <c r="P32" i="40"/>
  <c r="I13" i="39"/>
  <c r="C25" i="40"/>
  <c r="M15" i="39"/>
  <c r="I35" i="40"/>
  <c r="D20" i="14" s="1"/>
  <c r="M13" i="39"/>
  <c r="U27" i="40"/>
  <c r="E28" i="40"/>
  <c r="E27" i="41" s="1"/>
  <c r="C30" i="40"/>
  <c r="M11" i="39"/>
  <c r="V21" i="40"/>
  <c r="U24" i="40"/>
  <c r="E25" i="40"/>
  <c r="E24" i="41" s="1"/>
  <c r="C27" i="40"/>
  <c r="V27" i="40"/>
  <c r="U32" i="40"/>
  <c r="G9" i="39"/>
  <c r="N12" i="39"/>
  <c r="J25" i="40" s="1"/>
  <c r="K25" i="40" s="1"/>
  <c r="R25" i="40" s="1"/>
  <c r="G19" i="39"/>
  <c r="I19" i="39" s="1"/>
  <c r="U29" i="40"/>
  <c r="X30" i="40"/>
  <c r="I10" i="39"/>
  <c r="N14" i="39"/>
  <c r="J27" i="40" s="1"/>
  <c r="K27" i="40" s="1"/>
  <c r="C29" i="40"/>
  <c r="V29" i="40"/>
  <c r="U23" i="40"/>
  <c r="U31" i="40"/>
  <c r="AD20" i="14"/>
  <c r="Y20" i="41"/>
  <c r="N13" i="39"/>
  <c r="J26" i="40" s="1"/>
  <c r="K26" i="40" s="1"/>
  <c r="N10" i="39"/>
  <c r="J23" i="40" s="1"/>
  <c r="K23" i="40" s="1"/>
  <c r="R23" i="40" s="1"/>
  <c r="K17" i="39"/>
  <c r="N17" i="39" s="1"/>
  <c r="J30" i="40" s="1"/>
  <c r="K30" i="40" s="1"/>
  <c r="R30" i="40" s="1"/>
  <c r="I16" i="39"/>
  <c r="K20" i="39"/>
  <c r="K16" i="39"/>
  <c r="I11" i="39"/>
  <c r="I15" i="39"/>
  <c r="P60" i="37"/>
  <c r="P52" i="37"/>
  <c r="P62" i="37"/>
  <c r="P56" i="37"/>
  <c r="P61" i="37"/>
  <c r="P58" i="37"/>
  <c r="P42" i="37"/>
  <c r="P68" i="37"/>
  <c r="P54" i="37"/>
  <c r="N49" i="37"/>
  <c r="N52" i="37"/>
  <c r="N46" i="37"/>
  <c r="N53" i="37"/>
  <c r="N48" i="37"/>
  <c r="N61" i="37"/>
  <c r="N56" i="37"/>
  <c r="N51" i="37"/>
  <c r="N58" i="37"/>
  <c r="N62" i="37"/>
  <c r="N72" i="37"/>
  <c r="N59" i="37"/>
  <c r="N54" i="37"/>
  <c r="N47" i="37"/>
  <c r="G64" i="38"/>
  <c r="R64" i="38" s="1"/>
  <c r="V66" i="37"/>
  <c r="Y67" i="38"/>
  <c r="G62" i="38"/>
  <c r="R62" i="38" s="1"/>
  <c r="AF62" i="38" s="1"/>
  <c r="M22" i="36"/>
  <c r="I22" i="36"/>
  <c r="K22" i="36"/>
  <c r="G41" i="36"/>
  <c r="I41" i="36" s="1"/>
  <c r="G17" i="36"/>
  <c r="K17" i="36" s="1"/>
  <c r="K10" i="36"/>
  <c r="Y62" i="38"/>
  <c r="I15" i="36"/>
  <c r="M21" i="36"/>
  <c r="G80" i="38"/>
  <c r="R80" i="38" s="1"/>
  <c r="AF80" i="38" s="1"/>
  <c r="Y83" i="38"/>
  <c r="G29" i="36"/>
  <c r="M29" i="36" s="1"/>
  <c r="G20" i="36"/>
  <c r="I20" i="36" s="1"/>
  <c r="I19" i="36"/>
  <c r="V60" i="37"/>
  <c r="G68" i="38"/>
  <c r="R68" i="38" s="1"/>
  <c r="AF68" i="38" s="1"/>
  <c r="Y69" i="38"/>
  <c r="AF69" i="38" s="1"/>
  <c r="Y71" i="38"/>
  <c r="Y73" i="38"/>
  <c r="G77" i="38"/>
  <c r="R77" i="38" s="1"/>
  <c r="AF77" i="38" s="1"/>
  <c r="G79" i="38"/>
  <c r="R79" i="38" s="1"/>
  <c r="AF79" i="38" s="1"/>
  <c r="M20" i="36"/>
  <c r="V33" i="37"/>
  <c r="V76" i="37"/>
  <c r="G63" i="38"/>
  <c r="R63" i="38" s="1"/>
  <c r="AF63" i="38" s="1"/>
  <c r="G65" i="38"/>
  <c r="R65" i="38" s="1"/>
  <c r="AF65" i="38" s="1"/>
  <c r="Y66" i="38"/>
  <c r="Y75" i="38"/>
  <c r="G81" i="38"/>
  <c r="R81" i="38" s="1"/>
  <c r="Y82" i="38"/>
  <c r="AF82" i="38" s="1"/>
  <c r="G48" i="36"/>
  <c r="I48" i="36" s="1"/>
  <c r="K38" i="36"/>
  <c r="G70" i="38"/>
  <c r="R70" i="38" s="1"/>
  <c r="G72" i="38"/>
  <c r="R72" i="38" s="1"/>
  <c r="AF72" i="38" s="1"/>
  <c r="G74" i="38"/>
  <c r="R74" i="38" s="1"/>
  <c r="AF74" i="38" s="1"/>
  <c r="G23" i="36"/>
  <c r="K23" i="36" s="1"/>
  <c r="V61" i="37"/>
  <c r="G33" i="38"/>
  <c r="R33" i="38" s="1"/>
  <c r="M34" i="37" s="1"/>
  <c r="G67" i="38"/>
  <c r="R67" i="38" s="1"/>
  <c r="G83" i="38"/>
  <c r="R83" i="38" s="1"/>
  <c r="AF83" i="38" s="1"/>
  <c r="V21" i="37"/>
  <c r="G55" i="36"/>
  <c r="K55" i="36" s="1"/>
  <c r="V74" i="37"/>
  <c r="Y70" i="38"/>
  <c r="G76" i="38"/>
  <c r="R76" i="38" s="1"/>
  <c r="AF76" i="38" s="1"/>
  <c r="G78" i="38"/>
  <c r="R78" i="38" s="1"/>
  <c r="AF78" i="38" s="1"/>
  <c r="Y81" i="38"/>
  <c r="V36" i="37"/>
  <c r="G66" i="36"/>
  <c r="AF66" i="38"/>
  <c r="G8" i="36"/>
  <c r="M8" i="36" s="1"/>
  <c r="G31" i="36"/>
  <c r="K31" i="36" s="1"/>
  <c r="K16" i="36"/>
  <c r="V51" i="37"/>
  <c r="Y78" i="38"/>
  <c r="AF73" i="38"/>
  <c r="AM19" i="14"/>
  <c r="AF64" i="38"/>
  <c r="AF67" i="38"/>
  <c r="AF71" i="38"/>
  <c r="AF75" i="38"/>
  <c r="P72" i="37"/>
  <c r="X84" i="37"/>
  <c r="B63" i="38"/>
  <c r="B71" i="38"/>
  <c r="B79" i="38"/>
  <c r="P47" i="37"/>
  <c r="N63" i="37"/>
  <c r="N65" i="37"/>
  <c r="N82" i="37"/>
  <c r="B66" i="38"/>
  <c r="B74" i="38"/>
  <c r="B82" i="38"/>
  <c r="P65" i="37"/>
  <c r="N67" i="37"/>
  <c r="B69" i="38"/>
  <c r="B77" i="38"/>
  <c r="P51" i="37"/>
  <c r="P67" i="37"/>
  <c r="B64" i="38"/>
  <c r="B72" i="38"/>
  <c r="B80" i="38"/>
  <c r="B67" i="38"/>
  <c r="B75" i="38"/>
  <c r="B83" i="38"/>
  <c r="N64" i="37"/>
  <c r="N66" i="37"/>
  <c r="P75" i="37"/>
  <c r="N77" i="37"/>
  <c r="N79" i="37"/>
  <c r="B62" i="38"/>
  <c r="B70" i="38"/>
  <c r="B78" i="38"/>
  <c r="P59" i="37"/>
  <c r="P77" i="37"/>
  <c r="P79" i="37"/>
  <c r="B65" i="38"/>
  <c r="B73" i="38"/>
  <c r="B81" i="38"/>
  <c r="K66" i="36"/>
  <c r="M66" i="36"/>
  <c r="I66" i="36"/>
  <c r="M60" i="37"/>
  <c r="M82" i="37"/>
  <c r="O34" i="37"/>
  <c r="K62" i="36"/>
  <c r="M62" i="36"/>
  <c r="Y21" i="38"/>
  <c r="X22" i="37" s="1"/>
  <c r="G9" i="36"/>
  <c r="V22" i="37"/>
  <c r="I30" i="36"/>
  <c r="K30" i="36"/>
  <c r="M30" i="36"/>
  <c r="K59" i="36"/>
  <c r="M59" i="36"/>
  <c r="M61" i="36"/>
  <c r="K61" i="36"/>
  <c r="I61" i="36"/>
  <c r="M57" i="36"/>
  <c r="K57" i="36"/>
  <c r="I57" i="36"/>
  <c r="M61" i="37"/>
  <c r="M83" i="37"/>
  <c r="M54" i="37"/>
  <c r="M76" i="37"/>
  <c r="G44" i="38"/>
  <c r="R44" i="38" s="1"/>
  <c r="V45" i="37"/>
  <c r="G54" i="36"/>
  <c r="G32" i="36"/>
  <c r="I32" i="36" s="1"/>
  <c r="Y44" i="38"/>
  <c r="X67" i="37" s="1"/>
  <c r="M55" i="36"/>
  <c r="X49" i="37"/>
  <c r="O71" i="37"/>
  <c r="X71" i="37"/>
  <c r="G30" i="38"/>
  <c r="R30" i="38" s="1"/>
  <c r="M31" i="37" s="1"/>
  <c r="Y30" i="38"/>
  <c r="X31" i="37" s="1"/>
  <c r="V31" i="37"/>
  <c r="G18" i="36"/>
  <c r="I18" i="36" s="1"/>
  <c r="V65" i="37"/>
  <c r="M65" i="36"/>
  <c r="K65" i="36"/>
  <c r="I65" i="36"/>
  <c r="I62" i="36"/>
  <c r="V54" i="37"/>
  <c r="V32" i="37"/>
  <c r="G48" i="38"/>
  <c r="R48" i="38" s="1"/>
  <c r="G70" i="36"/>
  <c r="M64" i="37"/>
  <c r="V69" i="37"/>
  <c r="V77" i="37"/>
  <c r="G47" i="36"/>
  <c r="G33" i="36"/>
  <c r="V62" i="37"/>
  <c r="V56" i="37"/>
  <c r="V44" i="37"/>
  <c r="V25" i="37"/>
  <c r="Y60" i="38"/>
  <c r="X83" i="37" s="1"/>
  <c r="G35" i="38"/>
  <c r="R35" i="38" s="1"/>
  <c r="M36" i="37" s="1"/>
  <c r="G53" i="36"/>
  <c r="G63" i="36"/>
  <c r="V64" i="37"/>
  <c r="V72" i="37"/>
  <c r="V80" i="37"/>
  <c r="G43" i="36"/>
  <c r="K43" i="36" s="1"/>
  <c r="V37" i="37"/>
  <c r="Y53" i="38"/>
  <c r="Y20" i="38"/>
  <c r="X21" i="37" s="1"/>
  <c r="G67" i="36"/>
  <c r="I67" i="36" s="1"/>
  <c r="V67" i="37"/>
  <c r="V75" i="37"/>
  <c r="V83" i="37"/>
  <c r="Y43" i="38"/>
  <c r="X44" i="37" s="1"/>
  <c r="Y36" i="38"/>
  <c r="X37" i="37" s="1"/>
  <c r="Y31" i="38"/>
  <c r="G50" i="36"/>
  <c r="G71" i="36"/>
  <c r="V70" i="37"/>
  <c r="V78" i="37"/>
  <c r="M38" i="36"/>
  <c r="N38" i="36" s="1"/>
  <c r="J51" i="37" s="1"/>
  <c r="K51" i="37" s="1"/>
  <c r="G24" i="36"/>
  <c r="I24" i="36" s="1"/>
  <c r="Y24" i="38"/>
  <c r="O25" i="37" s="1"/>
  <c r="M68" i="37"/>
  <c r="V73" i="37"/>
  <c r="V81" i="37"/>
  <c r="G58" i="36"/>
  <c r="G69" i="36"/>
  <c r="G49" i="36"/>
  <c r="K49" i="36" s="1"/>
  <c r="G51" i="36"/>
  <c r="I51" i="36" s="1"/>
  <c r="M66" i="37"/>
  <c r="O84" i="37"/>
  <c r="B52" i="36"/>
  <c r="B56" i="36"/>
  <c r="I21" i="36"/>
  <c r="I17" i="36"/>
  <c r="K12" i="36"/>
  <c r="N12" i="36" s="1"/>
  <c r="J25" i="37" s="1"/>
  <c r="K25" i="37" s="1"/>
  <c r="I10" i="36"/>
  <c r="N10" i="36" s="1"/>
  <c r="J23" i="37" s="1"/>
  <c r="B60" i="36"/>
  <c r="B51" i="36"/>
  <c r="I52" i="36"/>
  <c r="B55" i="36"/>
  <c r="I56" i="36"/>
  <c r="B59" i="36"/>
  <c r="I60" i="36"/>
  <c r="B63" i="36"/>
  <c r="I64" i="36"/>
  <c r="B67" i="36"/>
  <c r="I68" i="36"/>
  <c r="B71" i="36"/>
  <c r="B64" i="36"/>
  <c r="I25" i="36"/>
  <c r="K52" i="36"/>
  <c r="K56" i="36"/>
  <c r="K60" i="36"/>
  <c r="K64" i="36"/>
  <c r="K68" i="36"/>
  <c r="B50" i="36"/>
  <c r="B54" i="36"/>
  <c r="I55" i="36"/>
  <c r="B58" i="36"/>
  <c r="I59" i="36"/>
  <c r="B62" i="36"/>
  <c r="B66" i="36"/>
  <c r="B70" i="36"/>
  <c r="B68" i="36"/>
  <c r="K24" i="36"/>
  <c r="B53" i="36"/>
  <c r="B57" i="36"/>
  <c r="B61" i="36"/>
  <c r="B65" i="36"/>
  <c r="B69" i="36"/>
  <c r="K18" i="36"/>
  <c r="Y47" i="35"/>
  <c r="AF47" i="35" s="1"/>
  <c r="Y54" i="35"/>
  <c r="G46" i="35"/>
  <c r="R46" i="35" s="1"/>
  <c r="AF46" i="35" s="1"/>
  <c r="G49" i="35"/>
  <c r="R49" i="35" s="1"/>
  <c r="AF49" i="35" s="1"/>
  <c r="G51" i="35"/>
  <c r="R51" i="35" s="1"/>
  <c r="G53" i="35"/>
  <c r="R53" i="35" s="1"/>
  <c r="AF53" i="35" s="1"/>
  <c r="V54" i="34"/>
  <c r="G55" i="35"/>
  <c r="R55" i="35" s="1"/>
  <c r="Y56" i="35"/>
  <c r="V51" i="34"/>
  <c r="G48" i="35"/>
  <c r="R48" i="35" s="1"/>
  <c r="Y51" i="35"/>
  <c r="V48" i="34"/>
  <c r="AF54" i="35"/>
  <c r="G57" i="35"/>
  <c r="R57" i="35" s="1"/>
  <c r="AF57" i="35" s="1"/>
  <c r="G45" i="35"/>
  <c r="R45" i="35" s="1"/>
  <c r="AF45" i="35" s="1"/>
  <c r="G50" i="35"/>
  <c r="R50" i="35" s="1"/>
  <c r="AF50" i="35" s="1"/>
  <c r="G52" i="35"/>
  <c r="R52" i="35" s="1"/>
  <c r="AF52" i="35" s="1"/>
  <c r="Y55" i="35"/>
  <c r="Y48" i="35"/>
  <c r="V46" i="34"/>
  <c r="G56" i="35"/>
  <c r="R56" i="35" s="1"/>
  <c r="V53" i="34"/>
  <c r="V50" i="34"/>
  <c r="V58" i="34"/>
  <c r="V47" i="34"/>
  <c r="V55" i="34"/>
  <c r="V26" i="31"/>
  <c r="Y27" i="32"/>
  <c r="G29" i="32"/>
  <c r="R29" i="32" s="1"/>
  <c r="AF29" i="32" s="1"/>
  <c r="Y30" i="32"/>
  <c r="X28" i="31"/>
  <c r="G23" i="32"/>
  <c r="R23" i="32" s="1"/>
  <c r="AF23" i="32" s="1"/>
  <c r="Y24" i="32"/>
  <c r="G26" i="32"/>
  <c r="R26" i="32" s="1"/>
  <c r="AF26" i="32" s="1"/>
  <c r="X26" i="31"/>
  <c r="Y29" i="32"/>
  <c r="X24" i="31"/>
  <c r="G22" i="32"/>
  <c r="R22" i="32" s="1"/>
  <c r="Y23" i="32"/>
  <c r="Y26" i="32"/>
  <c r="G28" i="32"/>
  <c r="R28" i="32" s="1"/>
  <c r="G31" i="32"/>
  <c r="R31" i="32" s="1"/>
  <c r="AF31" i="32" s="1"/>
  <c r="G25" i="32"/>
  <c r="R25" i="32" s="1"/>
  <c r="AF25" i="32" s="1"/>
  <c r="Y28" i="32"/>
  <c r="G30" i="32"/>
  <c r="R30" i="32" s="1"/>
  <c r="AF30" i="32" s="1"/>
  <c r="Y31" i="32"/>
  <c r="Y22" i="32"/>
  <c r="G24" i="32"/>
  <c r="R24" i="32" s="1"/>
  <c r="AF24" i="32" s="1"/>
  <c r="F23" i="32"/>
  <c r="Q23" i="31"/>
  <c r="Q29" i="31"/>
  <c r="C31" i="32"/>
  <c r="C25" i="32"/>
  <c r="C27" i="32"/>
  <c r="C22" i="32"/>
  <c r="C29" i="32"/>
  <c r="C23" i="32"/>
  <c r="C30" i="32"/>
  <c r="AF27" i="32"/>
  <c r="Q25" i="31"/>
  <c r="Q30" i="31"/>
  <c r="Q28" i="31"/>
  <c r="M12" i="30"/>
  <c r="N12" i="30" s="1"/>
  <c r="J25" i="31" s="1"/>
  <c r="K25" i="31" s="1"/>
  <c r="R25" i="31" s="1"/>
  <c r="E23" i="31"/>
  <c r="E22" i="32" s="1"/>
  <c r="X23" i="31"/>
  <c r="C25" i="31"/>
  <c r="U30" i="31"/>
  <c r="E31" i="31"/>
  <c r="E30" i="32" s="1"/>
  <c r="U27" i="31"/>
  <c r="U25" i="31"/>
  <c r="U24" i="31"/>
  <c r="C27" i="31"/>
  <c r="V27" i="31"/>
  <c r="U32" i="31"/>
  <c r="I13" i="30"/>
  <c r="U29" i="31"/>
  <c r="C29" i="31"/>
  <c r="V29" i="31"/>
  <c r="U23" i="31"/>
  <c r="U31" i="31"/>
  <c r="N10" i="30"/>
  <c r="J23" i="31" s="1"/>
  <c r="K23" i="31" s="1"/>
  <c r="R23" i="31" s="1"/>
  <c r="K14" i="30"/>
  <c r="N14" i="30" s="1"/>
  <c r="J27" i="31" s="1"/>
  <c r="K27" i="31" s="1"/>
  <c r="R27" i="31" s="1"/>
  <c r="I17" i="30"/>
  <c r="K13" i="30"/>
  <c r="N13" i="30" s="1"/>
  <c r="J26" i="31" s="1"/>
  <c r="K26" i="31" s="1"/>
  <c r="R26" i="31" s="1"/>
  <c r="K17" i="30"/>
  <c r="N17" i="30" s="1"/>
  <c r="J30" i="31" s="1"/>
  <c r="K30" i="31" s="1"/>
  <c r="R30" i="31" s="1"/>
  <c r="I16" i="30"/>
  <c r="K16" i="30"/>
  <c r="I11" i="30"/>
  <c r="I15" i="30"/>
  <c r="K11" i="30"/>
  <c r="K15" i="30"/>
  <c r="V27" i="28"/>
  <c r="V25" i="28"/>
  <c r="V23" i="28"/>
  <c r="Y29" i="29"/>
  <c r="Y30" i="29"/>
  <c r="AF30" i="29" s="1"/>
  <c r="Y25" i="29"/>
  <c r="G28" i="29"/>
  <c r="R28" i="29" s="1"/>
  <c r="AF28" i="29" s="1"/>
  <c r="V31" i="28"/>
  <c r="Y22" i="29"/>
  <c r="Y23" i="29"/>
  <c r="Y24" i="29"/>
  <c r="G27" i="29"/>
  <c r="R27" i="29" s="1"/>
  <c r="Y28" i="29"/>
  <c r="X30" i="28"/>
  <c r="G31" i="29"/>
  <c r="R31" i="29" s="1"/>
  <c r="AF31" i="29" s="1"/>
  <c r="V24" i="28"/>
  <c r="X28" i="28"/>
  <c r="G26" i="29"/>
  <c r="R26" i="29" s="1"/>
  <c r="Y27" i="29"/>
  <c r="X24" i="28"/>
  <c r="X26" i="28"/>
  <c r="AF23" i="29"/>
  <c r="AF25" i="29"/>
  <c r="Y31" i="29"/>
  <c r="G22" i="29"/>
  <c r="R22" i="29" s="1"/>
  <c r="G24" i="29"/>
  <c r="R24" i="29" s="1"/>
  <c r="AF24" i="29" s="1"/>
  <c r="Y26" i="29"/>
  <c r="G29" i="29"/>
  <c r="R29" i="29" s="1"/>
  <c r="AF29" i="29" s="1"/>
  <c r="F29" i="29"/>
  <c r="F27" i="29"/>
  <c r="Q24" i="28"/>
  <c r="Q29" i="28"/>
  <c r="Q25" i="28"/>
  <c r="Q27" i="28"/>
  <c r="Q23" i="28"/>
  <c r="I12" i="27"/>
  <c r="K14" i="27"/>
  <c r="I17" i="27"/>
  <c r="I10" i="27"/>
  <c r="N10" i="27" s="1"/>
  <c r="J23" i="28" s="1"/>
  <c r="K23" i="28" s="1"/>
  <c r="K12" i="27"/>
  <c r="M14" i="27"/>
  <c r="E23" i="28"/>
  <c r="E22" i="29" s="1"/>
  <c r="E25" i="28"/>
  <c r="E24" i="29" s="1"/>
  <c r="E27" i="28"/>
  <c r="E26" i="29" s="1"/>
  <c r="E29" i="28"/>
  <c r="E28" i="29" s="1"/>
  <c r="E31" i="28"/>
  <c r="E30" i="29" s="1"/>
  <c r="N14" i="27"/>
  <c r="J27" i="28" s="1"/>
  <c r="K27" i="28" s="1"/>
  <c r="K13" i="27"/>
  <c r="N13" i="27" s="1"/>
  <c r="J26" i="28" s="1"/>
  <c r="K26" i="28" s="1"/>
  <c r="R26" i="28" s="1"/>
  <c r="K17" i="27"/>
  <c r="I16" i="27"/>
  <c r="K16" i="27"/>
  <c r="I11" i="27"/>
  <c r="I15" i="27"/>
  <c r="K11" i="27"/>
  <c r="K15" i="27"/>
  <c r="Y63" i="26"/>
  <c r="G64" i="26"/>
  <c r="R64" i="26" s="1"/>
  <c r="AF64" i="26" s="1"/>
  <c r="Y58" i="26"/>
  <c r="Y61" i="26"/>
  <c r="V65" i="25"/>
  <c r="V62" i="25"/>
  <c r="Y53" i="26"/>
  <c r="G62" i="26"/>
  <c r="R62" i="26" s="1"/>
  <c r="V68" i="25"/>
  <c r="G60" i="26"/>
  <c r="R60" i="26" s="1"/>
  <c r="AF60" i="26" s="1"/>
  <c r="Y68" i="26"/>
  <c r="AF68" i="26" s="1"/>
  <c r="G55" i="26"/>
  <c r="R55" i="26" s="1"/>
  <c r="G57" i="26"/>
  <c r="R57" i="26" s="1"/>
  <c r="AF57" i="26" s="1"/>
  <c r="AF65" i="26"/>
  <c r="G59" i="26"/>
  <c r="R59" i="26" s="1"/>
  <c r="AF59" i="26" s="1"/>
  <c r="Y62" i="26"/>
  <c r="Y67" i="26"/>
  <c r="AF67" i="26" s="1"/>
  <c r="G52" i="26"/>
  <c r="R52" i="26" s="1"/>
  <c r="AF52" i="26" s="1"/>
  <c r="G66" i="26"/>
  <c r="R66" i="26" s="1"/>
  <c r="AF66" i="26" s="1"/>
  <c r="V57" i="25"/>
  <c r="V60" i="25"/>
  <c r="V54" i="25"/>
  <c r="V67" i="25"/>
  <c r="G54" i="26"/>
  <c r="R54" i="26" s="1"/>
  <c r="AF54" i="26" s="1"/>
  <c r="G56" i="26"/>
  <c r="R56" i="26" s="1"/>
  <c r="AF56" i="26" s="1"/>
  <c r="Y54" i="26"/>
  <c r="AF63" i="26"/>
  <c r="AF53" i="26"/>
  <c r="AF55" i="26"/>
  <c r="AF61" i="26"/>
  <c r="AF58" i="26"/>
  <c r="V56" i="25"/>
  <c r="V64" i="25"/>
  <c r="V53" i="25"/>
  <c r="V61" i="25"/>
  <c r="V69" i="25"/>
  <c r="V58" i="25"/>
  <c r="V66" i="25"/>
  <c r="G34" i="23"/>
  <c r="R34" i="23" s="1"/>
  <c r="AF34" i="23" s="1"/>
  <c r="Y37" i="23"/>
  <c r="G41" i="23"/>
  <c r="R41" i="23" s="1"/>
  <c r="Y39" i="23"/>
  <c r="V36" i="22"/>
  <c r="V39" i="22"/>
  <c r="Y34" i="23"/>
  <c r="G38" i="23"/>
  <c r="R38" i="23" s="1"/>
  <c r="AF38" i="23" s="1"/>
  <c r="Y41" i="23"/>
  <c r="Y36" i="23"/>
  <c r="G40" i="23"/>
  <c r="R40" i="23" s="1"/>
  <c r="AF36" i="23"/>
  <c r="AF39" i="23"/>
  <c r="G33" i="23"/>
  <c r="R33" i="23" s="1"/>
  <c r="AF33" i="23" s="1"/>
  <c r="G35" i="23"/>
  <c r="R35" i="23" s="1"/>
  <c r="AF35" i="23" s="1"/>
  <c r="G42" i="23"/>
  <c r="R42" i="23" s="1"/>
  <c r="AF42" i="23" s="1"/>
  <c r="Y33" i="23"/>
  <c r="Y40" i="23"/>
  <c r="Y42" i="23"/>
  <c r="AF37" i="23"/>
  <c r="AF40" i="23"/>
  <c r="AF41" i="23"/>
  <c r="V38" i="22"/>
  <c r="V40" i="22"/>
  <c r="G54" i="20"/>
  <c r="R54" i="20" s="1"/>
  <c r="AF54" i="20" s="1"/>
  <c r="Y60" i="20"/>
  <c r="V54" i="19"/>
  <c r="V65" i="19"/>
  <c r="G52" i="20"/>
  <c r="R52" i="20" s="1"/>
  <c r="AF52" i="20" s="1"/>
  <c r="G57" i="20"/>
  <c r="R57" i="20" s="1"/>
  <c r="AF57" i="20" s="1"/>
  <c r="V57" i="19"/>
  <c r="V64" i="19"/>
  <c r="Y50" i="20"/>
  <c r="AF50" i="20" s="1"/>
  <c r="G62" i="20"/>
  <c r="R62" i="20" s="1"/>
  <c r="AF62" i="20" s="1"/>
  <c r="Y53" i="20"/>
  <c r="AF53" i="20" s="1"/>
  <c r="Y65" i="20"/>
  <c r="AF65" i="20" s="1"/>
  <c r="G59" i="20"/>
  <c r="R59" i="20" s="1"/>
  <c r="G51" i="20"/>
  <c r="R51" i="20" s="1"/>
  <c r="G56" i="20"/>
  <c r="R56" i="20" s="1"/>
  <c r="AF56" i="20" s="1"/>
  <c r="G61" i="20"/>
  <c r="R61" i="20" s="1"/>
  <c r="AF61" i="20" s="1"/>
  <c r="G63" i="20"/>
  <c r="R63" i="20" s="1"/>
  <c r="AF63" i="20" s="1"/>
  <c r="Y64" i="20"/>
  <c r="AF64" i="20" s="1"/>
  <c r="V56" i="19"/>
  <c r="Y59" i="20"/>
  <c r="Y51" i="20"/>
  <c r="G55" i="20"/>
  <c r="R55" i="20" s="1"/>
  <c r="AF55" i="20" s="1"/>
  <c r="G58" i="20"/>
  <c r="R58" i="20" s="1"/>
  <c r="AF58" i="20" s="1"/>
  <c r="AF60" i="20"/>
  <c r="V51" i="19"/>
  <c r="V59" i="19"/>
  <c r="V53" i="19"/>
  <c r="V61" i="19"/>
  <c r="V58" i="19"/>
  <c r="V66" i="19"/>
  <c r="V55" i="19"/>
  <c r="V63" i="19"/>
  <c r="V86" i="16"/>
  <c r="V83" i="16"/>
  <c r="V70" i="16"/>
  <c r="V88" i="16"/>
  <c r="V67" i="16"/>
  <c r="G74" i="17"/>
  <c r="R74" i="17" s="1"/>
  <c r="AF74" i="17" s="1"/>
  <c r="G85" i="17"/>
  <c r="R85" i="17" s="1"/>
  <c r="AF85" i="17" s="1"/>
  <c r="G69" i="17"/>
  <c r="R69" i="17" s="1"/>
  <c r="AF69" i="17" s="1"/>
  <c r="V80" i="16"/>
  <c r="Y79" i="17"/>
  <c r="AF79" i="17" s="1"/>
  <c r="Y67" i="17"/>
  <c r="Y72" i="17"/>
  <c r="G76" i="17"/>
  <c r="R76" i="17" s="1"/>
  <c r="AF76" i="17" s="1"/>
  <c r="G78" i="17"/>
  <c r="R78" i="17" s="1"/>
  <c r="AF78" i="17" s="1"/>
  <c r="Y81" i="17"/>
  <c r="AF81" i="17" s="1"/>
  <c r="Y83" i="17"/>
  <c r="V74" i="16"/>
  <c r="AF86" i="17"/>
  <c r="G66" i="17"/>
  <c r="R66" i="17" s="1"/>
  <c r="AF66" i="17" s="1"/>
  <c r="G71" i="17"/>
  <c r="R71" i="17" s="1"/>
  <c r="G80" i="17"/>
  <c r="R80" i="17" s="1"/>
  <c r="G87" i="17"/>
  <c r="R87" i="17" s="1"/>
  <c r="AF87" i="17" s="1"/>
  <c r="Y88" i="17"/>
  <c r="G73" i="17"/>
  <c r="R73" i="17" s="1"/>
  <c r="AF73" i="17" s="1"/>
  <c r="Y74" i="17"/>
  <c r="G82" i="17"/>
  <c r="R82" i="17" s="1"/>
  <c r="AF82" i="17" s="1"/>
  <c r="V78" i="16"/>
  <c r="G68" i="17"/>
  <c r="R68" i="17" s="1"/>
  <c r="AF68" i="17" s="1"/>
  <c r="G70" i="17"/>
  <c r="R70" i="17" s="1"/>
  <c r="AF70" i="17" s="1"/>
  <c r="Y71" i="17"/>
  <c r="G84" i="17"/>
  <c r="R84" i="17" s="1"/>
  <c r="AF84" i="17" s="1"/>
  <c r="G89" i="17"/>
  <c r="R89" i="17" s="1"/>
  <c r="AF89" i="17" s="1"/>
  <c r="G75" i="17"/>
  <c r="R75" i="17" s="1"/>
  <c r="G77" i="17"/>
  <c r="R77" i="17" s="1"/>
  <c r="AF77" i="17" s="1"/>
  <c r="Y80" i="17"/>
  <c r="V82" i="16"/>
  <c r="G72" i="17"/>
  <c r="R72" i="17" s="1"/>
  <c r="AF72" i="17" s="1"/>
  <c r="G67" i="17"/>
  <c r="R67" i="17" s="1"/>
  <c r="Y75" i="17"/>
  <c r="G83" i="17"/>
  <c r="R83" i="17" s="1"/>
  <c r="G88" i="17"/>
  <c r="R88" i="17" s="1"/>
  <c r="AF88" i="17" s="1"/>
  <c r="V69" i="16"/>
  <c r="V77" i="16"/>
  <c r="V85" i="16"/>
  <c r="V90" i="16"/>
  <c r="V71" i="16"/>
  <c r="V79" i="16"/>
  <c r="V87" i="16"/>
  <c r="Y72" i="13"/>
  <c r="V67" i="12"/>
  <c r="G61" i="13"/>
  <c r="R61" i="13" s="1"/>
  <c r="AF61" i="13" s="1"/>
  <c r="Y75" i="13"/>
  <c r="AF75" i="13" s="1"/>
  <c r="G78" i="13"/>
  <c r="R78" i="13" s="1"/>
  <c r="V61" i="12"/>
  <c r="G65" i="13"/>
  <c r="R65" i="13" s="1"/>
  <c r="G68" i="13"/>
  <c r="R68" i="13" s="1"/>
  <c r="AF68" i="13" s="1"/>
  <c r="Y62" i="13"/>
  <c r="Y71" i="13"/>
  <c r="G74" i="13"/>
  <c r="R74" i="13" s="1"/>
  <c r="G77" i="13"/>
  <c r="R77" i="13" s="1"/>
  <c r="AF77" i="13" s="1"/>
  <c r="V73" i="12"/>
  <c r="Y68" i="13"/>
  <c r="G63" i="13"/>
  <c r="R63" i="13" s="1"/>
  <c r="V65" i="12"/>
  <c r="V71" i="12"/>
  <c r="V74" i="12"/>
  <c r="V77" i="12"/>
  <c r="G67" i="13"/>
  <c r="R67" i="13" s="1"/>
  <c r="AF67" i="13" s="1"/>
  <c r="G69" i="13"/>
  <c r="R69" i="13" s="1"/>
  <c r="G76" i="13"/>
  <c r="R76" i="13" s="1"/>
  <c r="AF76" i="13" s="1"/>
  <c r="Y79" i="13"/>
  <c r="Y63" i="13"/>
  <c r="AF63" i="13" s="1"/>
  <c r="G71" i="13"/>
  <c r="R71" i="13" s="1"/>
  <c r="Y74" i="13"/>
  <c r="Y70" i="13"/>
  <c r="AF70" i="13" s="1"/>
  <c r="AF65" i="13"/>
  <c r="AF71" i="13"/>
  <c r="G60" i="13"/>
  <c r="R60" i="13" s="1"/>
  <c r="AF60" i="13" s="1"/>
  <c r="G62" i="13"/>
  <c r="R62" i="13" s="1"/>
  <c r="AF62" i="13" s="1"/>
  <c r="Y65" i="13"/>
  <c r="G73" i="13"/>
  <c r="R73" i="13" s="1"/>
  <c r="AF73" i="13" s="1"/>
  <c r="G80" i="13"/>
  <c r="R80" i="13" s="1"/>
  <c r="AF80" i="13" s="1"/>
  <c r="G64" i="13"/>
  <c r="R64" i="13" s="1"/>
  <c r="AF64" i="13" s="1"/>
  <c r="Y78" i="13"/>
  <c r="Y80" i="13"/>
  <c r="AF69" i="13"/>
  <c r="G79" i="13"/>
  <c r="R79" i="13" s="1"/>
  <c r="AF78" i="13"/>
  <c r="AF66" i="13"/>
  <c r="AF72" i="13"/>
  <c r="V68" i="12"/>
  <c r="V76" i="12"/>
  <c r="V62" i="12"/>
  <c r="V70" i="12"/>
  <c r="V78" i="12"/>
  <c r="Y42" i="10"/>
  <c r="V40" i="9"/>
  <c r="Y40" i="10"/>
  <c r="G36" i="10"/>
  <c r="R36" i="10" s="1"/>
  <c r="G39" i="10"/>
  <c r="R39" i="10" s="1"/>
  <c r="AF39" i="10" s="1"/>
  <c r="Y37" i="10"/>
  <c r="G41" i="10"/>
  <c r="R41" i="10" s="1"/>
  <c r="G43" i="10"/>
  <c r="R43" i="10" s="1"/>
  <c r="AF43" i="10" s="1"/>
  <c r="Y44" i="10"/>
  <c r="V44" i="9"/>
  <c r="Y36" i="10"/>
  <c r="G38" i="10"/>
  <c r="R38" i="10" s="1"/>
  <c r="AF38" i="10" s="1"/>
  <c r="Y41" i="10"/>
  <c r="G45" i="10"/>
  <c r="R45" i="10" s="1"/>
  <c r="Y45" i="10"/>
  <c r="G37" i="10"/>
  <c r="R37" i="10" s="1"/>
  <c r="AF37" i="10" s="1"/>
  <c r="G44" i="10"/>
  <c r="R44" i="10" s="1"/>
  <c r="AF40" i="10"/>
  <c r="AF42" i="10"/>
  <c r="V41" i="9"/>
  <c r="V43" i="9"/>
  <c r="G33" i="7"/>
  <c r="R33" i="7" s="1"/>
  <c r="X30" i="6"/>
  <c r="Y28" i="7"/>
  <c r="G30" i="7"/>
  <c r="R30" i="7" s="1"/>
  <c r="Y31" i="7"/>
  <c r="G35" i="7"/>
  <c r="R35" i="7" s="1"/>
  <c r="AF35" i="7" s="1"/>
  <c r="Y36" i="7"/>
  <c r="Y30" i="7"/>
  <c r="G32" i="7"/>
  <c r="R32" i="7" s="1"/>
  <c r="Y33" i="7"/>
  <c r="G37" i="7"/>
  <c r="R37" i="7" s="1"/>
  <c r="X29" i="6"/>
  <c r="G29" i="7"/>
  <c r="R29" i="7" s="1"/>
  <c r="AF29" i="7" s="1"/>
  <c r="Y37" i="7"/>
  <c r="AF37" i="7" s="1"/>
  <c r="G28" i="7"/>
  <c r="R28" i="7" s="1"/>
  <c r="Y32" i="7"/>
  <c r="G36" i="7"/>
  <c r="R36" i="7" s="1"/>
  <c r="F28" i="7"/>
  <c r="D30" i="6"/>
  <c r="D29" i="7" s="1"/>
  <c r="C31" i="7"/>
  <c r="C28" i="7"/>
  <c r="AF34" i="7"/>
  <c r="AF31" i="7"/>
  <c r="Q30" i="6"/>
  <c r="E29" i="6"/>
  <c r="E28" i="7" s="1"/>
  <c r="C31" i="6"/>
  <c r="U31" i="6"/>
  <c r="V36" i="6"/>
  <c r="U32" i="6"/>
  <c r="V35" i="6"/>
  <c r="K17" i="5"/>
  <c r="U29" i="6"/>
  <c r="M17" i="5"/>
  <c r="N17" i="5" s="1"/>
  <c r="J30" i="6" s="1"/>
  <c r="K30" i="6" s="1"/>
  <c r="R30" i="6" s="1"/>
  <c r="M16" i="5"/>
  <c r="I16" i="5"/>
  <c r="V114" i="1"/>
  <c r="V142" i="1"/>
  <c r="Y119" i="2"/>
  <c r="G139" i="2"/>
  <c r="R139" i="2" s="1"/>
  <c r="AF139" i="2" s="1"/>
  <c r="Y145" i="2"/>
  <c r="Y154" i="2"/>
  <c r="Y157" i="2"/>
  <c r="V118" i="1"/>
  <c r="V158" i="1"/>
  <c r="Y114" i="2"/>
  <c r="G117" i="2"/>
  <c r="R117" i="2" s="1"/>
  <c r="G126" i="2"/>
  <c r="R126" i="2" s="1"/>
  <c r="AF126" i="2" s="1"/>
  <c r="G149" i="2"/>
  <c r="R149" i="2" s="1"/>
  <c r="AF149" i="2" s="1"/>
  <c r="G155" i="2"/>
  <c r="R155" i="2" s="1"/>
  <c r="AF155" i="2" s="1"/>
  <c r="V126" i="1"/>
  <c r="G140" i="2"/>
  <c r="R140" i="2" s="1"/>
  <c r="AF140" i="2" s="1"/>
  <c r="Y149" i="2"/>
  <c r="Y152" i="2"/>
  <c r="Y120" i="2"/>
  <c r="Y127" i="2"/>
  <c r="Y134" i="2"/>
  <c r="Y159" i="2"/>
  <c r="V120" i="1"/>
  <c r="Y150" i="2"/>
  <c r="V153" i="1"/>
  <c r="V160" i="1"/>
  <c r="G118" i="2"/>
  <c r="R118" i="2" s="1"/>
  <c r="AF118" i="2" s="1"/>
  <c r="Y121" i="2"/>
  <c r="AF121" i="2" s="1"/>
  <c r="G125" i="2"/>
  <c r="R125" i="2" s="1"/>
  <c r="AF125" i="2" s="1"/>
  <c r="Y128" i="2"/>
  <c r="AF128" i="2" s="1"/>
  <c r="Y130" i="2"/>
  <c r="G132" i="2"/>
  <c r="R132" i="2" s="1"/>
  <c r="AF132" i="2" s="1"/>
  <c r="Y135" i="2"/>
  <c r="AF135" i="2" s="1"/>
  <c r="Y137" i="2"/>
  <c r="Y142" i="2"/>
  <c r="AF142" i="2" s="1"/>
  <c r="Y144" i="2"/>
  <c r="AF144" i="2" s="1"/>
  <c r="Y146" i="2"/>
  <c r="G148" i="2"/>
  <c r="R148" i="2" s="1"/>
  <c r="AF148" i="2" s="1"/>
  <c r="Y151" i="2"/>
  <c r="Y153" i="2"/>
  <c r="Y133" i="2"/>
  <c r="AF133" i="2" s="1"/>
  <c r="Y156" i="2"/>
  <c r="AF156" i="2" s="1"/>
  <c r="V134" i="1"/>
  <c r="V137" i="1"/>
  <c r="V144" i="1"/>
  <c r="G113" i="2"/>
  <c r="R113" i="2" s="1"/>
  <c r="AF113" i="2" s="1"/>
  <c r="G115" i="2"/>
  <c r="R115" i="2" s="1"/>
  <c r="AF115" i="2" s="1"/>
  <c r="Y116" i="2"/>
  <c r="Y123" i="2"/>
  <c r="AF123" i="2" s="1"/>
  <c r="G141" i="2"/>
  <c r="R141" i="2" s="1"/>
  <c r="AF141" i="2" s="1"/>
  <c r="Y158" i="2"/>
  <c r="AF150" i="2"/>
  <c r="G122" i="2"/>
  <c r="R122" i="2" s="1"/>
  <c r="G129" i="2"/>
  <c r="R129" i="2" s="1"/>
  <c r="AF129" i="2" s="1"/>
  <c r="G136" i="2"/>
  <c r="R136" i="2" s="1"/>
  <c r="AF136" i="2" s="1"/>
  <c r="G143" i="2"/>
  <c r="R143" i="2" s="1"/>
  <c r="AF143" i="2" s="1"/>
  <c r="G154" i="2"/>
  <c r="R154" i="2" s="1"/>
  <c r="AF154" i="2" s="1"/>
  <c r="AF134" i="2"/>
  <c r="AF117" i="2"/>
  <c r="G124" i="2"/>
  <c r="R124" i="2" s="1"/>
  <c r="AF124" i="2" s="1"/>
  <c r="G131" i="2"/>
  <c r="R131" i="2" s="1"/>
  <c r="AF131" i="2" s="1"/>
  <c r="G138" i="2"/>
  <c r="R138" i="2" s="1"/>
  <c r="G147" i="2"/>
  <c r="R147" i="2" s="1"/>
  <c r="AF147" i="2" s="1"/>
  <c r="Y122" i="2"/>
  <c r="G114" i="2"/>
  <c r="R114" i="2" s="1"/>
  <c r="AF114" i="2" s="1"/>
  <c r="AF116" i="2"/>
  <c r="Y138" i="2"/>
  <c r="V136" i="1"/>
  <c r="AF145" i="2"/>
  <c r="G130" i="2"/>
  <c r="R130" i="2" s="1"/>
  <c r="AF130" i="2" s="1"/>
  <c r="G146" i="2"/>
  <c r="R146" i="2" s="1"/>
  <c r="AF146" i="2" s="1"/>
  <c r="AF157" i="2"/>
  <c r="AF119" i="2"/>
  <c r="AF152" i="2"/>
  <c r="AF159" i="2"/>
  <c r="AF127" i="2"/>
  <c r="AF151" i="2"/>
  <c r="AF120" i="2"/>
  <c r="AF158" i="2"/>
  <c r="AF153" i="2"/>
  <c r="AF137" i="2"/>
  <c r="V135" i="1"/>
  <c r="V157" i="1"/>
  <c r="V149" i="1"/>
  <c r="V127" i="1"/>
  <c r="V133" i="1"/>
  <c r="V119" i="1"/>
  <c r="V125" i="1"/>
  <c r="V116" i="1"/>
  <c r="V117" i="1"/>
  <c r="V141" i="1"/>
  <c r="V121" i="1"/>
  <c r="V129" i="1"/>
  <c r="V124" i="1"/>
  <c r="V132" i="1"/>
  <c r="V140" i="1"/>
  <c r="V156" i="1"/>
  <c r="V143" i="1"/>
  <c r="V151" i="1"/>
  <c r="V159" i="1"/>
  <c r="V122" i="1"/>
  <c r="V130" i="1"/>
  <c r="V138" i="1"/>
  <c r="V146" i="1"/>
  <c r="V154" i="1"/>
  <c r="N22" i="36"/>
  <c r="J35" i="37" s="1"/>
  <c r="K35" i="37" s="1"/>
  <c r="I20" i="39"/>
  <c r="M32" i="36"/>
  <c r="K20" i="36"/>
  <c r="I43" i="36"/>
  <c r="K32" i="36"/>
  <c r="N32" i="36" s="1"/>
  <c r="J45" i="37" s="1"/>
  <c r="K45" i="37" s="1"/>
  <c r="X61" i="37"/>
  <c r="F21" i="38"/>
  <c r="AF21" i="38" s="1"/>
  <c r="P35" i="40"/>
  <c r="M11" i="36"/>
  <c r="M25" i="36"/>
  <c r="M19" i="36"/>
  <c r="N19" i="36" s="1"/>
  <c r="J32" i="37" s="1"/>
  <c r="K32" i="37" s="1"/>
  <c r="M15" i="36"/>
  <c r="N15" i="36" s="1"/>
  <c r="J28" i="37" s="1"/>
  <c r="K28" i="37" s="1"/>
  <c r="I11" i="36"/>
  <c r="O22" i="37"/>
  <c r="Q22" i="37" s="1"/>
  <c r="I49" i="36"/>
  <c r="M18" i="36"/>
  <c r="N18" i="36" s="1"/>
  <c r="J31" i="37" s="1"/>
  <c r="K31" i="37" s="1"/>
  <c r="X25" i="37"/>
  <c r="AF60" i="38"/>
  <c r="O36" i="37"/>
  <c r="M48" i="36"/>
  <c r="N21" i="36"/>
  <c r="J34" i="37" s="1"/>
  <c r="K34" i="37" s="1"/>
  <c r="K48" i="36"/>
  <c r="M17" i="36"/>
  <c r="N17" i="36" s="1"/>
  <c r="J30" i="37" s="1"/>
  <c r="K30" i="37" s="1"/>
  <c r="O62" i="37"/>
  <c r="O28" i="37"/>
  <c r="V19" i="14"/>
  <c r="AD19" i="14"/>
  <c r="V20" i="14"/>
  <c r="M44" i="36"/>
  <c r="K44" i="36"/>
  <c r="I44" i="36"/>
  <c r="K45" i="36"/>
  <c r="I45" i="36"/>
  <c r="M45" i="36"/>
  <c r="I16" i="36"/>
  <c r="N16" i="36" s="1"/>
  <c r="J29" i="37" s="1"/>
  <c r="K29" i="37" s="1"/>
  <c r="Y58" i="38"/>
  <c r="X81" i="37" s="1"/>
  <c r="G58" i="38"/>
  <c r="R58" i="38" s="1"/>
  <c r="M81" i="37" s="1"/>
  <c r="F54" i="38"/>
  <c r="Y39" i="38"/>
  <c r="O40" i="37" s="1"/>
  <c r="G27" i="36"/>
  <c r="L87" i="37"/>
  <c r="C23" i="38"/>
  <c r="D24" i="37"/>
  <c r="D23" i="38" s="1"/>
  <c r="E24" i="37"/>
  <c r="E23" i="38" s="1"/>
  <c r="B25" i="37"/>
  <c r="D21" i="37"/>
  <c r="D20" i="38" s="1"/>
  <c r="G39" i="38"/>
  <c r="R39" i="38" s="1"/>
  <c r="M40" i="37" s="1"/>
  <c r="C22" i="38"/>
  <c r="U33" i="40"/>
  <c r="G28" i="36"/>
  <c r="G54" i="38"/>
  <c r="R54" i="38" s="1"/>
  <c r="V55" i="37"/>
  <c r="G37" i="36"/>
  <c r="G49" i="38"/>
  <c r="R49" i="38" s="1"/>
  <c r="U23" i="37"/>
  <c r="D22" i="37"/>
  <c r="D21" i="38" s="1"/>
  <c r="C21" i="38"/>
  <c r="F26" i="38"/>
  <c r="Y52" i="38"/>
  <c r="X75" i="37" s="1"/>
  <c r="G52" i="38"/>
  <c r="R52" i="38" s="1"/>
  <c r="O37" i="37"/>
  <c r="G26" i="38"/>
  <c r="R26" i="38" s="1"/>
  <c r="M27" i="37" s="1"/>
  <c r="Y26" i="38"/>
  <c r="O27" i="37" s="1"/>
  <c r="G42" i="36"/>
  <c r="V57" i="37"/>
  <c r="V48" i="37"/>
  <c r="V40" i="37"/>
  <c r="Y34" i="38"/>
  <c r="O35" i="37" s="1"/>
  <c r="V35" i="37"/>
  <c r="G84" i="38"/>
  <c r="R84" i="38" s="1"/>
  <c r="M85" i="37" s="1"/>
  <c r="Q85" i="37" s="1"/>
  <c r="Y54" i="38"/>
  <c r="F20" i="41"/>
  <c r="L35" i="40"/>
  <c r="Y25" i="38"/>
  <c r="O26" i="37" s="1"/>
  <c r="G13" i="36"/>
  <c r="Y46" i="38"/>
  <c r="X69" i="37" s="1"/>
  <c r="G46" i="38"/>
  <c r="R46" i="38" s="1"/>
  <c r="G40" i="36"/>
  <c r="Y51" i="38"/>
  <c r="G51" i="38"/>
  <c r="R51" i="38" s="1"/>
  <c r="G39" i="36"/>
  <c r="I8" i="39"/>
  <c r="M8" i="39"/>
  <c r="K8" i="39"/>
  <c r="G46" i="36"/>
  <c r="F84" i="38"/>
  <c r="F48" i="38"/>
  <c r="F46" i="38"/>
  <c r="R20" i="41"/>
  <c r="M31" i="40" s="1"/>
  <c r="Y57" i="38"/>
  <c r="F33" i="38"/>
  <c r="X59" i="37"/>
  <c r="AF36" i="38"/>
  <c r="G72" i="36"/>
  <c r="I87" i="37"/>
  <c r="D19" i="14" s="1"/>
  <c r="V53" i="37"/>
  <c r="V50" i="37"/>
  <c r="V47" i="37"/>
  <c r="F30" i="38"/>
  <c r="Q25" i="37"/>
  <c r="G34" i="38"/>
  <c r="R34" i="38" s="1"/>
  <c r="F49" i="38"/>
  <c r="G56" i="38"/>
  <c r="R56" i="38" s="1"/>
  <c r="M79" i="37" s="1"/>
  <c r="Y56" i="38"/>
  <c r="X57" i="37" s="1"/>
  <c r="F52" i="38"/>
  <c r="F43" i="38"/>
  <c r="AF43" i="38" s="1"/>
  <c r="V59" i="37"/>
  <c r="G34" i="36"/>
  <c r="G25" i="38"/>
  <c r="R25" i="38" s="1"/>
  <c r="M26" i="37" s="1"/>
  <c r="Q26" i="37" s="1"/>
  <c r="G40" i="38"/>
  <c r="R40" i="38" s="1"/>
  <c r="M63" i="37" s="1"/>
  <c r="Y40" i="38"/>
  <c r="G57" i="38"/>
  <c r="R57" i="38" s="1"/>
  <c r="M36" i="36"/>
  <c r="M14" i="36"/>
  <c r="M47" i="36"/>
  <c r="K36" i="36"/>
  <c r="F31" i="38"/>
  <c r="AF31" i="38" s="1"/>
  <c r="X86" i="38"/>
  <c r="Y49" i="38"/>
  <c r="X72" i="37" s="1"/>
  <c r="V58" i="37"/>
  <c r="Y47" i="38"/>
  <c r="X70" i="37" s="1"/>
  <c r="G35" i="36"/>
  <c r="U24" i="37"/>
  <c r="M26" i="36"/>
  <c r="V52" i="37"/>
  <c r="V27" i="37"/>
  <c r="V26" i="37"/>
  <c r="M43" i="36"/>
  <c r="K26" i="36"/>
  <c r="K14" i="36"/>
  <c r="X85" i="37"/>
  <c r="Y59" i="38"/>
  <c r="O49" i="37"/>
  <c r="F25" i="38"/>
  <c r="E23" i="37"/>
  <c r="E22" i="38" s="1"/>
  <c r="R20" i="38"/>
  <c r="G47" i="38"/>
  <c r="R47" i="38" s="1"/>
  <c r="AE86" i="38"/>
  <c r="P21" i="37"/>
  <c r="Y45" i="38"/>
  <c r="O68" i="37" s="1"/>
  <c r="I9" i="39"/>
  <c r="K9" i="39"/>
  <c r="M9" i="39"/>
  <c r="G42" i="38"/>
  <c r="R42" i="38" s="1"/>
  <c r="Y42" i="38"/>
  <c r="G38" i="38"/>
  <c r="R38" i="38" s="1"/>
  <c r="M39" i="37" s="1"/>
  <c r="Y38" i="38"/>
  <c r="O39" i="37" s="1"/>
  <c r="Y37" i="38"/>
  <c r="O38" i="37" s="1"/>
  <c r="G37" i="38"/>
  <c r="R37" i="38" s="1"/>
  <c r="M38" i="37" s="1"/>
  <c r="G28" i="38"/>
  <c r="R28" i="38" s="1"/>
  <c r="M29" i="37" s="1"/>
  <c r="Y28" i="38"/>
  <c r="O29" i="37" s="1"/>
  <c r="Y23" i="38"/>
  <c r="O24" i="37" s="1"/>
  <c r="G23" i="38"/>
  <c r="R23" i="38" s="1"/>
  <c r="M24" i="37" s="1"/>
  <c r="E22" i="40"/>
  <c r="E21" i="41" s="1"/>
  <c r="B20" i="39"/>
  <c r="C33" i="40" s="1"/>
  <c r="V46" i="37"/>
  <c r="Q37" i="37"/>
  <c r="G55" i="38"/>
  <c r="R55" i="38" s="1"/>
  <c r="Y55" i="38"/>
  <c r="O78" i="37" s="1"/>
  <c r="G50" i="38"/>
  <c r="R50" i="38" s="1"/>
  <c r="V43" i="37"/>
  <c r="V39" i="37"/>
  <c r="V24" i="37"/>
  <c r="K23" i="37"/>
  <c r="Y22" i="38"/>
  <c r="O23" i="37" s="1"/>
  <c r="G22" i="38"/>
  <c r="R22" i="38" s="1"/>
  <c r="Y50" i="38"/>
  <c r="O73" i="37" s="1"/>
  <c r="G21" i="41"/>
  <c r="R21" i="41" s="1"/>
  <c r="Y21" i="41"/>
  <c r="V30" i="37"/>
  <c r="G61" i="38"/>
  <c r="R61" i="38" s="1"/>
  <c r="Y32" i="38"/>
  <c r="AF32" i="38" s="1"/>
  <c r="G27" i="38"/>
  <c r="R27" i="38" s="1"/>
  <c r="M28" i="37" s="1"/>
  <c r="AE34" i="41"/>
  <c r="Y29" i="38"/>
  <c r="O30" i="37" s="1"/>
  <c r="Q30" i="37" s="1"/>
  <c r="F23" i="38"/>
  <c r="O21" i="40"/>
  <c r="C22" i="40"/>
  <c r="C20" i="41"/>
  <c r="X21" i="40"/>
  <c r="X34" i="41"/>
  <c r="V42" i="37"/>
  <c r="Y41" i="38"/>
  <c r="F35" i="38"/>
  <c r="AF26" i="41" l="1"/>
  <c r="AF31" i="41"/>
  <c r="AF32" i="41"/>
  <c r="X33" i="40"/>
  <c r="I18" i="39"/>
  <c r="N20" i="39"/>
  <c r="J33" i="40" s="1"/>
  <c r="K33" i="40" s="1"/>
  <c r="AF22" i="41"/>
  <c r="M18" i="39"/>
  <c r="N18" i="39" s="1"/>
  <c r="J31" i="40" s="1"/>
  <c r="K31" i="40" s="1"/>
  <c r="N15" i="39"/>
  <c r="J28" i="40" s="1"/>
  <c r="K28" i="40" s="1"/>
  <c r="R28" i="40" s="1"/>
  <c r="S28" i="40" s="1"/>
  <c r="T28" i="40" s="1"/>
  <c r="N11" i="39"/>
  <c r="J24" i="40" s="1"/>
  <c r="K24" i="40" s="1"/>
  <c r="R24" i="40" s="1"/>
  <c r="S24" i="40" s="1"/>
  <c r="T24" i="40" s="1"/>
  <c r="D27" i="40"/>
  <c r="D26" i="41" s="1"/>
  <c r="C26" i="41"/>
  <c r="D25" i="40"/>
  <c r="D24" i="41" s="1"/>
  <c r="C24" i="41"/>
  <c r="D30" i="40"/>
  <c r="D29" i="41" s="1"/>
  <c r="C29" i="41"/>
  <c r="D29" i="40"/>
  <c r="D28" i="41" s="1"/>
  <c r="C28" i="41"/>
  <c r="R26" i="40"/>
  <c r="S26" i="40" s="1"/>
  <c r="T26" i="40" s="1"/>
  <c r="R27" i="40"/>
  <c r="S27" i="40" s="1"/>
  <c r="T27" i="40" s="1"/>
  <c r="AF21" i="41"/>
  <c r="S30" i="40"/>
  <c r="T30" i="40" s="1"/>
  <c r="S23" i="40"/>
  <c r="T23" i="40" s="1"/>
  <c r="S25" i="40"/>
  <c r="T25" i="40" s="1"/>
  <c r="V35" i="40"/>
  <c r="J20" i="14" s="1"/>
  <c r="O22" i="40"/>
  <c r="O35" i="40" s="1"/>
  <c r="X32" i="40"/>
  <c r="O32" i="40"/>
  <c r="O31" i="40"/>
  <c r="Q31" i="40" s="1"/>
  <c r="X31" i="40"/>
  <c r="M22" i="40"/>
  <c r="M32" i="40"/>
  <c r="K19" i="39"/>
  <c r="M19" i="39"/>
  <c r="N16" i="39"/>
  <c r="J29" i="40" s="1"/>
  <c r="K29" i="40" s="1"/>
  <c r="R29" i="40" s="1"/>
  <c r="E33" i="40"/>
  <c r="E32" i="41" s="1"/>
  <c r="R33" i="40"/>
  <c r="S33" i="40" s="1"/>
  <c r="T33" i="40" s="1"/>
  <c r="N87" i="37"/>
  <c r="AF35" i="38"/>
  <c r="Q36" i="37"/>
  <c r="AF33" i="38"/>
  <c r="Q34" i="37"/>
  <c r="R34" i="37" s="1"/>
  <c r="S34" i="37" s="1"/>
  <c r="T34" i="37" s="1"/>
  <c r="I8" i="36"/>
  <c r="K41" i="36"/>
  <c r="K8" i="36"/>
  <c r="AF70" i="38"/>
  <c r="M41" i="36"/>
  <c r="X45" i="37"/>
  <c r="AF30" i="38"/>
  <c r="M23" i="36"/>
  <c r="N23" i="36" s="1"/>
  <c r="J36" i="37" s="1"/>
  <c r="K36" i="37" s="1"/>
  <c r="I23" i="36"/>
  <c r="O31" i="37"/>
  <c r="Q31" i="37" s="1"/>
  <c r="R31" i="37" s="1"/>
  <c r="S31" i="37" s="1"/>
  <c r="T31" i="37" s="1"/>
  <c r="AF44" i="38"/>
  <c r="N61" i="36"/>
  <c r="J74" i="37" s="1"/>
  <c r="K74" i="37" s="1"/>
  <c r="AF81" i="38"/>
  <c r="K29" i="36"/>
  <c r="I29" i="36"/>
  <c r="M24" i="36"/>
  <c r="N24" i="36" s="1"/>
  <c r="J37" i="37" s="1"/>
  <c r="K37" i="37" s="1"/>
  <c r="R37" i="37" s="1"/>
  <c r="S37" i="37" s="1"/>
  <c r="T37" i="37" s="1"/>
  <c r="N66" i="36"/>
  <c r="J79" i="37" s="1"/>
  <c r="K79" i="37" s="1"/>
  <c r="Q68" i="37"/>
  <c r="M31" i="36"/>
  <c r="N20" i="36"/>
  <c r="J33" i="37" s="1"/>
  <c r="K33" i="37" s="1"/>
  <c r="I31" i="36"/>
  <c r="N36" i="36"/>
  <c r="J49" i="37" s="1"/>
  <c r="K49" i="37" s="1"/>
  <c r="N55" i="36"/>
  <c r="J68" i="37" s="1"/>
  <c r="K68" i="37" s="1"/>
  <c r="N65" i="36"/>
  <c r="J78" i="37" s="1"/>
  <c r="K78" i="37" s="1"/>
  <c r="N41" i="36"/>
  <c r="J54" i="37" s="1"/>
  <c r="K54" i="37" s="1"/>
  <c r="N57" i="36"/>
  <c r="J70" i="37" s="1"/>
  <c r="K70" i="37" s="1"/>
  <c r="N59" i="36"/>
  <c r="J72" i="37" s="1"/>
  <c r="K72" i="37" s="1"/>
  <c r="N64" i="36"/>
  <c r="J77" i="37" s="1"/>
  <c r="K77" i="37" s="1"/>
  <c r="N62" i="36"/>
  <c r="J75" i="37" s="1"/>
  <c r="K75" i="37" s="1"/>
  <c r="N8" i="36"/>
  <c r="N30" i="36"/>
  <c r="J43" i="37" s="1"/>
  <c r="K43" i="37" s="1"/>
  <c r="AF25" i="38"/>
  <c r="P87" i="37"/>
  <c r="AF48" i="38"/>
  <c r="X66" i="37"/>
  <c r="AF20" i="38"/>
  <c r="O21" i="37"/>
  <c r="Q29" i="37"/>
  <c r="R29" i="37" s="1"/>
  <c r="X26" i="37"/>
  <c r="Q27" i="37"/>
  <c r="AF24" i="38"/>
  <c r="K71" i="36"/>
  <c r="M71" i="36"/>
  <c r="X54" i="37"/>
  <c r="O76" i="37"/>
  <c r="Q76" i="37" s="1"/>
  <c r="O54" i="37"/>
  <c r="Q54" i="37" s="1"/>
  <c r="K63" i="36"/>
  <c r="M63" i="36"/>
  <c r="K70" i="36"/>
  <c r="M70" i="36"/>
  <c r="I70" i="36"/>
  <c r="R25" i="37"/>
  <c r="S25" i="37" s="1"/>
  <c r="T25" i="37" s="1"/>
  <c r="M55" i="37"/>
  <c r="M77" i="37"/>
  <c r="M69" i="36"/>
  <c r="I69" i="36"/>
  <c r="K69" i="36"/>
  <c r="K50" i="36"/>
  <c r="M50" i="36"/>
  <c r="I50" i="36"/>
  <c r="M53" i="36"/>
  <c r="K53" i="36"/>
  <c r="I53" i="36"/>
  <c r="K47" i="36"/>
  <c r="I47" i="36"/>
  <c r="M49" i="37"/>
  <c r="Q49" i="37" s="1"/>
  <c r="M71" i="37"/>
  <c r="Q71" i="37" s="1"/>
  <c r="K54" i="36"/>
  <c r="M54" i="36"/>
  <c r="I54" i="36"/>
  <c r="X73" i="37"/>
  <c r="O52" i="37"/>
  <c r="O74" i="37"/>
  <c r="K33" i="36"/>
  <c r="I33" i="36"/>
  <c r="M58" i="37"/>
  <c r="M80" i="37"/>
  <c r="O55" i="37"/>
  <c r="O77" i="37"/>
  <c r="O59" i="37"/>
  <c r="O81" i="37"/>
  <c r="Q81" i="37" s="1"/>
  <c r="R30" i="37"/>
  <c r="S30" i="37" s="1"/>
  <c r="T30" i="37" s="1"/>
  <c r="K58" i="36"/>
  <c r="I58" i="36"/>
  <c r="M58" i="36"/>
  <c r="O32" i="37"/>
  <c r="Q32" i="37" s="1"/>
  <c r="R32" i="37" s="1"/>
  <c r="S32" i="37" s="1"/>
  <c r="T32" i="37" s="1"/>
  <c r="X32" i="37"/>
  <c r="X68" i="37"/>
  <c r="O41" i="37"/>
  <c r="O63" i="37"/>
  <c r="Q63" i="37" s="1"/>
  <c r="X63" i="37"/>
  <c r="M47" i="37"/>
  <c r="M69" i="37"/>
  <c r="AF53" i="38"/>
  <c r="M33" i="36"/>
  <c r="I63" i="36"/>
  <c r="N52" i="36"/>
  <c r="J65" i="37" s="1"/>
  <c r="K65" i="37" s="1"/>
  <c r="O61" i="37"/>
  <c r="Q61" i="37" s="1"/>
  <c r="O83" i="37"/>
  <c r="Q83" i="37" s="1"/>
  <c r="X74" i="37"/>
  <c r="M45" i="37"/>
  <c r="M67" i="37"/>
  <c r="O42" i="37"/>
  <c r="Q42" i="37" s="1"/>
  <c r="O64" i="37"/>
  <c r="Q64" i="37" s="1"/>
  <c r="O60" i="37"/>
  <c r="Q60" i="37" s="1"/>
  <c r="X82" i="37"/>
  <c r="O82" i="37"/>
  <c r="Q82" i="37" s="1"/>
  <c r="Q24" i="37"/>
  <c r="O43" i="37"/>
  <c r="O65" i="37"/>
  <c r="O57" i="37"/>
  <c r="X79" i="37"/>
  <c r="O79" i="37"/>
  <c r="Q79" i="37" s="1"/>
  <c r="O58" i="37"/>
  <c r="O80" i="37"/>
  <c r="O47" i="37"/>
  <c r="O69" i="37"/>
  <c r="O44" i="37"/>
  <c r="Q44" i="37" s="1"/>
  <c r="O66" i="37"/>
  <c r="Q66" i="37" s="1"/>
  <c r="K9" i="36"/>
  <c r="I9" i="36"/>
  <c r="M9" i="36"/>
  <c r="M62" i="37"/>
  <c r="Q62" i="37" s="1"/>
  <c r="M84" i="37"/>
  <c r="Q84" i="37" s="1"/>
  <c r="O50" i="37"/>
  <c r="O72" i="37"/>
  <c r="M51" i="37"/>
  <c r="M73" i="37"/>
  <c r="Q73" i="37" s="1"/>
  <c r="M43" i="37"/>
  <c r="M65" i="37"/>
  <c r="M48" i="37"/>
  <c r="M70" i="37"/>
  <c r="M50" i="37"/>
  <c r="Q50" i="37" s="1"/>
  <c r="M72" i="37"/>
  <c r="Q72" i="37" s="1"/>
  <c r="N25" i="36"/>
  <c r="J38" i="37" s="1"/>
  <c r="K38" i="37" s="1"/>
  <c r="X64" i="37"/>
  <c r="X76" i="37"/>
  <c r="X65" i="37"/>
  <c r="M56" i="37"/>
  <c r="M78" i="37"/>
  <c r="Q78" i="37" s="1"/>
  <c r="O48" i="37"/>
  <c r="O70" i="37"/>
  <c r="M53" i="37"/>
  <c r="M75" i="37"/>
  <c r="K67" i="36"/>
  <c r="M67" i="36"/>
  <c r="O45" i="37"/>
  <c r="O67" i="37"/>
  <c r="X77" i="37"/>
  <c r="X78" i="37"/>
  <c r="M49" i="36"/>
  <c r="N49" i="36" s="1"/>
  <c r="J62" i="37" s="1"/>
  <c r="K62" i="37" s="1"/>
  <c r="M52" i="37"/>
  <c r="M74" i="37"/>
  <c r="O53" i="37"/>
  <c r="O75" i="37"/>
  <c r="I71" i="36"/>
  <c r="K51" i="36"/>
  <c r="M51" i="36"/>
  <c r="X80" i="37"/>
  <c r="N11" i="36"/>
  <c r="J24" i="37" s="1"/>
  <c r="K24" i="37" s="1"/>
  <c r="N60" i="36"/>
  <c r="J73" i="37" s="1"/>
  <c r="K73" i="37" s="1"/>
  <c r="N56" i="36"/>
  <c r="J69" i="37" s="1"/>
  <c r="K69" i="37" s="1"/>
  <c r="N48" i="36"/>
  <c r="J61" i="37" s="1"/>
  <c r="K61" i="37" s="1"/>
  <c r="N68" i="36"/>
  <c r="J81" i="37" s="1"/>
  <c r="K81" i="37" s="1"/>
  <c r="AF48" i="35"/>
  <c r="AF56" i="35"/>
  <c r="AF51" i="35"/>
  <c r="AF55" i="35"/>
  <c r="AF22" i="32"/>
  <c r="AF28" i="32"/>
  <c r="D27" i="31"/>
  <c r="D26" i="32" s="1"/>
  <c r="C26" i="32"/>
  <c r="D29" i="31"/>
  <c r="D28" i="32" s="1"/>
  <c r="C28" i="32"/>
  <c r="D25" i="31"/>
  <c r="D24" i="32" s="1"/>
  <c r="C24" i="32"/>
  <c r="S27" i="31"/>
  <c r="T27" i="31"/>
  <c r="S26" i="31"/>
  <c r="T26" i="31" s="1"/>
  <c r="S23" i="31"/>
  <c r="T23" i="31" s="1"/>
  <c r="S25" i="31"/>
  <c r="T25" i="31" s="1"/>
  <c r="N15" i="30"/>
  <c r="J28" i="31" s="1"/>
  <c r="K28" i="31" s="1"/>
  <c r="R28" i="31" s="1"/>
  <c r="N11" i="30"/>
  <c r="J24" i="31" s="1"/>
  <c r="K24" i="31" s="1"/>
  <c r="R24" i="31" s="1"/>
  <c r="S30" i="31"/>
  <c r="T30" i="31" s="1"/>
  <c r="N16" i="30"/>
  <c r="J29" i="31" s="1"/>
  <c r="K29" i="31" s="1"/>
  <c r="R29" i="31" s="1"/>
  <c r="AF26" i="29"/>
  <c r="AF22" i="29"/>
  <c r="AF27" i="29"/>
  <c r="N11" i="27"/>
  <c r="J24" i="28" s="1"/>
  <c r="K24" i="28" s="1"/>
  <c r="R24" i="28" s="1"/>
  <c r="S24" i="28" s="1"/>
  <c r="T24" i="28" s="1"/>
  <c r="R27" i="28"/>
  <c r="S27" i="28" s="1"/>
  <c r="T27" i="28" s="1"/>
  <c r="R23" i="28"/>
  <c r="S23" i="28" s="1"/>
  <c r="T23" i="28" s="1"/>
  <c r="S26" i="28"/>
  <c r="T26" i="28" s="1"/>
  <c r="N15" i="27"/>
  <c r="J28" i="28" s="1"/>
  <c r="K28" i="28" s="1"/>
  <c r="R28" i="28" s="1"/>
  <c r="N12" i="27"/>
  <c r="J25" i="28" s="1"/>
  <c r="K25" i="28" s="1"/>
  <c r="R25" i="28" s="1"/>
  <c r="N17" i="27"/>
  <c r="J30" i="28" s="1"/>
  <c r="K30" i="28" s="1"/>
  <c r="R30" i="28" s="1"/>
  <c r="N16" i="27"/>
  <c r="J29" i="28" s="1"/>
  <c r="K29" i="28" s="1"/>
  <c r="R29" i="28" s="1"/>
  <c r="AF62" i="26"/>
  <c r="AF51" i="20"/>
  <c r="AF59" i="20"/>
  <c r="AF67" i="17"/>
  <c r="AF83" i="17"/>
  <c r="AF71" i="17"/>
  <c r="AF80" i="17"/>
  <c r="AF75" i="17"/>
  <c r="AF74" i="13"/>
  <c r="AF79" i="13"/>
  <c r="AF36" i="10"/>
  <c r="AF45" i="10"/>
  <c r="AF44" i="10"/>
  <c r="AF41" i="10"/>
  <c r="AF33" i="7"/>
  <c r="AF30" i="7"/>
  <c r="AF36" i="7"/>
  <c r="AF28" i="7"/>
  <c r="AF32" i="7"/>
  <c r="D31" i="6"/>
  <c r="D30" i="7" s="1"/>
  <c r="C30" i="7"/>
  <c r="S30" i="6"/>
  <c r="T30" i="6" s="1"/>
  <c r="N16" i="5"/>
  <c r="J29" i="6" s="1"/>
  <c r="K29" i="6" s="1"/>
  <c r="R29" i="6" s="1"/>
  <c r="AF122" i="2"/>
  <c r="AF138" i="2"/>
  <c r="X39" i="37"/>
  <c r="AF59" i="38"/>
  <c r="AF52" i="38"/>
  <c r="AF84" i="38"/>
  <c r="AF41" i="38"/>
  <c r="AF54" i="38"/>
  <c r="X30" i="37"/>
  <c r="AF47" i="38"/>
  <c r="AF37" i="38"/>
  <c r="AF26" i="38"/>
  <c r="N14" i="36"/>
  <c r="J27" i="37" s="1"/>
  <c r="K27" i="37" s="1"/>
  <c r="AF61" i="38"/>
  <c r="X55" i="37"/>
  <c r="X41" i="37"/>
  <c r="N26" i="36"/>
  <c r="J39" i="37" s="1"/>
  <c r="K39" i="37" s="1"/>
  <c r="N43" i="36"/>
  <c r="J56" i="37" s="1"/>
  <c r="K56" i="37" s="1"/>
  <c r="F22" i="39"/>
  <c r="G20" i="14"/>
  <c r="F74" i="36"/>
  <c r="G19" i="14"/>
  <c r="Q38" i="37"/>
  <c r="AF29" i="38"/>
  <c r="X48" i="37"/>
  <c r="Q39" i="37"/>
  <c r="X27" i="37"/>
  <c r="Q28" i="37"/>
  <c r="R28" i="37" s="1"/>
  <c r="S28" i="37" s="1"/>
  <c r="T28" i="37" s="1"/>
  <c r="AF38" i="38"/>
  <c r="AF42" i="38"/>
  <c r="X46" i="37"/>
  <c r="O46" i="37"/>
  <c r="Q46" i="37" s="1"/>
  <c r="AF45" i="38"/>
  <c r="X24" i="37"/>
  <c r="D22" i="40"/>
  <c r="D21" i="41" s="1"/>
  <c r="C21" i="41"/>
  <c r="AF23" i="38"/>
  <c r="X60" i="37"/>
  <c r="M41" i="37"/>
  <c r="Q41" i="37" s="1"/>
  <c r="AF40" i="38"/>
  <c r="AF49" i="38"/>
  <c r="Y34" i="41"/>
  <c r="AE20" i="14" s="1"/>
  <c r="M21" i="39"/>
  <c r="K37" i="36"/>
  <c r="I37" i="36"/>
  <c r="M37" i="36"/>
  <c r="U25" i="37"/>
  <c r="B26" i="37"/>
  <c r="E25" i="37"/>
  <c r="E24" i="38" s="1"/>
  <c r="J21" i="37"/>
  <c r="G86" i="38"/>
  <c r="H19" i="14" s="1"/>
  <c r="K35" i="36"/>
  <c r="I35" i="36"/>
  <c r="M35" i="36"/>
  <c r="G34" i="41"/>
  <c r="H20" i="14" s="1"/>
  <c r="N8" i="39"/>
  <c r="I21" i="39"/>
  <c r="I13" i="36"/>
  <c r="K13" i="36"/>
  <c r="M13" i="36"/>
  <c r="X35" i="37"/>
  <c r="AF39" i="38"/>
  <c r="N44" i="36"/>
  <c r="J57" i="37" s="1"/>
  <c r="K57" i="37" s="1"/>
  <c r="M23" i="37"/>
  <c r="Q23" i="37" s="1"/>
  <c r="R23" i="37" s="1"/>
  <c r="AF22" i="38"/>
  <c r="K42" i="36"/>
  <c r="I42" i="36"/>
  <c r="M42" i="36"/>
  <c r="V87" i="37"/>
  <c r="J19" i="14" s="1"/>
  <c r="X22" i="40"/>
  <c r="X35" i="40" s="1"/>
  <c r="AF20" i="14" s="1"/>
  <c r="M21" i="37"/>
  <c r="R86" i="38"/>
  <c r="M21" i="40"/>
  <c r="R34" i="41"/>
  <c r="K27" i="36"/>
  <c r="I27" i="36"/>
  <c r="M27" i="36"/>
  <c r="Y86" i="38"/>
  <c r="AE19" i="14" s="1"/>
  <c r="X23" i="37"/>
  <c r="X29" i="37"/>
  <c r="AF34" i="38"/>
  <c r="M35" i="37"/>
  <c r="Q35" i="37" s="1"/>
  <c r="R35" i="37" s="1"/>
  <c r="X50" i="37"/>
  <c r="X40" i="37"/>
  <c r="X42" i="37"/>
  <c r="I34" i="36"/>
  <c r="K34" i="36"/>
  <c r="M34" i="36"/>
  <c r="X53" i="37"/>
  <c r="AF46" i="38"/>
  <c r="K39" i="36"/>
  <c r="I39" i="36"/>
  <c r="M39" i="36"/>
  <c r="AF51" i="38"/>
  <c r="M28" i="36"/>
  <c r="I28" i="36"/>
  <c r="K28" i="36"/>
  <c r="F86" i="38"/>
  <c r="N9" i="39"/>
  <c r="J22" i="40" s="1"/>
  <c r="K22" i="40" s="1"/>
  <c r="O56" i="37"/>
  <c r="Q56" i="37" s="1"/>
  <c r="X56" i="37"/>
  <c r="X33" i="37"/>
  <c r="O33" i="37"/>
  <c r="Q33" i="37" s="1"/>
  <c r="R33" i="37" s="1"/>
  <c r="I40" i="36"/>
  <c r="M40" i="36"/>
  <c r="K40" i="36"/>
  <c r="D33" i="40"/>
  <c r="D32" i="41" s="1"/>
  <c r="C32" i="41"/>
  <c r="X51" i="37"/>
  <c r="O51" i="37"/>
  <c r="AF28" i="38"/>
  <c r="AF20" i="41"/>
  <c r="F34" i="41"/>
  <c r="AF50" i="38"/>
  <c r="AF57" i="38"/>
  <c r="K46" i="36"/>
  <c r="M46" i="36"/>
  <c r="I46" i="36"/>
  <c r="X47" i="37"/>
  <c r="Q40" i="37"/>
  <c r="M59" i="37"/>
  <c r="AF58" i="38"/>
  <c r="N45" i="36"/>
  <c r="J58" i="37" s="1"/>
  <c r="K58" i="37" s="1"/>
  <c r="I72" i="36"/>
  <c r="K72" i="36"/>
  <c r="M72" i="36"/>
  <c r="AF55" i="38"/>
  <c r="X38" i="37"/>
  <c r="X43" i="37"/>
  <c r="AF27" i="38"/>
  <c r="M57" i="37"/>
  <c r="AF56" i="38"/>
  <c r="X52" i="37"/>
  <c r="X58" i="37"/>
  <c r="K21" i="39"/>
  <c r="AF34" i="41" l="1"/>
  <c r="R31" i="40"/>
  <c r="S31" i="40" s="1"/>
  <c r="T31" i="40" s="1"/>
  <c r="N19" i="39"/>
  <c r="J32" i="40" s="1"/>
  <c r="K32" i="40" s="1"/>
  <c r="Q22" i="40"/>
  <c r="R22" i="40" s="1"/>
  <c r="S22" i="40" s="1"/>
  <c r="T22" i="40" s="1"/>
  <c r="S29" i="40"/>
  <c r="T29" i="40" s="1"/>
  <c r="Q32" i="40"/>
  <c r="R32" i="40" s="1"/>
  <c r="R36" i="37"/>
  <c r="S36" i="37" s="1"/>
  <c r="T36" i="37" s="1"/>
  <c r="N29" i="36"/>
  <c r="J42" i="37" s="1"/>
  <c r="K42" i="37" s="1"/>
  <c r="R42" i="37" s="1"/>
  <c r="S42" i="37" s="1"/>
  <c r="T42" i="37" s="1"/>
  <c r="Q80" i="37"/>
  <c r="N31" i="36"/>
  <c r="J44" i="37" s="1"/>
  <c r="K44" i="37" s="1"/>
  <c r="R44" i="37" s="1"/>
  <c r="S44" i="37" s="1"/>
  <c r="T44" i="37" s="1"/>
  <c r="R27" i="37"/>
  <c r="S27" i="37" s="1"/>
  <c r="T27" i="37" s="1"/>
  <c r="Q58" i="37"/>
  <c r="R58" i="37" s="1"/>
  <c r="S58" i="37" s="1"/>
  <c r="T58" i="37" s="1"/>
  <c r="Q52" i="37"/>
  <c r="R78" i="37"/>
  <c r="S78" i="37" s="1"/>
  <c r="T78" i="37" s="1"/>
  <c r="Q57" i="37"/>
  <c r="R57" i="37" s="1"/>
  <c r="Q51" i="37"/>
  <c r="R51" i="37" s="1"/>
  <c r="S51" i="37" s="1"/>
  <c r="T51" i="37" s="1"/>
  <c r="N70" i="36"/>
  <c r="J83" i="37" s="1"/>
  <c r="K83" i="37" s="1"/>
  <c r="R83" i="37" s="1"/>
  <c r="R49" i="37"/>
  <c r="S49" i="37" s="1"/>
  <c r="T49" i="37" s="1"/>
  <c r="N67" i="36"/>
  <c r="J80" i="37" s="1"/>
  <c r="K80" i="37" s="1"/>
  <c r="R79" i="37"/>
  <c r="S79" i="37" s="1"/>
  <c r="T79" i="37" s="1"/>
  <c r="N47" i="36"/>
  <c r="J60" i="37" s="1"/>
  <c r="K60" i="37" s="1"/>
  <c r="R60" i="37" s="1"/>
  <c r="S60" i="37" s="1"/>
  <c r="T60" i="37" s="1"/>
  <c r="N54" i="36"/>
  <c r="J67" i="37" s="1"/>
  <c r="K67" i="37" s="1"/>
  <c r="R68" i="37"/>
  <c r="S68" i="37" s="1"/>
  <c r="T68" i="37" s="1"/>
  <c r="N51" i="36"/>
  <c r="J64" i="37" s="1"/>
  <c r="K64" i="37" s="1"/>
  <c r="R54" i="37"/>
  <c r="S54" i="37" s="1"/>
  <c r="T54" i="37" s="1"/>
  <c r="N71" i="36"/>
  <c r="J84" i="37" s="1"/>
  <c r="K84" i="37" s="1"/>
  <c r="R84" i="37" s="1"/>
  <c r="S84" i="37" s="1"/>
  <c r="T84" i="37" s="1"/>
  <c r="R62" i="37"/>
  <c r="S62" i="37" s="1"/>
  <c r="T62" i="37" s="1"/>
  <c r="N53" i="36"/>
  <c r="J66" i="37" s="1"/>
  <c r="K66" i="37" s="1"/>
  <c r="R66" i="37" s="1"/>
  <c r="R72" i="37"/>
  <c r="S72" i="37" s="1"/>
  <c r="T72" i="37" s="1"/>
  <c r="R24" i="37"/>
  <c r="S24" i="37" s="1"/>
  <c r="R61" i="37"/>
  <c r="S61" i="37" s="1"/>
  <c r="Q65" i="37"/>
  <c r="R65" i="37" s="1"/>
  <c r="S65" i="37" s="1"/>
  <c r="T65" i="37" s="1"/>
  <c r="R81" i="37"/>
  <c r="S81" i="37" s="1"/>
  <c r="T81" i="37" s="1"/>
  <c r="Q45" i="37"/>
  <c r="R45" i="37" s="1"/>
  <c r="S45" i="37" s="1"/>
  <c r="T45" i="37" s="1"/>
  <c r="R64" i="37"/>
  <c r="R38" i="37"/>
  <c r="S38" i="37" s="1"/>
  <c r="T38" i="37" s="1"/>
  <c r="R73" i="37"/>
  <c r="Q74" i="37"/>
  <c r="R74" i="37" s="1"/>
  <c r="Q67" i="37"/>
  <c r="R56" i="37"/>
  <c r="S56" i="37" s="1"/>
  <c r="T56" i="37" s="1"/>
  <c r="Q70" i="37"/>
  <c r="R70" i="37" s="1"/>
  <c r="Q43" i="37"/>
  <c r="R43" i="37" s="1"/>
  <c r="S43" i="37" s="1"/>
  <c r="T43" i="37" s="1"/>
  <c r="Q69" i="37"/>
  <c r="R69" i="37" s="1"/>
  <c r="Q55" i="37"/>
  <c r="N69" i="36"/>
  <c r="J82" i="37" s="1"/>
  <c r="K82" i="37" s="1"/>
  <c r="R82" i="37" s="1"/>
  <c r="Q59" i="37"/>
  <c r="Q48" i="37"/>
  <c r="Q47" i="37"/>
  <c r="Q75" i="37"/>
  <c r="R75" i="37" s="1"/>
  <c r="N9" i="36"/>
  <c r="J22" i="37" s="1"/>
  <c r="K22" i="37" s="1"/>
  <c r="R22" i="37" s="1"/>
  <c r="S22" i="37" s="1"/>
  <c r="T22" i="37" s="1"/>
  <c r="N58" i="36"/>
  <c r="J71" i="37" s="1"/>
  <c r="K71" i="37" s="1"/>
  <c r="R71" i="37" s="1"/>
  <c r="Q53" i="37"/>
  <c r="N33" i="36"/>
  <c r="J46" i="37" s="1"/>
  <c r="K46" i="37" s="1"/>
  <c r="R46" i="37" s="1"/>
  <c r="S46" i="37" s="1"/>
  <c r="T46" i="37" s="1"/>
  <c r="N50" i="36"/>
  <c r="J63" i="37" s="1"/>
  <c r="K63" i="37" s="1"/>
  <c r="R63" i="37" s="1"/>
  <c r="N63" i="36"/>
  <c r="J76" i="37" s="1"/>
  <c r="K76" i="37" s="1"/>
  <c r="R76" i="37" s="1"/>
  <c r="Q77" i="37"/>
  <c r="R77" i="37" s="1"/>
  <c r="N46" i="36"/>
  <c r="J59" i="37" s="1"/>
  <c r="K59" i="37" s="1"/>
  <c r="S29" i="31"/>
  <c r="T29" i="31" s="1"/>
  <c r="S24" i="31"/>
  <c r="T24" i="31" s="1"/>
  <c r="S28" i="31"/>
  <c r="T28" i="31" s="1"/>
  <c r="S28" i="28"/>
  <c r="T28" i="28" s="1"/>
  <c r="S29" i="28"/>
  <c r="T29" i="28" s="1"/>
  <c r="S30" i="28"/>
  <c r="T30" i="28" s="1"/>
  <c r="S25" i="28"/>
  <c r="T25" i="28" s="1"/>
  <c r="S29" i="6"/>
  <c r="T29" i="6" s="1"/>
  <c r="N37" i="36"/>
  <c r="J50" i="37" s="1"/>
  <c r="K50" i="37" s="1"/>
  <c r="R50" i="37" s="1"/>
  <c r="S50" i="37" s="1"/>
  <c r="AG20" i="14"/>
  <c r="L19" i="14"/>
  <c r="W19" i="14" s="1"/>
  <c r="AF86" i="38"/>
  <c r="N40" i="36"/>
  <c r="J53" i="37" s="1"/>
  <c r="K53" i="37" s="1"/>
  <c r="R39" i="37"/>
  <c r="S39" i="37" s="1"/>
  <c r="T39" i="37" s="1"/>
  <c r="S35" i="37"/>
  <c r="T35" i="37" s="1"/>
  <c r="S23" i="37"/>
  <c r="T23" i="37" s="1"/>
  <c r="N35" i="36"/>
  <c r="J48" i="37" s="1"/>
  <c r="K48" i="37" s="1"/>
  <c r="O87" i="37"/>
  <c r="S33" i="37"/>
  <c r="T33" i="37" s="1"/>
  <c r="S29" i="37"/>
  <c r="T29" i="37" s="1"/>
  <c r="Q21" i="37"/>
  <c r="M87" i="37"/>
  <c r="K21" i="37"/>
  <c r="N39" i="36"/>
  <c r="J52" i="37" s="1"/>
  <c r="K52" i="37" s="1"/>
  <c r="M35" i="40"/>
  <c r="Q21" i="40"/>
  <c r="X87" i="37"/>
  <c r="AF19" i="14" s="1"/>
  <c r="AG19" i="14" s="1"/>
  <c r="K73" i="36"/>
  <c r="D25" i="37"/>
  <c r="D24" i="38" s="1"/>
  <c r="C24" i="38"/>
  <c r="M73" i="36"/>
  <c r="N28" i="36"/>
  <c r="J41" i="37" s="1"/>
  <c r="K41" i="37" s="1"/>
  <c r="R41" i="37" s="1"/>
  <c r="N13" i="36"/>
  <c r="I73" i="36"/>
  <c r="U26" i="37"/>
  <c r="B27" i="37"/>
  <c r="E26" i="37"/>
  <c r="E25" i="38" s="1"/>
  <c r="N42" i="36"/>
  <c r="J55" i="37" s="1"/>
  <c r="K55" i="37" s="1"/>
  <c r="N72" i="36"/>
  <c r="J85" i="37" s="1"/>
  <c r="K85" i="37" s="1"/>
  <c r="R85" i="37" s="1"/>
  <c r="N34" i="36"/>
  <c r="J47" i="37" s="1"/>
  <c r="K47" i="37" s="1"/>
  <c r="N27" i="36"/>
  <c r="J40" i="37" s="1"/>
  <c r="K40" i="37" s="1"/>
  <c r="R40" i="37" s="1"/>
  <c r="J21" i="40"/>
  <c r="N21" i="39"/>
  <c r="Q35" i="40" l="1"/>
  <c r="S32" i="40"/>
  <c r="T32" i="40" s="1"/>
  <c r="R80" i="37"/>
  <c r="S80" i="37" s="1"/>
  <c r="T61" i="37"/>
  <c r="R52" i="37"/>
  <c r="R67" i="37"/>
  <c r="S67" i="37" s="1"/>
  <c r="T67" i="37" s="1"/>
  <c r="R48" i="37"/>
  <c r="S48" i="37" s="1"/>
  <c r="T48" i="37" s="1"/>
  <c r="R59" i="37"/>
  <c r="S59" i="37" s="1"/>
  <c r="T59" i="37" s="1"/>
  <c r="T24" i="37"/>
  <c r="R55" i="37"/>
  <c r="S55" i="37" s="1"/>
  <c r="T55" i="37" s="1"/>
  <c r="R53" i="37"/>
  <c r="S53" i="37" s="1"/>
  <c r="R47" i="37"/>
  <c r="S47" i="37" s="1"/>
  <c r="T47" i="37" s="1"/>
  <c r="S71" i="37"/>
  <c r="T71" i="37" s="1"/>
  <c r="T50" i="37"/>
  <c r="S63" i="37"/>
  <c r="T63" i="37" s="1"/>
  <c r="S64" i="37"/>
  <c r="T64" i="37" s="1"/>
  <c r="S75" i="37"/>
  <c r="T75" i="37" s="1"/>
  <c r="S83" i="37"/>
  <c r="T83" i="37" s="1"/>
  <c r="S82" i="37"/>
  <c r="T82" i="37" s="1"/>
  <c r="S74" i="37"/>
  <c r="T74" i="37" s="1"/>
  <c r="S66" i="37"/>
  <c r="T66" i="37" s="1"/>
  <c r="S73" i="37"/>
  <c r="T73" i="37" s="1"/>
  <c r="Q87" i="37"/>
  <c r="S77" i="37"/>
  <c r="T77" i="37" s="1"/>
  <c r="S76" i="37"/>
  <c r="T76" i="37" s="1"/>
  <c r="S69" i="37"/>
  <c r="T69" i="37" s="1"/>
  <c r="S70" i="37"/>
  <c r="T70" i="37" s="1"/>
  <c r="E27" i="37"/>
  <c r="E26" i="38" s="1"/>
  <c r="U27" i="37"/>
  <c r="B28" i="37"/>
  <c r="K21" i="40"/>
  <c r="J35" i="40"/>
  <c r="E20" i="14" s="1"/>
  <c r="AN20" i="14" s="1"/>
  <c r="J26" i="37"/>
  <c r="N73" i="36"/>
  <c r="S52" i="37"/>
  <c r="T52" i="37" s="1"/>
  <c r="S85" i="37"/>
  <c r="T85" i="37" s="1"/>
  <c r="R21" i="37"/>
  <c r="C25" i="38"/>
  <c r="D26" i="37"/>
  <c r="D25" i="38" s="1"/>
  <c r="S40" i="37"/>
  <c r="T40" i="37" s="1"/>
  <c r="S57" i="37"/>
  <c r="T57" i="37" s="1"/>
  <c r="S41" i="37"/>
  <c r="T41" i="37" s="1"/>
  <c r="T80" i="37" l="1"/>
  <c r="T53" i="37"/>
  <c r="K26" i="37"/>
  <c r="J87" i="37"/>
  <c r="E19" i="14" s="1"/>
  <c r="AN19" i="14" s="1"/>
  <c r="K35" i="40"/>
  <c r="F20" i="14" s="1"/>
  <c r="R21" i="40"/>
  <c r="S21" i="37"/>
  <c r="T21" i="37" s="1"/>
  <c r="D27" i="37"/>
  <c r="D26" i="38" s="1"/>
  <c r="C26" i="38"/>
  <c r="B29" i="37"/>
  <c r="U28" i="37"/>
  <c r="E28" i="37"/>
  <c r="E27" i="38" s="1"/>
  <c r="C27" i="38" l="1"/>
  <c r="D28" i="37"/>
  <c r="D27" i="38" s="1"/>
  <c r="E29" i="37"/>
  <c r="E28" i="38" s="1"/>
  <c r="B30" i="37"/>
  <c r="U29" i="37"/>
  <c r="R35" i="40"/>
  <c r="AR20" i="14" s="1"/>
  <c r="S21" i="40"/>
  <c r="S35" i="40" s="1"/>
  <c r="AO20" i="14" s="1"/>
  <c r="R26" i="37"/>
  <c r="K87" i="37"/>
  <c r="F19" i="14" s="1"/>
  <c r="T21" i="40" l="1"/>
  <c r="T35" i="40" s="1"/>
  <c r="AS20" i="14"/>
  <c r="AP20" i="14"/>
  <c r="S26" i="37"/>
  <c r="S87" i="37" s="1"/>
  <c r="AO19" i="14" s="1"/>
  <c r="R87" i="37"/>
  <c r="AR19" i="14" s="1"/>
  <c r="W37" i="40"/>
  <c r="L43" i="40"/>
  <c r="U30" i="37"/>
  <c r="B31" i="37"/>
  <c r="E30" i="37"/>
  <c r="E29" i="38" s="1"/>
  <c r="C28" i="38"/>
  <c r="D29" i="37"/>
  <c r="D28" i="38" s="1"/>
  <c r="O37" i="40" a="1"/>
  <c r="AT20" i="14" l="1"/>
  <c r="AS19" i="14"/>
  <c r="AP19" i="14"/>
  <c r="O37" i="40"/>
  <c r="U31" i="37"/>
  <c r="B32" i="37"/>
  <c r="E31" i="37"/>
  <c r="E30" i="38" s="1"/>
  <c r="T26" i="37"/>
  <c r="T87" i="37" s="1"/>
  <c r="C29" i="38"/>
  <c r="D30" i="37"/>
  <c r="D29" i="38" s="1"/>
  <c r="W89" i="37"/>
  <c r="L95" i="37"/>
  <c r="O89" i="37" a="1"/>
  <c r="AT19" i="14" l="1"/>
  <c r="O89" i="37"/>
  <c r="E32" i="37"/>
  <c r="E31" i="38" s="1"/>
  <c r="U32" i="37"/>
  <c r="B33" i="37"/>
  <c r="C30" i="38"/>
  <c r="D31" i="37"/>
  <c r="D30" i="38" s="1"/>
  <c r="C31" i="38" l="1"/>
  <c r="D32" i="37"/>
  <c r="D31" i="38" s="1"/>
  <c r="B34" i="37"/>
  <c r="E33" i="37"/>
  <c r="E32" i="38" s="1"/>
  <c r="U33" i="37"/>
  <c r="C32" i="38" l="1"/>
  <c r="D33" i="37"/>
  <c r="D32" i="38" s="1"/>
  <c r="E34" i="37"/>
  <c r="E33" i="38" s="1"/>
  <c r="B35" i="37"/>
  <c r="U34" i="37"/>
  <c r="B36" i="37" l="1"/>
  <c r="U35" i="37"/>
  <c r="E35" i="37"/>
  <c r="E34" i="38" s="1"/>
  <c r="D34" i="37"/>
  <c r="D33" i="38" s="1"/>
  <c r="C33" i="38"/>
  <c r="C34" i="38" l="1"/>
  <c r="D35" i="37"/>
  <c r="D34" i="38" s="1"/>
  <c r="B37" i="37"/>
  <c r="E36" i="37"/>
  <c r="E35" i="38" s="1"/>
  <c r="U36" i="37"/>
  <c r="U37" i="37" l="1"/>
  <c r="B38" i="37"/>
  <c r="E37" i="37"/>
  <c r="E36" i="38" s="1"/>
  <c r="C35" i="38"/>
  <c r="D36" i="37"/>
  <c r="D35" i="38" s="1"/>
  <c r="D37" i="37" l="1"/>
  <c r="D36" i="38" s="1"/>
  <c r="C36" i="38"/>
  <c r="E38" i="37"/>
  <c r="E37" i="38" s="1"/>
  <c r="B39" i="37"/>
  <c r="U38" i="37"/>
  <c r="D38" i="37" l="1"/>
  <c r="D37" i="38" s="1"/>
  <c r="C37" i="38"/>
  <c r="E39" i="37"/>
  <c r="E38" i="38" s="1"/>
  <c r="B40" i="37"/>
  <c r="B63" i="37" s="1"/>
  <c r="U39" i="37"/>
  <c r="C63" i="37" l="1"/>
  <c r="U63" i="37"/>
  <c r="E63" i="37"/>
  <c r="E62" i="38" s="1"/>
  <c r="B41" i="37"/>
  <c r="B64" i="37" s="1"/>
  <c r="U40" i="37"/>
  <c r="E40" i="37"/>
  <c r="E39" i="38" s="1"/>
  <c r="D39" i="37"/>
  <c r="D38" i="38" s="1"/>
  <c r="C38" i="38"/>
  <c r="D63" i="37" l="1"/>
  <c r="D62" i="38" s="1"/>
  <c r="C62" i="38"/>
  <c r="E64" i="37"/>
  <c r="E63" i="38" s="1"/>
  <c r="C64" i="37"/>
  <c r="U64" i="37"/>
  <c r="C39" i="38"/>
  <c r="D40" i="37"/>
  <c r="D39" i="38" s="1"/>
  <c r="U41" i="37"/>
  <c r="B42" i="37"/>
  <c r="B65" i="37" s="1"/>
  <c r="E41" i="37"/>
  <c r="E40" i="38" s="1"/>
  <c r="D64" i="37" l="1"/>
  <c r="D63" i="38" s="1"/>
  <c r="C63" i="38"/>
  <c r="E65" i="37"/>
  <c r="E64" i="38" s="1"/>
  <c r="C65" i="37"/>
  <c r="U65" i="37"/>
  <c r="E42" i="37"/>
  <c r="E41" i="38" s="1"/>
  <c r="U42" i="37"/>
  <c r="B43" i="37"/>
  <c r="B66" i="37" s="1"/>
  <c r="C40" i="38"/>
  <c r="D41" i="37"/>
  <c r="D40" i="38" s="1"/>
  <c r="D65" i="37" l="1"/>
  <c r="D64" i="38" s="1"/>
  <c r="C64" i="38"/>
  <c r="U66" i="37"/>
  <c r="E66" i="37"/>
  <c r="E65" i="38" s="1"/>
  <c r="C66" i="37"/>
  <c r="C41" i="38"/>
  <c r="D42" i="37"/>
  <c r="D41" i="38" s="1"/>
  <c r="E43" i="37"/>
  <c r="E42" i="38" s="1"/>
  <c r="B44" i="37"/>
  <c r="B67" i="37" s="1"/>
  <c r="U43" i="37"/>
  <c r="D66" i="37" l="1"/>
  <c r="D65" i="38" s="1"/>
  <c r="C65" i="38"/>
  <c r="E67" i="37"/>
  <c r="E66" i="38" s="1"/>
  <c r="C67" i="37"/>
  <c r="U67" i="37"/>
  <c r="E44" i="37"/>
  <c r="E43" i="38" s="1"/>
  <c r="U44" i="37"/>
  <c r="B45" i="37"/>
  <c r="B68" i="37" s="1"/>
  <c r="C42" i="38"/>
  <c r="D43" i="37"/>
  <c r="D42" i="38" s="1"/>
  <c r="D67" i="37" l="1"/>
  <c r="D66" i="38" s="1"/>
  <c r="C66" i="38"/>
  <c r="C68" i="37"/>
  <c r="U68" i="37"/>
  <c r="E68" i="37"/>
  <c r="E67" i="38" s="1"/>
  <c r="B46" i="37"/>
  <c r="B69" i="37" s="1"/>
  <c r="E45" i="37"/>
  <c r="E44" i="38" s="1"/>
  <c r="U45" i="37"/>
  <c r="C43" i="38"/>
  <c r="D44" i="37"/>
  <c r="D43" i="38" s="1"/>
  <c r="D68" i="37" l="1"/>
  <c r="D67" i="38" s="1"/>
  <c r="C67" i="38"/>
  <c r="E69" i="37"/>
  <c r="E68" i="38" s="1"/>
  <c r="U69" i="37"/>
  <c r="C69" i="37"/>
  <c r="C44" i="38"/>
  <c r="D45" i="37"/>
  <c r="D44" i="38" s="1"/>
  <c r="U46" i="37"/>
  <c r="E46" i="37"/>
  <c r="E45" i="38" s="1"/>
  <c r="B47" i="37"/>
  <c r="B70" i="37" s="1"/>
  <c r="D69" i="37" l="1"/>
  <c r="D68" i="38" s="1"/>
  <c r="C68" i="38"/>
  <c r="E70" i="37"/>
  <c r="E69" i="38" s="1"/>
  <c r="C70" i="37"/>
  <c r="U70" i="37"/>
  <c r="B48" i="37"/>
  <c r="B71" i="37" s="1"/>
  <c r="U47" i="37"/>
  <c r="E47" i="37"/>
  <c r="E46" i="38" s="1"/>
  <c r="D46" i="37"/>
  <c r="D45" i="38" s="1"/>
  <c r="C45" i="38"/>
  <c r="X26" i="26"/>
  <c r="X27" i="26"/>
  <c r="X28" i="26"/>
  <c r="X29" i="26"/>
  <c r="X30" i="26"/>
  <c r="X31" i="26"/>
  <c r="X32" i="26"/>
  <c r="X33" i="26"/>
  <c r="X34" i="26"/>
  <c r="X35" i="26"/>
  <c r="N53" i="25" s="1"/>
  <c r="X36" i="26"/>
  <c r="N54" i="25" s="1"/>
  <c r="X37" i="26"/>
  <c r="N55" i="25" s="1"/>
  <c r="X38" i="26"/>
  <c r="N56" i="25" s="1"/>
  <c r="X39" i="26"/>
  <c r="N57" i="25" s="1"/>
  <c r="X40" i="26"/>
  <c r="N58" i="25" s="1"/>
  <c r="X41" i="26"/>
  <c r="N59" i="25" s="1"/>
  <c r="X42" i="26"/>
  <c r="N60" i="25" s="1"/>
  <c r="X43" i="26"/>
  <c r="N61" i="25" s="1"/>
  <c r="X44" i="26"/>
  <c r="N62" i="25" s="1"/>
  <c r="X45" i="26"/>
  <c r="N63" i="25" s="1"/>
  <c r="X46" i="26"/>
  <c r="N64" i="25" s="1"/>
  <c r="X47" i="26"/>
  <c r="N65" i="25" s="1"/>
  <c r="X48" i="26"/>
  <c r="N66" i="25" s="1"/>
  <c r="X49" i="26"/>
  <c r="N67" i="25" s="1"/>
  <c r="X50" i="26"/>
  <c r="N68" i="25" s="1"/>
  <c r="X51" i="26"/>
  <c r="N69" i="25" s="1"/>
  <c r="X69" i="26"/>
  <c r="F93" i="16"/>
  <c r="I39" i="34"/>
  <c r="G39" i="33" s="1"/>
  <c r="L39" i="34"/>
  <c r="F38" i="35" s="1"/>
  <c r="V39" i="34"/>
  <c r="I40" i="34"/>
  <c r="G27" i="33" s="1"/>
  <c r="L40" i="34"/>
  <c r="F39" i="35" s="1"/>
  <c r="I41" i="34"/>
  <c r="V41" i="34" s="1"/>
  <c r="L41" i="34"/>
  <c r="F40" i="35" s="1"/>
  <c r="I42" i="34"/>
  <c r="G42" i="33" s="1"/>
  <c r="L42" i="34"/>
  <c r="I43" i="34"/>
  <c r="G42" i="35" s="1"/>
  <c r="L43" i="34"/>
  <c r="F42" i="35" s="1"/>
  <c r="I44" i="34"/>
  <c r="G31" i="33" s="1"/>
  <c r="I31" i="33" s="1"/>
  <c r="L44" i="34"/>
  <c r="F43" i="35" s="1"/>
  <c r="I45" i="34"/>
  <c r="G45" i="33" s="1"/>
  <c r="L45" i="34"/>
  <c r="I59" i="34"/>
  <c r="V59" i="34" s="1"/>
  <c r="L59" i="34"/>
  <c r="F58" i="35" s="1"/>
  <c r="X38" i="35"/>
  <c r="N52" i="34" s="1"/>
  <c r="Y38" i="35"/>
  <c r="AE38" i="35"/>
  <c r="P52" i="34" s="1"/>
  <c r="X39" i="35"/>
  <c r="N53" i="34" s="1"/>
  <c r="AE39" i="35"/>
  <c r="X40" i="35"/>
  <c r="AE40" i="35"/>
  <c r="X41" i="35"/>
  <c r="AE41" i="35"/>
  <c r="X42" i="35"/>
  <c r="N56" i="34" s="1"/>
  <c r="AE42" i="35"/>
  <c r="X43" i="35"/>
  <c r="N57" i="34" s="1"/>
  <c r="AE43" i="35"/>
  <c r="X44" i="35"/>
  <c r="N58" i="34" s="1"/>
  <c r="AE44" i="35"/>
  <c r="X58" i="35"/>
  <c r="N59" i="34" s="1"/>
  <c r="AE58" i="35"/>
  <c r="P59" i="34" s="1"/>
  <c r="X36" i="35"/>
  <c r="AE36" i="35"/>
  <c r="X37" i="35"/>
  <c r="AE37" i="35"/>
  <c r="I37" i="34"/>
  <c r="L37" i="34"/>
  <c r="F36" i="35" s="1"/>
  <c r="I38" i="34"/>
  <c r="G38" i="33" s="1"/>
  <c r="L38" i="34"/>
  <c r="F37" i="35" s="1"/>
  <c r="G24" i="33"/>
  <c r="I24" i="33" s="1"/>
  <c r="F35" i="31"/>
  <c r="D70" i="37" l="1"/>
  <c r="D69" i="38" s="1"/>
  <c r="C69" i="38"/>
  <c r="C71" i="37"/>
  <c r="U71" i="37"/>
  <c r="E71" i="37"/>
  <c r="E70" i="38" s="1"/>
  <c r="P39" i="34"/>
  <c r="N39" i="34"/>
  <c r="N45" i="34"/>
  <c r="V45" i="34"/>
  <c r="V40" i="34"/>
  <c r="G58" i="35"/>
  <c r="Y44" i="35"/>
  <c r="O58" i="34" s="1"/>
  <c r="Y41" i="35"/>
  <c r="G41" i="35"/>
  <c r="R41" i="35" s="1"/>
  <c r="M55" i="34" s="1"/>
  <c r="G32" i="33"/>
  <c r="K32" i="33" s="1"/>
  <c r="V42" i="34"/>
  <c r="Y43" i="35"/>
  <c r="X57" i="34" s="1"/>
  <c r="V38" i="34"/>
  <c r="P40" i="34"/>
  <c r="P53" i="34"/>
  <c r="P43" i="34"/>
  <c r="P56" i="34"/>
  <c r="N43" i="34"/>
  <c r="N37" i="34"/>
  <c r="N50" i="34"/>
  <c r="P42" i="34"/>
  <c r="P55" i="34"/>
  <c r="N40" i="34"/>
  <c r="P38" i="34"/>
  <c r="P51" i="34"/>
  <c r="P45" i="34"/>
  <c r="P58" i="34"/>
  <c r="N42" i="34"/>
  <c r="N55" i="34"/>
  <c r="N38" i="34"/>
  <c r="N51" i="34"/>
  <c r="P44" i="34"/>
  <c r="P57" i="34"/>
  <c r="P41" i="34"/>
  <c r="P54" i="34"/>
  <c r="P37" i="34"/>
  <c r="P50" i="34"/>
  <c r="N41" i="34"/>
  <c r="N54" i="34"/>
  <c r="N44" i="34"/>
  <c r="M27" i="33"/>
  <c r="K27" i="33"/>
  <c r="G46" i="33"/>
  <c r="I46" i="33" s="1"/>
  <c r="O44" i="34"/>
  <c r="O57" i="34"/>
  <c r="G28" i="33"/>
  <c r="K28" i="33" s="1"/>
  <c r="G41" i="33"/>
  <c r="G39" i="35"/>
  <c r="R39" i="35" s="1"/>
  <c r="O45" i="34"/>
  <c r="R42" i="35"/>
  <c r="M56" i="34" s="1"/>
  <c r="G43" i="33"/>
  <c r="M38" i="33"/>
  <c r="K38" i="33"/>
  <c r="I38" i="33"/>
  <c r="Y42" i="35"/>
  <c r="X43" i="34" s="1"/>
  <c r="V44" i="34"/>
  <c r="G44" i="33"/>
  <c r="G30" i="33"/>
  <c r="M30" i="33" s="1"/>
  <c r="G38" i="35"/>
  <c r="R38" i="35" s="1"/>
  <c r="V37" i="34"/>
  <c r="G37" i="33"/>
  <c r="V43" i="34"/>
  <c r="M42" i="33"/>
  <c r="I42" i="33"/>
  <c r="K42" i="33"/>
  <c r="G29" i="33"/>
  <c r="I29" i="33" s="1"/>
  <c r="G37" i="35"/>
  <c r="R37" i="35" s="1"/>
  <c r="G36" i="35"/>
  <c r="Y37" i="35"/>
  <c r="O42" i="34"/>
  <c r="O55" i="34"/>
  <c r="X55" i="34"/>
  <c r="G44" i="35"/>
  <c r="R44" i="35" s="1"/>
  <c r="X39" i="34"/>
  <c r="O52" i="34"/>
  <c r="X52" i="34"/>
  <c r="M45" i="33"/>
  <c r="K45" i="33"/>
  <c r="I45" i="33"/>
  <c r="Y39" i="35"/>
  <c r="G40" i="33"/>
  <c r="M39" i="33"/>
  <c r="K39" i="33"/>
  <c r="I39" i="33"/>
  <c r="G26" i="33"/>
  <c r="I26" i="33" s="1"/>
  <c r="G43" i="35"/>
  <c r="R43" i="35" s="1"/>
  <c r="AF43" i="35" s="1"/>
  <c r="I27" i="33"/>
  <c r="N27" i="33" s="1"/>
  <c r="O39" i="34"/>
  <c r="X44" i="34"/>
  <c r="X42" i="34"/>
  <c r="I32" i="33"/>
  <c r="C46" i="38"/>
  <c r="D47" i="37"/>
  <c r="D46" i="38" s="1"/>
  <c r="B49" i="37"/>
  <c r="B72" i="37" s="1"/>
  <c r="U48" i="37"/>
  <c r="E48" i="37"/>
  <c r="E47" i="38" s="1"/>
  <c r="G40" i="35"/>
  <c r="R40" i="35" s="1"/>
  <c r="M54" i="34" s="1"/>
  <c r="F41" i="35"/>
  <c r="AF41" i="35" s="1"/>
  <c r="M32" i="33"/>
  <c r="M31" i="33"/>
  <c r="K31" i="33"/>
  <c r="M46" i="33"/>
  <c r="K46" i="33"/>
  <c r="X45" i="34"/>
  <c r="Y40" i="35"/>
  <c r="F44" i="35"/>
  <c r="Y58" i="35"/>
  <c r="O59" i="34" s="1"/>
  <c r="R58" i="35"/>
  <c r="M59" i="34" s="1"/>
  <c r="X38" i="34"/>
  <c r="G25" i="33"/>
  <c r="K24" i="33"/>
  <c r="Y36" i="35"/>
  <c r="R36" i="35"/>
  <c r="M24" i="33"/>
  <c r="D71" i="37" l="1"/>
  <c r="D70" i="38" s="1"/>
  <c r="C70" i="38"/>
  <c r="E72" i="37"/>
  <c r="E71" i="38" s="1"/>
  <c r="C72" i="37"/>
  <c r="U72" i="37"/>
  <c r="AF44" i="35"/>
  <c r="AF42" i="35"/>
  <c r="M42" i="34"/>
  <c r="I28" i="33"/>
  <c r="M28" i="33"/>
  <c r="N46" i="33"/>
  <c r="M29" i="33"/>
  <c r="I30" i="33"/>
  <c r="N30" i="33" s="1"/>
  <c r="J43" i="34" s="1"/>
  <c r="K43" i="34" s="1"/>
  <c r="X58" i="34"/>
  <c r="M43" i="34"/>
  <c r="K29" i="33"/>
  <c r="K30" i="33"/>
  <c r="M26" i="33"/>
  <c r="AF39" i="35"/>
  <c r="N28" i="33"/>
  <c r="K26" i="33"/>
  <c r="N26" i="33" s="1"/>
  <c r="J39" i="34" s="1"/>
  <c r="K39" i="34" s="1"/>
  <c r="N45" i="33"/>
  <c r="J58" i="34" s="1"/>
  <c r="K58" i="34" s="1"/>
  <c r="N38" i="33"/>
  <c r="J51" i="34" s="1"/>
  <c r="K51" i="34" s="1"/>
  <c r="Q42" i="34"/>
  <c r="X40" i="34"/>
  <c r="M43" i="33"/>
  <c r="K43" i="33"/>
  <c r="I43" i="33"/>
  <c r="M41" i="33"/>
  <c r="K41" i="33"/>
  <c r="I41" i="33"/>
  <c r="M37" i="34"/>
  <c r="M50" i="34"/>
  <c r="O37" i="34"/>
  <c r="O50" i="34"/>
  <c r="X50" i="34"/>
  <c r="K40" i="33"/>
  <c r="M40" i="33"/>
  <c r="I40" i="33"/>
  <c r="M45" i="34"/>
  <c r="Q45" i="34" s="1"/>
  <c r="M58" i="34"/>
  <c r="Q58" i="34" s="1"/>
  <c r="K44" i="33"/>
  <c r="M44" i="33"/>
  <c r="I44" i="33"/>
  <c r="N44" i="33" s="1"/>
  <c r="J57" i="34" s="1"/>
  <c r="K57" i="34" s="1"/>
  <c r="N32" i="33"/>
  <c r="J45" i="34" s="1"/>
  <c r="K45" i="34" s="1"/>
  <c r="O53" i="34"/>
  <c r="X53" i="34"/>
  <c r="N42" i="33"/>
  <c r="J55" i="34" s="1"/>
  <c r="K55" i="34" s="1"/>
  <c r="M39" i="34"/>
  <c r="Q39" i="34" s="1"/>
  <c r="M52" i="34"/>
  <c r="Q52" i="34" s="1"/>
  <c r="O43" i="34"/>
  <c r="Q43" i="34" s="1"/>
  <c r="O56" i="34"/>
  <c r="Q56" i="34" s="1"/>
  <c r="X56" i="34"/>
  <c r="O41" i="34"/>
  <c r="X54" i="34"/>
  <c r="O54" i="34"/>
  <c r="Q54" i="34" s="1"/>
  <c r="M40" i="34"/>
  <c r="M53" i="34"/>
  <c r="O51" i="34"/>
  <c r="X51" i="34"/>
  <c r="M37" i="33"/>
  <c r="K37" i="33"/>
  <c r="I37" i="33"/>
  <c r="Q55" i="34"/>
  <c r="AF37" i="35"/>
  <c r="M51" i="34"/>
  <c r="M44" i="34"/>
  <c r="Q44" i="34" s="1"/>
  <c r="M57" i="34"/>
  <c r="Q57" i="34" s="1"/>
  <c r="AF38" i="35"/>
  <c r="O40" i="34"/>
  <c r="N31" i="33"/>
  <c r="J44" i="34" s="1"/>
  <c r="K44" i="34" s="1"/>
  <c r="N39" i="33"/>
  <c r="J52" i="34" s="1"/>
  <c r="K52" i="34" s="1"/>
  <c r="X59" i="34"/>
  <c r="N24" i="33"/>
  <c r="J37" i="34" s="1"/>
  <c r="K37" i="34" s="1"/>
  <c r="Q59" i="34"/>
  <c r="D48" i="37"/>
  <c r="D47" i="38" s="1"/>
  <c r="C47" i="38"/>
  <c r="U49" i="37"/>
  <c r="E49" i="37"/>
  <c r="E48" i="38" s="1"/>
  <c r="B50" i="37"/>
  <c r="B73" i="37" s="1"/>
  <c r="X41" i="34"/>
  <c r="M41" i="34"/>
  <c r="AF40" i="35"/>
  <c r="AF58" i="35"/>
  <c r="X37" i="34"/>
  <c r="M25" i="33"/>
  <c r="K25" i="33"/>
  <c r="I25" i="33"/>
  <c r="AF36" i="35"/>
  <c r="D72" i="37" l="1"/>
  <c r="D71" i="38" s="1"/>
  <c r="C71" i="38"/>
  <c r="E73" i="37"/>
  <c r="E72" i="38" s="1"/>
  <c r="C73" i="37"/>
  <c r="U73" i="37"/>
  <c r="R58" i="34"/>
  <c r="R43" i="34"/>
  <c r="S43" i="34" s="1"/>
  <c r="T43" i="34" s="1"/>
  <c r="Q41" i="34"/>
  <c r="N29" i="33"/>
  <c r="J42" i="34" s="1"/>
  <c r="K42" i="34" s="1"/>
  <c r="R42" i="34" s="1"/>
  <c r="S42" i="34" s="1"/>
  <c r="T42" i="34" s="1"/>
  <c r="N37" i="33"/>
  <c r="J50" i="34" s="1"/>
  <c r="K50" i="34" s="1"/>
  <c r="R45" i="34"/>
  <c r="S45" i="34" s="1"/>
  <c r="T45" i="34" s="1"/>
  <c r="R52" i="34"/>
  <c r="S52" i="34" s="1"/>
  <c r="T52" i="34" s="1"/>
  <c r="R39" i="34"/>
  <c r="S39" i="34" s="1"/>
  <c r="T39" i="34" s="1"/>
  <c r="N43" i="33"/>
  <c r="J56" i="34" s="1"/>
  <c r="K56" i="34" s="1"/>
  <c r="R56" i="34" s="1"/>
  <c r="N40" i="33"/>
  <c r="J53" i="34" s="1"/>
  <c r="K53" i="34" s="1"/>
  <c r="Q53" i="34"/>
  <c r="R57" i="34"/>
  <c r="S57" i="34" s="1"/>
  <c r="T57" i="34" s="1"/>
  <c r="Q37" i="34"/>
  <c r="R37" i="34" s="1"/>
  <c r="S37" i="34" s="1"/>
  <c r="T37" i="34" s="1"/>
  <c r="Q51" i="34"/>
  <c r="R51" i="34" s="1"/>
  <c r="N41" i="33"/>
  <c r="J54" i="34" s="1"/>
  <c r="K54" i="34" s="1"/>
  <c r="R54" i="34" s="1"/>
  <c r="S58" i="34"/>
  <c r="T58" i="34" s="1"/>
  <c r="R44" i="34"/>
  <c r="S44" i="34" s="1"/>
  <c r="T44" i="34" s="1"/>
  <c r="Q40" i="34"/>
  <c r="R55" i="34"/>
  <c r="Q50" i="34"/>
  <c r="R50" i="34" s="1"/>
  <c r="N25" i="33"/>
  <c r="J38" i="34" s="1"/>
  <c r="K38" i="34" s="1"/>
  <c r="E50" i="37"/>
  <c r="E49" i="38" s="1"/>
  <c r="U50" i="37"/>
  <c r="B51" i="37"/>
  <c r="B74" i="37" s="1"/>
  <c r="C48" i="38"/>
  <c r="D49" i="37"/>
  <c r="D48" i="38" s="1"/>
  <c r="J59" i="34"/>
  <c r="K59" i="34" s="1"/>
  <c r="R59" i="34" s="1"/>
  <c r="J41" i="34"/>
  <c r="K41" i="34" s="1"/>
  <c r="J40" i="34"/>
  <c r="K40" i="34" s="1"/>
  <c r="D73" i="37" l="1"/>
  <c r="D72" i="38" s="1"/>
  <c r="C72" i="38"/>
  <c r="U74" i="37"/>
  <c r="E74" i="37"/>
  <c r="E73" i="38" s="1"/>
  <c r="C74" i="37"/>
  <c r="R41" i="34"/>
  <c r="R53" i="34"/>
  <c r="S53" i="34" s="1"/>
  <c r="T53" i="34" s="1"/>
  <c r="R40" i="34"/>
  <c r="S50" i="34"/>
  <c r="T50" i="34" s="1"/>
  <c r="S56" i="34"/>
  <c r="T56" i="34" s="1"/>
  <c r="S55" i="34"/>
  <c r="T55" i="34" s="1"/>
  <c r="S54" i="34"/>
  <c r="T54" i="34" s="1"/>
  <c r="S51" i="34"/>
  <c r="T51" i="34" s="1"/>
  <c r="B52" i="37"/>
  <c r="B75" i="37" s="1"/>
  <c r="E51" i="37"/>
  <c r="E50" i="38" s="1"/>
  <c r="U51" i="37"/>
  <c r="D50" i="37"/>
  <c r="D49" i="38" s="1"/>
  <c r="C49" i="38"/>
  <c r="S59" i="34"/>
  <c r="T59" i="34" s="1"/>
  <c r="S40" i="34"/>
  <c r="T40" i="34" s="1"/>
  <c r="S41" i="34"/>
  <c r="T41" i="34" s="1"/>
  <c r="D74" i="37" l="1"/>
  <c r="D73" i="38" s="1"/>
  <c r="C73" i="38"/>
  <c r="E75" i="37"/>
  <c r="E74" i="38" s="1"/>
  <c r="C75" i="37"/>
  <c r="U75" i="37"/>
  <c r="D51" i="37"/>
  <c r="D50" i="38" s="1"/>
  <c r="C50" i="38"/>
  <c r="B53" i="37"/>
  <c r="B76" i="37" s="1"/>
  <c r="E52" i="37"/>
  <c r="E51" i="38" s="1"/>
  <c r="U52" i="37"/>
  <c r="D75" i="37" l="1"/>
  <c r="D74" i="38" s="1"/>
  <c r="C74" i="38"/>
  <c r="C76" i="37"/>
  <c r="U76" i="37"/>
  <c r="E76" i="37"/>
  <c r="E75" i="38" s="1"/>
  <c r="C51" i="38"/>
  <c r="D52" i="37"/>
  <c r="D51" i="38" s="1"/>
  <c r="B54" i="37"/>
  <c r="B77" i="37" s="1"/>
  <c r="U53" i="37"/>
  <c r="E53" i="37"/>
  <c r="E52" i="38" s="1"/>
  <c r="D76" i="37" l="1"/>
  <c r="D75" i="38" s="1"/>
  <c r="C75" i="38"/>
  <c r="E77" i="37"/>
  <c r="E76" i="38" s="1"/>
  <c r="U77" i="37"/>
  <c r="C77" i="37"/>
  <c r="C52" i="38"/>
  <c r="D53" i="37"/>
  <c r="D52" i="38" s="1"/>
  <c r="E54" i="37"/>
  <c r="E53" i="38" s="1"/>
  <c r="U54" i="37"/>
  <c r="B55" i="37"/>
  <c r="B78" i="37" s="1"/>
  <c r="G37" i="24"/>
  <c r="I37" i="24" s="1"/>
  <c r="G38" i="24"/>
  <c r="I38" i="24" s="1"/>
  <c r="I50" i="25"/>
  <c r="G54" i="24" s="1"/>
  <c r="L50" i="25"/>
  <c r="F49" i="26" s="1"/>
  <c r="V50" i="25"/>
  <c r="I51" i="25"/>
  <c r="G55" i="24" s="1"/>
  <c r="L51" i="25"/>
  <c r="N51" i="25"/>
  <c r="V51" i="25"/>
  <c r="I52" i="25"/>
  <c r="G56" i="24" s="1"/>
  <c r="L52" i="25"/>
  <c r="F51" i="26" s="1"/>
  <c r="N52" i="25"/>
  <c r="I70" i="25"/>
  <c r="Y69" i="26" s="1"/>
  <c r="X70" i="25" s="1"/>
  <c r="L70" i="25"/>
  <c r="F69" i="26" s="1"/>
  <c r="G49" i="26"/>
  <c r="R49" i="26" s="1"/>
  <c r="N50" i="25"/>
  <c r="AE49" i="26"/>
  <c r="Y50" i="26"/>
  <c r="AE50" i="26"/>
  <c r="AE51" i="26"/>
  <c r="P69" i="25" s="1"/>
  <c r="N70" i="25"/>
  <c r="AE69" i="26"/>
  <c r="P70" i="25" s="1"/>
  <c r="I46" i="25"/>
  <c r="L46" i="25"/>
  <c r="F45" i="26" s="1"/>
  <c r="I47" i="25"/>
  <c r="L47" i="25"/>
  <c r="N47" i="25"/>
  <c r="I48" i="25"/>
  <c r="V48" i="25" s="1"/>
  <c r="L48" i="25"/>
  <c r="F47" i="26" s="1"/>
  <c r="I49" i="25"/>
  <c r="L49" i="25"/>
  <c r="F48" i="26" s="1"/>
  <c r="N46" i="25"/>
  <c r="AE45" i="26"/>
  <c r="AE46" i="26"/>
  <c r="N48" i="25"/>
  <c r="AE47" i="26"/>
  <c r="N49" i="25"/>
  <c r="Y48" i="26"/>
  <c r="AE48" i="26"/>
  <c r="I42" i="25"/>
  <c r="L42" i="25"/>
  <c r="F41" i="26" s="1"/>
  <c r="I43" i="25"/>
  <c r="Y42" i="26" s="1"/>
  <c r="L43" i="25"/>
  <c r="F42" i="26" s="1"/>
  <c r="I44" i="25"/>
  <c r="L44" i="25"/>
  <c r="F43" i="26" s="1"/>
  <c r="I45" i="25"/>
  <c r="L45" i="25"/>
  <c r="F44" i="26" s="1"/>
  <c r="N45" i="25"/>
  <c r="N42" i="25"/>
  <c r="AE41" i="26"/>
  <c r="N43" i="25"/>
  <c r="AE42" i="26"/>
  <c r="N44" i="25"/>
  <c r="AE43" i="26"/>
  <c r="AE44" i="26"/>
  <c r="L22" i="25"/>
  <c r="L23" i="25"/>
  <c r="L24" i="25"/>
  <c r="L25" i="25"/>
  <c r="L26" i="25"/>
  <c r="L27" i="25"/>
  <c r="L28" i="25"/>
  <c r="L29" i="25"/>
  <c r="L30" i="25"/>
  <c r="L31" i="25"/>
  <c r="F30" i="26" s="1"/>
  <c r="L32" i="25"/>
  <c r="F31" i="26" s="1"/>
  <c r="L33" i="25"/>
  <c r="F32" i="26" s="1"/>
  <c r="L34" i="25"/>
  <c r="F33" i="26" s="1"/>
  <c r="L35" i="25"/>
  <c r="F34" i="26" s="1"/>
  <c r="L36" i="25"/>
  <c r="F35" i="26" s="1"/>
  <c r="L37" i="25"/>
  <c r="F36" i="26" s="1"/>
  <c r="L38" i="25"/>
  <c r="F37" i="26" s="1"/>
  <c r="L39" i="25"/>
  <c r="F38" i="26" s="1"/>
  <c r="L40" i="25"/>
  <c r="F39" i="26" s="1"/>
  <c r="L41" i="25"/>
  <c r="F40" i="26" s="1"/>
  <c r="N31" i="25"/>
  <c r="AE30" i="26"/>
  <c r="P31" i="25" s="1"/>
  <c r="N32" i="25"/>
  <c r="AE31" i="26"/>
  <c r="N33" i="25"/>
  <c r="AE32" i="26"/>
  <c r="P33" i="25" s="1"/>
  <c r="N34" i="25"/>
  <c r="AE33" i="26"/>
  <c r="P34" i="25" s="1"/>
  <c r="N35" i="25"/>
  <c r="AE34" i="26"/>
  <c r="P35" i="25" s="1"/>
  <c r="N36" i="25"/>
  <c r="AE35" i="26"/>
  <c r="N37" i="25"/>
  <c r="AE36" i="26"/>
  <c r="N38" i="25"/>
  <c r="AE37" i="26"/>
  <c r="N39" i="25"/>
  <c r="AE38" i="26"/>
  <c r="P56" i="25" s="1"/>
  <c r="N40" i="25"/>
  <c r="AE39" i="26"/>
  <c r="N41" i="25"/>
  <c r="AE40" i="26"/>
  <c r="I31" i="25"/>
  <c r="V31" i="25" s="1"/>
  <c r="I32" i="25"/>
  <c r="V32" i="25" s="1"/>
  <c r="P32" i="25"/>
  <c r="I33" i="25"/>
  <c r="V33" i="25" s="1"/>
  <c r="I34" i="25"/>
  <c r="G21" i="24" s="1"/>
  <c r="I35" i="25"/>
  <c r="G22" i="24" s="1"/>
  <c r="I36" i="25"/>
  <c r="I37" i="25"/>
  <c r="V37" i="25" s="1"/>
  <c r="I38" i="25"/>
  <c r="I39" i="25"/>
  <c r="V39" i="25" s="1"/>
  <c r="I40" i="25"/>
  <c r="I41" i="25"/>
  <c r="L22" i="22"/>
  <c r="L23" i="22"/>
  <c r="L24" i="22"/>
  <c r="L25" i="22"/>
  <c r="L26" i="22"/>
  <c r="F25" i="23" s="1"/>
  <c r="L27" i="22"/>
  <c r="F26" i="23" s="1"/>
  <c r="L28" i="22"/>
  <c r="F27" i="23" s="1"/>
  <c r="L29" i="22"/>
  <c r="F28" i="23" s="1"/>
  <c r="L30" i="22"/>
  <c r="F29" i="23" s="1"/>
  <c r="L31" i="22"/>
  <c r="F30" i="23" s="1"/>
  <c r="L32" i="22"/>
  <c r="F31" i="23" s="1"/>
  <c r="L33" i="22"/>
  <c r="F32" i="23" s="1"/>
  <c r="L44" i="22"/>
  <c r="F43" i="23" s="1"/>
  <c r="X25" i="23"/>
  <c r="AE25" i="23"/>
  <c r="X26" i="23"/>
  <c r="AE26" i="23"/>
  <c r="X27" i="23"/>
  <c r="AE27" i="23"/>
  <c r="X28" i="23"/>
  <c r="AE28" i="23"/>
  <c r="X29" i="23"/>
  <c r="AE29" i="23"/>
  <c r="X30" i="23"/>
  <c r="AE30" i="23"/>
  <c r="X31" i="23"/>
  <c r="AE31" i="23"/>
  <c r="P42" i="22" s="1"/>
  <c r="X32" i="23"/>
  <c r="AE32" i="23"/>
  <c r="P43" i="22" s="1"/>
  <c r="X43" i="23"/>
  <c r="N44" i="22" s="1"/>
  <c r="AE43" i="23"/>
  <c r="P44" i="22" s="1"/>
  <c r="P32" i="22"/>
  <c r="P33" i="22"/>
  <c r="I26" i="22"/>
  <c r="G23" i="21" s="1"/>
  <c r="I43" i="19"/>
  <c r="G42" i="20" s="1"/>
  <c r="R42" i="20" s="1"/>
  <c r="L43" i="19"/>
  <c r="I44" i="19"/>
  <c r="G31" i="18" s="1"/>
  <c r="M31" i="18" s="1"/>
  <c r="L44" i="19"/>
  <c r="I45" i="19"/>
  <c r="L45" i="19"/>
  <c r="F44" i="20" s="1"/>
  <c r="I46" i="19"/>
  <c r="Y45" i="20" s="1"/>
  <c r="L46" i="19"/>
  <c r="I47" i="19"/>
  <c r="L47" i="19"/>
  <c r="F46" i="20" s="1"/>
  <c r="I48" i="19"/>
  <c r="G47" i="20" s="1"/>
  <c r="R47" i="20" s="1"/>
  <c r="L48" i="19"/>
  <c r="F47" i="20" s="1"/>
  <c r="I49" i="19"/>
  <c r="G36" i="18" s="1"/>
  <c r="K36" i="18" s="1"/>
  <c r="L49" i="19"/>
  <c r="F48" i="20" s="1"/>
  <c r="I50" i="19"/>
  <c r="L50" i="19"/>
  <c r="F49" i="20" s="1"/>
  <c r="I67" i="19"/>
  <c r="V67" i="19" s="1"/>
  <c r="L67" i="19"/>
  <c r="G32" i="18"/>
  <c r="K32" i="18" s="1"/>
  <c r="G35" i="18"/>
  <c r="I35" i="18" s="1"/>
  <c r="F42" i="20"/>
  <c r="X42" i="20"/>
  <c r="N59" i="19" s="1"/>
  <c r="Y42" i="20"/>
  <c r="AE42" i="20"/>
  <c r="X43" i="20"/>
  <c r="AE43" i="20"/>
  <c r="X44" i="20"/>
  <c r="AE44" i="20"/>
  <c r="P61" i="19" s="1"/>
  <c r="F45" i="20"/>
  <c r="X45" i="20"/>
  <c r="N62" i="19" s="1"/>
  <c r="AE45" i="20"/>
  <c r="X46" i="20"/>
  <c r="AE46" i="20"/>
  <c r="X47" i="20"/>
  <c r="N64" i="19" s="1"/>
  <c r="Y47" i="20"/>
  <c r="AE47" i="20"/>
  <c r="G48" i="20"/>
  <c r="R48" i="20" s="1"/>
  <c r="X48" i="20"/>
  <c r="N65" i="19" s="1"/>
  <c r="AE48" i="20"/>
  <c r="X49" i="20"/>
  <c r="AE49" i="20"/>
  <c r="F66" i="20"/>
  <c r="X66" i="20"/>
  <c r="N67" i="19" s="1"/>
  <c r="AE66" i="20"/>
  <c r="P67" i="19" s="1"/>
  <c r="L32" i="19"/>
  <c r="F31" i="20" s="1"/>
  <c r="L33" i="19"/>
  <c r="L34" i="19"/>
  <c r="L35" i="19"/>
  <c r="L36" i="19"/>
  <c r="L37" i="19"/>
  <c r="L38" i="19"/>
  <c r="L39" i="19"/>
  <c r="L40" i="19"/>
  <c r="L41" i="19"/>
  <c r="L42" i="19"/>
  <c r="I32" i="19"/>
  <c r="V32" i="19" s="1"/>
  <c r="X31" i="20"/>
  <c r="N32" i="19" s="1"/>
  <c r="AE31" i="20"/>
  <c r="P32" i="19" s="1"/>
  <c r="L22" i="12"/>
  <c r="L23" i="12"/>
  <c r="L24" i="12"/>
  <c r="L25" i="12"/>
  <c r="L26" i="12"/>
  <c r="F25" i="13" s="1"/>
  <c r="L27" i="12"/>
  <c r="L28" i="12"/>
  <c r="L29" i="12"/>
  <c r="L30" i="12"/>
  <c r="L31" i="12"/>
  <c r="F30" i="13" s="1"/>
  <c r="L32" i="12"/>
  <c r="F31" i="13" s="1"/>
  <c r="L33" i="12"/>
  <c r="F32" i="13" s="1"/>
  <c r="L34" i="12"/>
  <c r="L35" i="12"/>
  <c r="F34" i="13" s="1"/>
  <c r="L36" i="12"/>
  <c r="L37" i="12"/>
  <c r="F36" i="13" s="1"/>
  <c r="L38" i="12"/>
  <c r="F37" i="13" s="1"/>
  <c r="L39" i="12"/>
  <c r="F38" i="13" s="1"/>
  <c r="L40" i="12"/>
  <c r="L41" i="12"/>
  <c r="L42" i="12"/>
  <c r="L43" i="12"/>
  <c r="F42" i="13" s="1"/>
  <c r="L44" i="12"/>
  <c r="L45" i="12"/>
  <c r="F44" i="13" s="1"/>
  <c r="L46" i="12"/>
  <c r="F45" i="13" s="1"/>
  <c r="L47" i="12"/>
  <c r="F46" i="13" s="1"/>
  <c r="L48" i="12"/>
  <c r="F47" i="13" s="1"/>
  <c r="L49" i="12"/>
  <c r="F48" i="13" s="1"/>
  <c r="L50" i="12"/>
  <c r="F49" i="13" s="1"/>
  <c r="L51" i="12"/>
  <c r="L52" i="12"/>
  <c r="F51" i="13" s="1"/>
  <c r="L53" i="12"/>
  <c r="F52" i="13" s="1"/>
  <c r="L54" i="12"/>
  <c r="F53" i="13" s="1"/>
  <c r="L55" i="12"/>
  <c r="L56" i="12"/>
  <c r="L57" i="12"/>
  <c r="F56" i="13" s="1"/>
  <c r="L58" i="12"/>
  <c r="F57" i="13" s="1"/>
  <c r="L59" i="12"/>
  <c r="F58" i="13" s="1"/>
  <c r="L60" i="12"/>
  <c r="F59" i="13" s="1"/>
  <c r="L82" i="12"/>
  <c r="F81" i="13" s="1"/>
  <c r="I55" i="12"/>
  <c r="G63" i="11" s="1"/>
  <c r="I56" i="12"/>
  <c r="G64" i="11" s="1"/>
  <c r="I57" i="12"/>
  <c r="G65" i="11" s="1"/>
  <c r="I58" i="12"/>
  <c r="G66" i="11" s="1"/>
  <c r="I59" i="12"/>
  <c r="V59" i="12" s="1"/>
  <c r="I60" i="12"/>
  <c r="G59" i="13" s="1"/>
  <c r="R59" i="13" s="1"/>
  <c r="I82" i="12"/>
  <c r="G81" i="13" s="1"/>
  <c r="R81" i="13" s="1"/>
  <c r="M82" i="12" s="1"/>
  <c r="F54" i="13"/>
  <c r="X54" i="13"/>
  <c r="AE54" i="13"/>
  <c r="X55" i="13"/>
  <c r="AE55" i="13"/>
  <c r="X56" i="13"/>
  <c r="AE56" i="13"/>
  <c r="X57" i="13"/>
  <c r="N79" i="12" s="1"/>
  <c r="AE57" i="13"/>
  <c r="X58" i="13"/>
  <c r="Y58" i="13"/>
  <c r="AE58" i="13"/>
  <c r="X59" i="13"/>
  <c r="Y59" i="13"/>
  <c r="AE59" i="13"/>
  <c r="X81" i="13"/>
  <c r="N82" i="12" s="1"/>
  <c r="AE81" i="13"/>
  <c r="P82" i="12" s="1"/>
  <c r="X51" i="13"/>
  <c r="AE51" i="13"/>
  <c r="X52" i="13"/>
  <c r="AE52" i="13"/>
  <c r="X53" i="13"/>
  <c r="AE53" i="13"/>
  <c r="I52" i="12"/>
  <c r="V52" i="12" s="1"/>
  <c r="I53" i="12"/>
  <c r="I54" i="12"/>
  <c r="Y53" i="13" s="1"/>
  <c r="I26" i="12"/>
  <c r="G13" i="11" s="1"/>
  <c r="I27" i="12"/>
  <c r="G26" i="13" s="1"/>
  <c r="R26" i="13" s="1"/>
  <c r="M27" i="12" s="1"/>
  <c r="F26" i="13"/>
  <c r="I28" i="12"/>
  <c r="V28" i="12" s="1"/>
  <c r="I29" i="12"/>
  <c r="G16" i="11" s="1"/>
  <c r="I30" i="12"/>
  <c r="G17" i="11" s="1"/>
  <c r="I31" i="12"/>
  <c r="V31" i="12" s="1"/>
  <c r="I32" i="12"/>
  <c r="V32" i="12" s="1"/>
  <c r="I33" i="12"/>
  <c r="V33" i="12" s="1"/>
  <c r="I34" i="12"/>
  <c r="G33" i="13" s="1"/>
  <c r="R33" i="13" s="1"/>
  <c r="M34" i="12" s="1"/>
  <c r="F33" i="13"/>
  <c r="I35" i="12"/>
  <c r="G22" i="11" s="1"/>
  <c r="M22" i="11" s="1"/>
  <c r="I36" i="12"/>
  <c r="G35" i="13" s="1"/>
  <c r="R35" i="13" s="1"/>
  <c r="M36" i="12" s="1"/>
  <c r="F35" i="13"/>
  <c r="I37" i="12"/>
  <c r="G36" i="13" s="1"/>
  <c r="I38" i="12"/>
  <c r="V38" i="12" s="1"/>
  <c r="I39" i="12"/>
  <c r="G38" i="13" s="1"/>
  <c r="R38" i="13" s="1"/>
  <c r="M39" i="12" s="1"/>
  <c r="I40" i="12"/>
  <c r="Y39" i="13" s="1"/>
  <c r="I41" i="12"/>
  <c r="I42" i="12"/>
  <c r="I43" i="12"/>
  <c r="I44" i="12"/>
  <c r="F43" i="13"/>
  <c r="I45" i="12"/>
  <c r="I46" i="12"/>
  <c r="I47" i="12"/>
  <c r="I48" i="12"/>
  <c r="I49" i="12"/>
  <c r="I50" i="12"/>
  <c r="I51" i="12"/>
  <c r="G38" i="11" s="1"/>
  <c r="I38" i="11" s="1"/>
  <c r="F50" i="13"/>
  <c r="G14" i="11"/>
  <c r="I14" i="11" s="1"/>
  <c r="G19" i="11"/>
  <c r="K19" i="11" s="1"/>
  <c r="G35" i="11"/>
  <c r="M35" i="11" s="1"/>
  <c r="X25" i="13"/>
  <c r="N26" i="12" s="1"/>
  <c r="AE25" i="13"/>
  <c r="P26" i="12" s="1"/>
  <c r="X26" i="13"/>
  <c r="N27" i="12" s="1"/>
  <c r="Y26" i="13"/>
  <c r="O27" i="12" s="1"/>
  <c r="AE26" i="13"/>
  <c r="P27" i="12" s="1"/>
  <c r="X27" i="13"/>
  <c r="N28" i="12" s="1"/>
  <c r="AE27" i="13"/>
  <c r="P28" i="12" s="1"/>
  <c r="X28" i="13"/>
  <c r="N29" i="12" s="1"/>
  <c r="AE28" i="13"/>
  <c r="P29" i="12" s="1"/>
  <c r="X29" i="13"/>
  <c r="N30" i="12" s="1"/>
  <c r="AE29" i="13"/>
  <c r="P30" i="12" s="1"/>
  <c r="X30" i="13"/>
  <c r="N31" i="12" s="1"/>
  <c r="AE30" i="13"/>
  <c r="P31" i="12" s="1"/>
  <c r="X31" i="13"/>
  <c r="N32" i="12" s="1"/>
  <c r="Y31" i="13"/>
  <c r="O32" i="12" s="1"/>
  <c r="AE31" i="13"/>
  <c r="P32" i="12" s="1"/>
  <c r="X32" i="13"/>
  <c r="N33" i="12" s="1"/>
  <c r="AE32" i="13"/>
  <c r="P33" i="12" s="1"/>
  <c r="X33" i="13"/>
  <c r="N34" i="12" s="1"/>
  <c r="AE33" i="13"/>
  <c r="P34" i="12" s="1"/>
  <c r="X34" i="13"/>
  <c r="N35" i="12" s="1"/>
  <c r="AE34" i="13"/>
  <c r="P35" i="12" s="1"/>
  <c r="X35" i="13"/>
  <c r="N36" i="12" s="1"/>
  <c r="AE35" i="13"/>
  <c r="P36" i="12" s="1"/>
  <c r="X36" i="13"/>
  <c r="N37" i="12" s="1"/>
  <c r="AE36" i="13"/>
  <c r="P37" i="12" s="1"/>
  <c r="X37" i="13"/>
  <c r="N38" i="12" s="1"/>
  <c r="AE37" i="13"/>
  <c r="P38" i="12" s="1"/>
  <c r="X38" i="13"/>
  <c r="N39" i="12" s="1"/>
  <c r="AE38" i="13"/>
  <c r="P39" i="12" s="1"/>
  <c r="X39" i="13"/>
  <c r="AE39" i="13"/>
  <c r="X40" i="13"/>
  <c r="Y40" i="13"/>
  <c r="AE40" i="13"/>
  <c r="X41" i="13"/>
  <c r="AE41" i="13"/>
  <c r="X42" i="13"/>
  <c r="AE42" i="13"/>
  <c r="X43" i="13"/>
  <c r="AE43" i="13"/>
  <c r="X44" i="13"/>
  <c r="AE44" i="13"/>
  <c r="X45" i="13"/>
  <c r="AE45" i="13"/>
  <c r="X46" i="13"/>
  <c r="AE46" i="13"/>
  <c r="X47" i="13"/>
  <c r="Y47" i="13"/>
  <c r="AE47" i="13"/>
  <c r="X48" i="13"/>
  <c r="AE48" i="13"/>
  <c r="X49" i="13"/>
  <c r="AE49" i="13"/>
  <c r="X50" i="13"/>
  <c r="AE50" i="13"/>
  <c r="W22" i="9"/>
  <c r="W23" i="9" s="1"/>
  <c r="W24" i="9" s="1"/>
  <c r="W25" i="9" s="1"/>
  <c r="W26" i="9" s="1"/>
  <c r="X21" i="10"/>
  <c r="N22" i="9" s="1"/>
  <c r="AE21" i="10"/>
  <c r="P22" i="9" s="1"/>
  <c r="X22" i="10"/>
  <c r="AE22" i="10"/>
  <c r="P23" i="9" s="1"/>
  <c r="X23" i="10"/>
  <c r="N24" i="9" s="1"/>
  <c r="AE23" i="10"/>
  <c r="P24" i="9" s="1"/>
  <c r="X24" i="10"/>
  <c r="AE24" i="10"/>
  <c r="X25" i="10"/>
  <c r="AE25" i="10"/>
  <c r="P26" i="9" s="1"/>
  <c r="X26" i="10"/>
  <c r="N37" i="9" s="1"/>
  <c r="AE26" i="10"/>
  <c r="X27" i="10"/>
  <c r="N38" i="9" s="1"/>
  <c r="AE27" i="10"/>
  <c r="X28" i="10"/>
  <c r="N39" i="9" s="1"/>
  <c r="AE28" i="10"/>
  <c r="X29" i="10"/>
  <c r="N40" i="9" s="1"/>
  <c r="AE29" i="10"/>
  <c r="P40" i="9" s="1"/>
  <c r="X30" i="10"/>
  <c r="N41" i="9" s="1"/>
  <c r="AE30" i="10"/>
  <c r="P41" i="9" s="1"/>
  <c r="X31" i="10"/>
  <c r="N42" i="9" s="1"/>
  <c r="AE31" i="10"/>
  <c r="X32" i="10"/>
  <c r="N43" i="9" s="1"/>
  <c r="AE32" i="10"/>
  <c r="X33" i="10"/>
  <c r="N44" i="9" s="1"/>
  <c r="AE33" i="10"/>
  <c r="X34" i="10"/>
  <c r="N45" i="9" s="1"/>
  <c r="AE34" i="10"/>
  <c r="X35" i="10"/>
  <c r="N46" i="9" s="1"/>
  <c r="AE35" i="10"/>
  <c r="X46" i="10"/>
  <c r="AE46" i="10"/>
  <c r="P47" i="9" s="1"/>
  <c r="N23" i="9"/>
  <c r="P25" i="9"/>
  <c r="B21" i="10"/>
  <c r="B22" i="10" s="1"/>
  <c r="B23" i="10" s="1"/>
  <c r="B24" i="10" s="1"/>
  <c r="B25" i="10" s="1"/>
  <c r="Y22" i="9"/>
  <c r="Y23" i="9" s="1"/>
  <c r="Y24" i="9" s="1"/>
  <c r="Y25" i="9" s="1"/>
  <c r="Y26" i="9" s="1"/>
  <c r="I22" i="9"/>
  <c r="Y21" i="10" s="1"/>
  <c r="X22" i="9" s="1"/>
  <c r="L22" i="9"/>
  <c r="F21" i="10" s="1"/>
  <c r="I23" i="9"/>
  <c r="Y22" i="10" s="1"/>
  <c r="L23" i="9"/>
  <c r="F22" i="10" s="1"/>
  <c r="I24" i="9"/>
  <c r="G23" i="10" s="1"/>
  <c r="R23" i="10" s="1"/>
  <c r="L24" i="9"/>
  <c r="F23" i="10" s="1"/>
  <c r="I25" i="9"/>
  <c r="G12" i="8" s="1"/>
  <c r="L25" i="9"/>
  <c r="F24" i="10" s="1"/>
  <c r="I26" i="9"/>
  <c r="G13" i="8" s="1"/>
  <c r="L26" i="9"/>
  <c r="F25" i="10" s="1"/>
  <c r="I27" i="9"/>
  <c r="L27" i="9"/>
  <c r="F26" i="10" s="1"/>
  <c r="I28" i="9"/>
  <c r="G25" i="8" s="1"/>
  <c r="L28" i="9"/>
  <c r="F27" i="10" s="1"/>
  <c r="I29" i="9"/>
  <c r="G26" i="8" s="1"/>
  <c r="L29" i="9"/>
  <c r="F28" i="10" s="1"/>
  <c r="I30" i="9"/>
  <c r="G27" i="8" s="1"/>
  <c r="L30" i="9"/>
  <c r="F29" i="10" s="1"/>
  <c r="I31" i="9"/>
  <c r="Y30" i="10" s="1"/>
  <c r="L31" i="9"/>
  <c r="F30" i="10" s="1"/>
  <c r="I32" i="9"/>
  <c r="G31" i="10" s="1"/>
  <c r="R31" i="10" s="1"/>
  <c r="M42" i="9" s="1"/>
  <c r="L32" i="9"/>
  <c r="F31" i="10" s="1"/>
  <c r="I33" i="9"/>
  <c r="G30" i="8" s="1"/>
  <c r="L33" i="9"/>
  <c r="F32" i="10" s="1"/>
  <c r="I34" i="9"/>
  <c r="Y33" i="10" s="1"/>
  <c r="L34" i="9"/>
  <c r="F33" i="10" s="1"/>
  <c r="V34" i="9"/>
  <c r="I35" i="9"/>
  <c r="V35" i="9" s="1"/>
  <c r="L35" i="9"/>
  <c r="F34" i="10" s="1"/>
  <c r="I36" i="9"/>
  <c r="G33" i="8" s="1"/>
  <c r="L36" i="9"/>
  <c r="F35" i="10" s="1"/>
  <c r="I47" i="9"/>
  <c r="Y46" i="10" s="1"/>
  <c r="L47" i="9"/>
  <c r="F46" i="10" s="1"/>
  <c r="G9" i="8"/>
  <c r="I9" i="8" s="1"/>
  <c r="G10" i="8"/>
  <c r="M10" i="8" s="1"/>
  <c r="G15" i="8"/>
  <c r="I15" i="8" s="1"/>
  <c r="G17" i="8"/>
  <c r="I17" i="8" s="1"/>
  <c r="G21" i="8"/>
  <c r="I21" i="8" s="1"/>
  <c r="B10" i="8"/>
  <c r="B11" i="8" s="1"/>
  <c r="B12" i="8" s="1"/>
  <c r="B13" i="8" s="1"/>
  <c r="B9" i="8"/>
  <c r="B23" i="9"/>
  <c r="B24" i="9" s="1"/>
  <c r="B22" i="9"/>
  <c r="U22" i="9" s="1"/>
  <c r="X22" i="2"/>
  <c r="AE22" i="2"/>
  <c r="X23" i="2"/>
  <c r="N24" i="1" s="1"/>
  <c r="AE23" i="2"/>
  <c r="P24" i="1" s="1"/>
  <c r="X24" i="2"/>
  <c r="AE24" i="2"/>
  <c r="P25" i="1" s="1"/>
  <c r="X25" i="2"/>
  <c r="N26" i="1" s="1"/>
  <c r="AE25" i="2"/>
  <c r="X26" i="2"/>
  <c r="N27" i="1" s="1"/>
  <c r="AE26" i="2"/>
  <c r="P27" i="1" s="1"/>
  <c r="X27" i="2"/>
  <c r="N28" i="1" s="1"/>
  <c r="AE27" i="2"/>
  <c r="P28" i="1" s="1"/>
  <c r="X28" i="2"/>
  <c r="N29" i="1" s="1"/>
  <c r="AE28" i="2"/>
  <c r="P29" i="1" s="1"/>
  <c r="X29" i="2"/>
  <c r="N30" i="1" s="1"/>
  <c r="AE29" i="2"/>
  <c r="X30" i="2"/>
  <c r="N31" i="1" s="1"/>
  <c r="AE30" i="2"/>
  <c r="P31" i="1" s="1"/>
  <c r="X31" i="2"/>
  <c r="AE31" i="2"/>
  <c r="P32" i="1" s="1"/>
  <c r="X32" i="2"/>
  <c r="N33" i="1" s="1"/>
  <c r="AE32" i="2"/>
  <c r="X33" i="2"/>
  <c r="N34" i="1" s="1"/>
  <c r="AE33" i="2"/>
  <c r="X34" i="2"/>
  <c r="N35" i="1" s="1"/>
  <c r="AE34" i="2"/>
  <c r="P35" i="1" s="1"/>
  <c r="X35" i="2"/>
  <c r="N36" i="1" s="1"/>
  <c r="AE35" i="2"/>
  <c r="P36" i="1" s="1"/>
  <c r="X36" i="2"/>
  <c r="N37" i="1" s="1"/>
  <c r="AE36" i="2"/>
  <c r="P37" i="1" s="1"/>
  <c r="X37" i="2"/>
  <c r="N38" i="1" s="1"/>
  <c r="AE37" i="2"/>
  <c r="X38" i="2"/>
  <c r="N39" i="1" s="1"/>
  <c r="AE38" i="2"/>
  <c r="P39" i="1" s="1"/>
  <c r="X39" i="2"/>
  <c r="N40" i="1" s="1"/>
  <c r="AE39" i="2"/>
  <c r="P40" i="1" s="1"/>
  <c r="X40" i="2"/>
  <c r="N41" i="1" s="1"/>
  <c r="AE40" i="2"/>
  <c r="P41" i="1" s="1"/>
  <c r="X41" i="2"/>
  <c r="N42" i="1" s="1"/>
  <c r="AE41" i="2"/>
  <c r="X42" i="2"/>
  <c r="N43" i="1" s="1"/>
  <c r="AE42" i="2"/>
  <c r="P43" i="1" s="1"/>
  <c r="X43" i="2"/>
  <c r="N44" i="1" s="1"/>
  <c r="AE43" i="2"/>
  <c r="P44" i="1" s="1"/>
  <c r="X44" i="2"/>
  <c r="N45" i="1" s="1"/>
  <c r="AE44" i="2"/>
  <c r="P45" i="1" s="1"/>
  <c r="X45" i="2"/>
  <c r="N46" i="1" s="1"/>
  <c r="AE45" i="2"/>
  <c r="P46" i="1" s="1"/>
  <c r="X46" i="2"/>
  <c r="N47" i="1" s="1"/>
  <c r="AE46" i="2"/>
  <c r="P47" i="1" s="1"/>
  <c r="X47" i="2"/>
  <c r="N48" i="1" s="1"/>
  <c r="AE47" i="2"/>
  <c r="P48" i="1" s="1"/>
  <c r="X48" i="2"/>
  <c r="N49" i="1" s="1"/>
  <c r="AE48" i="2"/>
  <c r="P49" i="1" s="1"/>
  <c r="X49" i="2"/>
  <c r="N50" i="1" s="1"/>
  <c r="AE49" i="2"/>
  <c r="P50" i="1" s="1"/>
  <c r="X50" i="2"/>
  <c r="AE50" i="2"/>
  <c r="P51" i="1" s="1"/>
  <c r="X51" i="2"/>
  <c r="N52" i="1" s="1"/>
  <c r="AE51" i="2"/>
  <c r="P52" i="1" s="1"/>
  <c r="X52" i="2"/>
  <c r="N53" i="1" s="1"/>
  <c r="AE52" i="2"/>
  <c r="P53" i="1" s="1"/>
  <c r="X53" i="2"/>
  <c r="N54" i="1" s="1"/>
  <c r="AE53" i="2"/>
  <c r="P54" i="1" s="1"/>
  <c r="X54" i="2"/>
  <c r="N55" i="1" s="1"/>
  <c r="AE54" i="2"/>
  <c r="P55" i="1" s="1"/>
  <c r="X55" i="2"/>
  <c r="N56" i="1" s="1"/>
  <c r="AE55" i="2"/>
  <c r="P56" i="1" s="1"/>
  <c r="X56" i="2"/>
  <c r="N57" i="1" s="1"/>
  <c r="AE56" i="2"/>
  <c r="P57" i="1" s="1"/>
  <c r="X57" i="2"/>
  <c r="N58" i="1" s="1"/>
  <c r="AE57" i="2"/>
  <c r="P58" i="1" s="1"/>
  <c r="X58" i="2"/>
  <c r="N59" i="1" s="1"/>
  <c r="AE58" i="2"/>
  <c r="P59" i="1" s="1"/>
  <c r="X59" i="2"/>
  <c r="N60" i="1" s="1"/>
  <c r="AE59" i="2"/>
  <c r="P60" i="1" s="1"/>
  <c r="X60" i="2"/>
  <c r="N61" i="1" s="1"/>
  <c r="AE60" i="2"/>
  <c r="P61" i="1" s="1"/>
  <c r="X61" i="2"/>
  <c r="N62" i="1" s="1"/>
  <c r="AE61" i="2"/>
  <c r="P62" i="1" s="1"/>
  <c r="X62" i="2"/>
  <c r="N63" i="1" s="1"/>
  <c r="AE62" i="2"/>
  <c r="P63" i="1" s="1"/>
  <c r="X63" i="2"/>
  <c r="N64" i="1" s="1"/>
  <c r="AE63" i="2"/>
  <c r="P64" i="1" s="1"/>
  <c r="X64" i="2"/>
  <c r="N65" i="1" s="1"/>
  <c r="AE64" i="2"/>
  <c r="P65" i="1" s="1"/>
  <c r="X65" i="2"/>
  <c r="N66" i="1" s="1"/>
  <c r="AE65" i="2"/>
  <c r="P66" i="1" s="1"/>
  <c r="X66" i="2"/>
  <c r="AE66" i="2"/>
  <c r="X67" i="2"/>
  <c r="AE67" i="2"/>
  <c r="P115" i="1" s="1"/>
  <c r="X68" i="2"/>
  <c r="N116" i="1" s="1"/>
  <c r="AE68" i="2"/>
  <c r="X69" i="2"/>
  <c r="AE69" i="2"/>
  <c r="X70" i="2"/>
  <c r="AE70" i="2"/>
  <c r="X71" i="2"/>
  <c r="AE71" i="2"/>
  <c r="P119" i="1" s="1"/>
  <c r="X72" i="2"/>
  <c r="N120" i="1" s="1"/>
  <c r="AE72" i="2"/>
  <c r="P120" i="1" s="1"/>
  <c r="X73" i="2"/>
  <c r="AE73" i="2"/>
  <c r="P121" i="1" s="1"/>
  <c r="X74" i="2"/>
  <c r="N122" i="1" s="1"/>
  <c r="AE74" i="2"/>
  <c r="X75" i="2"/>
  <c r="AE75" i="2"/>
  <c r="P123" i="1" s="1"/>
  <c r="X76" i="2"/>
  <c r="AE76" i="2"/>
  <c r="X77" i="2"/>
  <c r="N125" i="1" s="1"/>
  <c r="AE77" i="2"/>
  <c r="X78" i="2"/>
  <c r="AE78" i="2"/>
  <c r="P126" i="1" s="1"/>
  <c r="X79" i="2"/>
  <c r="AE79" i="2"/>
  <c r="X80" i="2"/>
  <c r="AE80" i="2"/>
  <c r="P128" i="1" s="1"/>
  <c r="X81" i="2"/>
  <c r="AE81" i="2"/>
  <c r="X82" i="2"/>
  <c r="N130" i="1" s="1"/>
  <c r="AE82" i="2"/>
  <c r="X83" i="2"/>
  <c r="AE83" i="2"/>
  <c r="P131" i="1" s="1"/>
  <c r="X84" i="2"/>
  <c r="N132" i="1" s="1"/>
  <c r="AE84" i="2"/>
  <c r="X85" i="2"/>
  <c r="N133" i="1" s="1"/>
  <c r="AE85" i="2"/>
  <c r="P133" i="1" s="1"/>
  <c r="X86" i="2"/>
  <c r="AE86" i="2"/>
  <c r="P134" i="1" s="1"/>
  <c r="X87" i="2"/>
  <c r="AE87" i="2"/>
  <c r="P135" i="1" s="1"/>
  <c r="X88" i="2"/>
  <c r="AE88" i="2"/>
  <c r="X89" i="2"/>
  <c r="N137" i="1" s="1"/>
  <c r="AE89" i="2"/>
  <c r="X90" i="2"/>
  <c r="AE90" i="2"/>
  <c r="P138" i="1" s="1"/>
  <c r="X91" i="2"/>
  <c r="AE91" i="2"/>
  <c r="X92" i="2"/>
  <c r="AE92" i="2"/>
  <c r="P140" i="1" s="1"/>
  <c r="X93" i="2"/>
  <c r="N141" i="1" s="1"/>
  <c r="AE93" i="2"/>
  <c r="P141" i="1" s="1"/>
  <c r="X94" i="2"/>
  <c r="AE94" i="2"/>
  <c r="X95" i="2"/>
  <c r="N143" i="1" s="1"/>
  <c r="AE95" i="2"/>
  <c r="P143" i="1" s="1"/>
  <c r="X96" i="2"/>
  <c r="AE96" i="2"/>
  <c r="X97" i="2"/>
  <c r="N145" i="1" s="1"/>
  <c r="AE97" i="2"/>
  <c r="P145" i="1" s="1"/>
  <c r="X98" i="2"/>
  <c r="AE98" i="2"/>
  <c r="X99" i="2"/>
  <c r="AE99" i="2"/>
  <c r="P147" i="1" s="1"/>
  <c r="X100" i="2"/>
  <c r="AE100" i="2"/>
  <c r="X101" i="2"/>
  <c r="N149" i="1" s="1"/>
  <c r="AE101" i="2"/>
  <c r="P149" i="1" s="1"/>
  <c r="X102" i="2"/>
  <c r="AE102" i="2"/>
  <c r="P150" i="1" s="1"/>
  <c r="X103" i="2"/>
  <c r="N151" i="1" s="1"/>
  <c r="AE103" i="2"/>
  <c r="X104" i="2"/>
  <c r="N152" i="1" s="1"/>
  <c r="AE104" i="2"/>
  <c r="P152" i="1" s="1"/>
  <c r="X105" i="2"/>
  <c r="AE105" i="2"/>
  <c r="X106" i="2"/>
  <c r="AE106" i="2"/>
  <c r="X107" i="2"/>
  <c r="AE107" i="2"/>
  <c r="X108" i="2"/>
  <c r="AE108" i="2"/>
  <c r="X109" i="2"/>
  <c r="N157" i="1" s="1"/>
  <c r="AE109" i="2"/>
  <c r="P157" i="1" s="1"/>
  <c r="X110" i="2"/>
  <c r="AE110" i="2"/>
  <c r="X111" i="2"/>
  <c r="AE111" i="2"/>
  <c r="P159" i="1" s="1"/>
  <c r="X112" i="2"/>
  <c r="AE112" i="2"/>
  <c r="X160" i="2"/>
  <c r="N161" i="1" s="1"/>
  <c r="AE160" i="2"/>
  <c r="P161" i="1" s="1"/>
  <c r="I23" i="1"/>
  <c r="V23" i="1" s="1"/>
  <c r="L23" i="1"/>
  <c r="F22" i="2" s="1"/>
  <c r="N23" i="1"/>
  <c r="P23" i="1"/>
  <c r="I24" i="1"/>
  <c r="G23" i="2" s="1"/>
  <c r="R23" i="2" s="1"/>
  <c r="M24" i="1" s="1"/>
  <c r="L24" i="1"/>
  <c r="F23" i="2" s="1"/>
  <c r="I25" i="1"/>
  <c r="L25" i="1"/>
  <c r="F24" i="2" s="1"/>
  <c r="N25" i="1"/>
  <c r="I26" i="1"/>
  <c r="G25" i="2" s="1"/>
  <c r="R25" i="2" s="1"/>
  <c r="L26" i="1"/>
  <c r="F25" i="2" s="1"/>
  <c r="P26" i="1"/>
  <c r="I27" i="1"/>
  <c r="Y26" i="2" s="1"/>
  <c r="X27" i="1" s="1"/>
  <c r="L27" i="1"/>
  <c r="F26" i="2" s="1"/>
  <c r="I28" i="1"/>
  <c r="G27" i="2" s="1"/>
  <c r="R27" i="2" s="1"/>
  <c r="M28" i="1" s="1"/>
  <c r="L28" i="1"/>
  <c r="F27" i="2" s="1"/>
  <c r="I29" i="1"/>
  <c r="Y28" i="2" s="1"/>
  <c r="X29" i="1" s="1"/>
  <c r="L29" i="1"/>
  <c r="F28" i="2" s="1"/>
  <c r="I30" i="1"/>
  <c r="G29" i="2" s="1"/>
  <c r="R29" i="2" s="1"/>
  <c r="L30" i="1"/>
  <c r="F29" i="2" s="1"/>
  <c r="P30" i="1"/>
  <c r="I31" i="1"/>
  <c r="G30" i="2" s="1"/>
  <c r="R30" i="2" s="1"/>
  <c r="L31" i="1"/>
  <c r="F30" i="2" s="1"/>
  <c r="I32" i="1"/>
  <c r="Y31" i="2" s="1"/>
  <c r="X32" i="1" s="1"/>
  <c r="L32" i="1"/>
  <c r="F31" i="2" s="1"/>
  <c r="N32" i="1"/>
  <c r="I33" i="1"/>
  <c r="Y32" i="2" s="1"/>
  <c r="X33" i="1" s="1"/>
  <c r="L33" i="1"/>
  <c r="F32" i="2" s="1"/>
  <c r="P33" i="1"/>
  <c r="I34" i="1"/>
  <c r="Y33" i="2" s="1"/>
  <c r="X34" i="1" s="1"/>
  <c r="L34" i="1"/>
  <c r="F33" i="2" s="1"/>
  <c r="P34" i="1"/>
  <c r="I35" i="1"/>
  <c r="G34" i="2" s="1"/>
  <c r="R34" i="2" s="1"/>
  <c r="L35" i="1"/>
  <c r="F34" i="2" s="1"/>
  <c r="I36" i="1"/>
  <c r="V36" i="1" s="1"/>
  <c r="L36" i="1"/>
  <c r="F35" i="2" s="1"/>
  <c r="I37" i="1"/>
  <c r="G36" i="2" s="1"/>
  <c r="R36" i="2" s="1"/>
  <c r="L37" i="1"/>
  <c r="F36" i="2" s="1"/>
  <c r="I38" i="1"/>
  <c r="Y37" i="2" s="1"/>
  <c r="L38" i="1"/>
  <c r="F37" i="2" s="1"/>
  <c r="P38" i="1"/>
  <c r="I39" i="1"/>
  <c r="G38" i="2" s="1"/>
  <c r="R38" i="2" s="1"/>
  <c r="L39" i="1"/>
  <c r="F38" i="2" s="1"/>
  <c r="V39" i="1"/>
  <c r="I40" i="1"/>
  <c r="G39" i="2" s="1"/>
  <c r="R39" i="2" s="1"/>
  <c r="M40" i="1" s="1"/>
  <c r="L40" i="1"/>
  <c r="F39" i="2" s="1"/>
  <c r="I41" i="1"/>
  <c r="G28" i="4" s="1"/>
  <c r="M28" i="4" s="1"/>
  <c r="L41" i="1"/>
  <c r="F40" i="2" s="1"/>
  <c r="I42" i="1"/>
  <c r="G41" i="2" s="1"/>
  <c r="R41" i="2" s="1"/>
  <c r="L42" i="1"/>
  <c r="F41" i="2" s="1"/>
  <c r="P42" i="1"/>
  <c r="I43" i="1"/>
  <c r="G42" i="2" s="1"/>
  <c r="R42" i="2" s="1"/>
  <c r="L43" i="1"/>
  <c r="F42" i="2" s="1"/>
  <c r="I44" i="1"/>
  <c r="G43" i="2" s="1"/>
  <c r="R43" i="2" s="1"/>
  <c r="L44" i="1"/>
  <c r="F43" i="2" s="1"/>
  <c r="I45" i="1"/>
  <c r="Y44" i="2" s="1"/>
  <c r="O45" i="1" s="1"/>
  <c r="L45" i="1"/>
  <c r="F44" i="2" s="1"/>
  <c r="I46" i="1"/>
  <c r="G33" i="4" s="1"/>
  <c r="K33" i="4" s="1"/>
  <c r="L46" i="1"/>
  <c r="F45" i="2" s="1"/>
  <c r="I47" i="1"/>
  <c r="Y46" i="2" s="1"/>
  <c r="L47" i="1"/>
  <c r="F46" i="2" s="1"/>
  <c r="I48" i="1"/>
  <c r="G47" i="2" s="1"/>
  <c r="R47" i="2" s="1"/>
  <c r="M48" i="1" s="1"/>
  <c r="L48" i="1"/>
  <c r="F47" i="2" s="1"/>
  <c r="I49" i="1"/>
  <c r="V49" i="1" s="1"/>
  <c r="L49" i="1"/>
  <c r="F48" i="2" s="1"/>
  <c r="I50" i="1"/>
  <c r="G49" i="2" s="1"/>
  <c r="R49" i="2" s="1"/>
  <c r="L50" i="1"/>
  <c r="F49" i="2" s="1"/>
  <c r="I51" i="1"/>
  <c r="G50" i="2" s="1"/>
  <c r="R50" i="2" s="1"/>
  <c r="M51" i="1" s="1"/>
  <c r="L51" i="1"/>
  <c r="F50" i="2" s="1"/>
  <c r="N51" i="1"/>
  <c r="I52" i="1"/>
  <c r="V52" i="1" s="1"/>
  <c r="L52" i="1"/>
  <c r="F51" i="2" s="1"/>
  <c r="I53" i="1"/>
  <c r="G52" i="2" s="1"/>
  <c r="R52" i="2" s="1"/>
  <c r="L53" i="1"/>
  <c r="F52" i="2" s="1"/>
  <c r="I54" i="1"/>
  <c r="Y53" i="2" s="1"/>
  <c r="X54" i="1" s="1"/>
  <c r="L54" i="1"/>
  <c r="F53" i="2" s="1"/>
  <c r="I55" i="1"/>
  <c r="Y54" i="2" s="1"/>
  <c r="L55" i="1"/>
  <c r="F54" i="2" s="1"/>
  <c r="I56" i="1"/>
  <c r="Y55" i="2" s="1"/>
  <c r="X56" i="1" s="1"/>
  <c r="L56" i="1"/>
  <c r="F55" i="2" s="1"/>
  <c r="I57" i="1"/>
  <c r="G56" i="2" s="1"/>
  <c r="R56" i="2" s="1"/>
  <c r="L57" i="1"/>
  <c r="F56" i="2" s="1"/>
  <c r="I58" i="1"/>
  <c r="V58" i="1" s="1"/>
  <c r="L58" i="1"/>
  <c r="F57" i="2" s="1"/>
  <c r="I59" i="1"/>
  <c r="G46" i="4" s="1"/>
  <c r="M46" i="4" s="1"/>
  <c r="L59" i="1"/>
  <c r="F58" i="2" s="1"/>
  <c r="I60" i="1"/>
  <c r="Y59" i="2" s="1"/>
  <c r="X60" i="1" s="1"/>
  <c r="L60" i="1"/>
  <c r="F59" i="2" s="1"/>
  <c r="I61" i="1"/>
  <c r="V61" i="1" s="1"/>
  <c r="L61" i="1"/>
  <c r="F60" i="2" s="1"/>
  <c r="I62" i="1"/>
  <c r="V62" i="1" s="1"/>
  <c r="L62" i="1"/>
  <c r="F61" i="2" s="1"/>
  <c r="I63" i="1"/>
  <c r="G62" i="2" s="1"/>
  <c r="R62" i="2" s="1"/>
  <c r="L63" i="1"/>
  <c r="F62" i="2" s="1"/>
  <c r="I64" i="1"/>
  <c r="G63" i="2" s="1"/>
  <c r="R63" i="2" s="1"/>
  <c r="L64" i="1"/>
  <c r="F63" i="2" s="1"/>
  <c r="I65" i="1"/>
  <c r="G64" i="2" s="1"/>
  <c r="R64" i="2" s="1"/>
  <c r="L65" i="1"/>
  <c r="F64" i="2" s="1"/>
  <c r="I66" i="1"/>
  <c r="G65" i="2" s="1"/>
  <c r="R65" i="2" s="1"/>
  <c r="L66" i="1"/>
  <c r="F65" i="2" s="1"/>
  <c r="I67" i="1"/>
  <c r="G101" i="4" s="1"/>
  <c r="L67" i="1"/>
  <c r="F66" i="2" s="1"/>
  <c r="V67" i="1"/>
  <c r="I68" i="1"/>
  <c r="G102" i="4" s="1"/>
  <c r="L68" i="1"/>
  <c r="F67" i="2" s="1"/>
  <c r="I69" i="1"/>
  <c r="G103" i="4" s="1"/>
  <c r="L69" i="1"/>
  <c r="F68" i="2" s="1"/>
  <c r="I70" i="1"/>
  <c r="L70" i="1"/>
  <c r="F69" i="2" s="1"/>
  <c r="I71" i="1"/>
  <c r="G105" i="4" s="1"/>
  <c r="L71" i="1"/>
  <c r="F70" i="2" s="1"/>
  <c r="I72" i="1"/>
  <c r="G71" i="2" s="1"/>
  <c r="R71" i="2" s="1"/>
  <c r="M119" i="1" s="1"/>
  <c r="L72" i="1"/>
  <c r="F71" i="2" s="1"/>
  <c r="I73" i="1"/>
  <c r="G107" i="4" s="1"/>
  <c r="L73" i="1"/>
  <c r="F72" i="2" s="1"/>
  <c r="I74" i="1"/>
  <c r="G108" i="4" s="1"/>
  <c r="L74" i="1"/>
  <c r="F73" i="2" s="1"/>
  <c r="I75" i="1"/>
  <c r="G109" i="4" s="1"/>
  <c r="L75" i="1"/>
  <c r="F74" i="2" s="1"/>
  <c r="I76" i="1"/>
  <c r="G110" i="4" s="1"/>
  <c r="L76" i="1"/>
  <c r="F75" i="2" s="1"/>
  <c r="I77" i="1"/>
  <c r="G111" i="4" s="1"/>
  <c r="L77" i="1"/>
  <c r="F76" i="2" s="1"/>
  <c r="I78" i="1"/>
  <c r="G112" i="4" s="1"/>
  <c r="L78" i="1"/>
  <c r="F77" i="2" s="1"/>
  <c r="I79" i="1"/>
  <c r="G113" i="4" s="1"/>
  <c r="L79" i="1"/>
  <c r="F78" i="2" s="1"/>
  <c r="P79" i="1"/>
  <c r="I80" i="1"/>
  <c r="G114" i="4" s="1"/>
  <c r="L80" i="1"/>
  <c r="F79" i="2" s="1"/>
  <c r="I81" i="1"/>
  <c r="G115" i="4" s="1"/>
  <c r="L81" i="1"/>
  <c r="F80" i="2" s="1"/>
  <c r="I82" i="1"/>
  <c r="G116" i="4" s="1"/>
  <c r="L82" i="1"/>
  <c r="F81" i="2" s="1"/>
  <c r="I83" i="1"/>
  <c r="G117" i="4" s="1"/>
  <c r="L83" i="1"/>
  <c r="F82" i="2" s="1"/>
  <c r="I84" i="1"/>
  <c r="G118" i="4" s="1"/>
  <c r="L84" i="1"/>
  <c r="F83" i="2" s="1"/>
  <c r="I85" i="1"/>
  <c r="G119" i="4" s="1"/>
  <c r="L85" i="1"/>
  <c r="F84" i="2" s="1"/>
  <c r="I86" i="1"/>
  <c r="G120" i="4" s="1"/>
  <c r="L86" i="1"/>
  <c r="F85" i="2" s="1"/>
  <c r="I87" i="1"/>
  <c r="G121" i="4" s="1"/>
  <c r="L87" i="1"/>
  <c r="F86" i="2" s="1"/>
  <c r="I88" i="1"/>
  <c r="G122" i="4" s="1"/>
  <c r="L88" i="1"/>
  <c r="F87" i="2" s="1"/>
  <c r="I89" i="1"/>
  <c r="G123" i="4" s="1"/>
  <c r="L89" i="1"/>
  <c r="F88" i="2" s="1"/>
  <c r="I90" i="1"/>
  <c r="G124" i="4" s="1"/>
  <c r="L90" i="1"/>
  <c r="F89" i="2" s="1"/>
  <c r="I91" i="1"/>
  <c r="G125" i="4" s="1"/>
  <c r="L91" i="1"/>
  <c r="F90" i="2" s="1"/>
  <c r="I92" i="1"/>
  <c r="G126" i="4" s="1"/>
  <c r="L92" i="1"/>
  <c r="F91" i="2" s="1"/>
  <c r="I93" i="1"/>
  <c r="G127" i="4" s="1"/>
  <c r="L93" i="1"/>
  <c r="F92" i="2" s="1"/>
  <c r="I94" i="1"/>
  <c r="G128" i="4" s="1"/>
  <c r="L94" i="1"/>
  <c r="F93" i="2" s="1"/>
  <c r="I95" i="1"/>
  <c r="G129" i="4" s="1"/>
  <c r="L95" i="1"/>
  <c r="F94" i="2" s="1"/>
  <c r="I96" i="1"/>
  <c r="G130" i="4" s="1"/>
  <c r="L96" i="1"/>
  <c r="F95" i="2" s="1"/>
  <c r="I97" i="1"/>
  <c r="G131" i="4" s="1"/>
  <c r="L97" i="1"/>
  <c r="F96" i="2" s="1"/>
  <c r="I98" i="1"/>
  <c r="G132" i="4" s="1"/>
  <c r="L98" i="1"/>
  <c r="F97" i="2" s="1"/>
  <c r="I99" i="1"/>
  <c r="G133" i="4" s="1"/>
  <c r="L99" i="1"/>
  <c r="F98" i="2" s="1"/>
  <c r="I100" i="1"/>
  <c r="G99" i="2" s="1"/>
  <c r="R99" i="2" s="1"/>
  <c r="M147" i="1" s="1"/>
  <c r="L100" i="1"/>
  <c r="F99" i="2" s="1"/>
  <c r="I101" i="1"/>
  <c r="G135" i="4" s="1"/>
  <c r="L101" i="1"/>
  <c r="F100" i="2" s="1"/>
  <c r="I102" i="1"/>
  <c r="G136" i="4" s="1"/>
  <c r="L102" i="1"/>
  <c r="F101" i="2" s="1"/>
  <c r="I103" i="1"/>
  <c r="G137" i="4" s="1"/>
  <c r="L103" i="1"/>
  <c r="F102" i="2" s="1"/>
  <c r="I104" i="1"/>
  <c r="L104" i="1"/>
  <c r="F103" i="2" s="1"/>
  <c r="N104" i="1"/>
  <c r="I105" i="1"/>
  <c r="G139" i="4" s="1"/>
  <c r="L105" i="1"/>
  <c r="F104" i="2" s="1"/>
  <c r="I106" i="1"/>
  <c r="G140" i="4" s="1"/>
  <c r="L106" i="1"/>
  <c r="F105" i="2" s="1"/>
  <c r="I107" i="1"/>
  <c r="G141" i="4" s="1"/>
  <c r="L107" i="1"/>
  <c r="F106" i="2" s="1"/>
  <c r="I108" i="1"/>
  <c r="G142" i="4" s="1"/>
  <c r="L108" i="1"/>
  <c r="F107" i="2" s="1"/>
  <c r="I109" i="1"/>
  <c r="G143" i="4" s="1"/>
  <c r="L109" i="1"/>
  <c r="F108" i="2" s="1"/>
  <c r="I110" i="1"/>
  <c r="Y109" i="2" s="1"/>
  <c r="L110" i="1"/>
  <c r="F109" i="2" s="1"/>
  <c r="I111" i="1"/>
  <c r="G145" i="4" s="1"/>
  <c r="L111" i="1"/>
  <c r="F110" i="2" s="1"/>
  <c r="V111" i="1"/>
  <c r="I112" i="1"/>
  <c r="G146" i="4" s="1"/>
  <c r="L112" i="1"/>
  <c r="F111" i="2" s="1"/>
  <c r="I113" i="1"/>
  <c r="G147" i="4" s="1"/>
  <c r="L113" i="1"/>
  <c r="F112" i="2" s="1"/>
  <c r="I161" i="1"/>
  <c r="G148" i="4" s="1"/>
  <c r="I148" i="4" s="1"/>
  <c r="L161" i="1"/>
  <c r="F160" i="2" s="1"/>
  <c r="G29" i="4"/>
  <c r="I29" i="4" s="1"/>
  <c r="G30" i="4"/>
  <c r="I30" i="4" s="1"/>
  <c r="G34" i="4"/>
  <c r="G36" i="4"/>
  <c r="I36" i="4" s="1"/>
  <c r="G48" i="4"/>
  <c r="I48" i="4" s="1"/>
  <c r="G50" i="4"/>
  <c r="I50" i="4" s="1"/>
  <c r="G52" i="4"/>
  <c r="M52" i="4" s="1"/>
  <c r="G53" i="4"/>
  <c r="I53" i="4" s="1"/>
  <c r="G54" i="4"/>
  <c r="I54" i="4" s="1"/>
  <c r="G55" i="4"/>
  <c r="G56" i="4"/>
  <c r="K56" i="4" s="1"/>
  <c r="G59" i="4"/>
  <c r="M59" i="4" s="1"/>
  <c r="G64" i="4"/>
  <c r="I64" i="4" s="1"/>
  <c r="G67" i="4"/>
  <c r="M67" i="4" s="1"/>
  <c r="G71" i="4"/>
  <c r="K71" i="4" s="1"/>
  <c r="G76" i="4"/>
  <c r="M76" i="4" s="1"/>
  <c r="G79" i="4"/>
  <c r="I79" i="4" s="1"/>
  <c r="G86" i="4"/>
  <c r="I86" i="4" s="1"/>
  <c r="G13" i="4"/>
  <c r="G17" i="4"/>
  <c r="I17" i="4" s="1"/>
  <c r="G23" i="4"/>
  <c r="G24" i="4"/>
  <c r="D77" i="37" l="1"/>
  <c r="D76" i="38" s="1"/>
  <c r="C76" i="38"/>
  <c r="E78" i="37"/>
  <c r="E77" i="38" s="1"/>
  <c r="C78" i="37"/>
  <c r="U78" i="37"/>
  <c r="P39" i="25"/>
  <c r="M37" i="24"/>
  <c r="G24" i="24"/>
  <c r="I24" i="24" s="1"/>
  <c r="V34" i="25"/>
  <c r="P44" i="25"/>
  <c r="P61" i="25"/>
  <c r="P38" i="25"/>
  <c r="P55" i="25"/>
  <c r="P48" i="25"/>
  <c r="P65" i="25"/>
  <c r="P42" i="25"/>
  <c r="P59" i="25"/>
  <c r="P47" i="25"/>
  <c r="P64" i="25"/>
  <c r="P51" i="25"/>
  <c r="P68" i="25"/>
  <c r="P41" i="25"/>
  <c r="P58" i="25"/>
  <c r="P37" i="25"/>
  <c r="P54" i="25"/>
  <c r="P46" i="25"/>
  <c r="P63" i="25"/>
  <c r="P52" i="25"/>
  <c r="P43" i="25"/>
  <c r="P60" i="25"/>
  <c r="P40" i="25"/>
  <c r="P57" i="25"/>
  <c r="P36" i="25"/>
  <c r="P53" i="25"/>
  <c r="P45" i="25"/>
  <c r="P62" i="25"/>
  <c r="P49" i="25"/>
  <c r="P66" i="25"/>
  <c r="P50" i="25"/>
  <c r="P67" i="25"/>
  <c r="X43" i="25"/>
  <c r="O60" i="25"/>
  <c r="X60" i="25"/>
  <c r="G69" i="26"/>
  <c r="R69" i="26" s="1"/>
  <c r="M70" i="25" s="1"/>
  <c r="M50" i="25"/>
  <c r="M67" i="25"/>
  <c r="V52" i="25"/>
  <c r="Y38" i="26"/>
  <c r="G43" i="24"/>
  <c r="G29" i="24"/>
  <c r="I29" i="24" s="1"/>
  <c r="G46" i="24"/>
  <c r="G34" i="24"/>
  <c r="G51" i="24"/>
  <c r="V38" i="25"/>
  <c r="G42" i="24"/>
  <c r="G32" i="24"/>
  <c r="I32" i="24" s="1"/>
  <c r="G49" i="24"/>
  <c r="O49" i="25"/>
  <c r="O66" i="25"/>
  <c r="X66" i="25"/>
  <c r="V49" i="25"/>
  <c r="G53" i="24"/>
  <c r="G33" i="24"/>
  <c r="I33" i="24" s="1"/>
  <c r="G50" i="24"/>
  <c r="X51" i="25"/>
  <c r="O68" i="25"/>
  <c r="X68" i="25"/>
  <c r="M54" i="24"/>
  <c r="K54" i="24"/>
  <c r="I54" i="24"/>
  <c r="Y36" i="26"/>
  <c r="G41" i="24"/>
  <c r="G31" i="24"/>
  <c r="K31" i="24" s="1"/>
  <c r="G48" i="24"/>
  <c r="V70" i="25"/>
  <c r="K55" i="24"/>
  <c r="I55" i="24"/>
  <c r="M55" i="24"/>
  <c r="G57" i="24"/>
  <c r="I57" i="24" s="1"/>
  <c r="G30" i="24"/>
  <c r="I30" i="24" s="1"/>
  <c r="G47" i="24"/>
  <c r="V41" i="25"/>
  <c r="G45" i="24"/>
  <c r="V36" i="25"/>
  <c r="G40" i="24"/>
  <c r="G42" i="26"/>
  <c r="R42" i="26" s="1"/>
  <c r="AF42" i="26" s="1"/>
  <c r="V43" i="25"/>
  <c r="K56" i="24"/>
  <c r="M56" i="24"/>
  <c r="I56" i="24"/>
  <c r="V40" i="25"/>
  <c r="G44" i="24"/>
  <c r="G35" i="24"/>
  <c r="K35" i="24" s="1"/>
  <c r="G52" i="24"/>
  <c r="Y49" i="26"/>
  <c r="AF49" i="26" s="1"/>
  <c r="G39" i="24"/>
  <c r="M38" i="24"/>
  <c r="K38" i="24"/>
  <c r="G13" i="21"/>
  <c r="I13" i="21" s="1"/>
  <c r="V26" i="22"/>
  <c r="N32" i="22"/>
  <c r="N42" i="22"/>
  <c r="N28" i="22"/>
  <c r="N38" i="22"/>
  <c r="P31" i="22"/>
  <c r="P41" i="22"/>
  <c r="P27" i="22"/>
  <c r="P37" i="22"/>
  <c r="N31" i="22"/>
  <c r="N41" i="22"/>
  <c r="N27" i="22"/>
  <c r="N37" i="22"/>
  <c r="P30" i="22"/>
  <c r="P40" i="22"/>
  <c r="N30" i="22"/>
  <c r="N40" i="22"/>
  <c r="P26" i="22"/>
  <c r="P36" i="22"/>
  <c r="P29" i="22"/>
  <c r="P39" i="22"/>
  <c r="N26" i="22"/>
  <c r="N36" i="22"/>
  <c r="N33" i="22"/>
  <c r="N43" i="22"/>
  <c r="N29" i="22"/>
  <c r="N39" i="22"/>
  <c r="P28" i="22"/>
  <c r="P38" i="22"/>
  <c r="Y25" i="23"/>
  <c r="AF25" i="23" s="1"/>
  <c r="M23" i="21"/>
  <c r="K23" i="21"/>
  <c r="I23" i="21"/>
  <c r="G25" i="23"/>
  <c r="R25" i="23" s="1"/>
  <c r="M13" i="21"/>
  <c r="N46" i="19"/>
  <c r="N49" i="19"/>
  <c r="G45" i="20"/>
  <c r="R45" i="20" s="1"/>
  <c r="M46" i="19" s="1"/>
  <c r="G33" i="18"/>
  <c r="I33" i="18" s="1"/>
  <c r="Y43" i="20"/>
  <c r="G43" i="20"/>
  <c r="R43" i="20" s="1"/>
  <c r="M44" i="19" s="1"/>
  <c r="G30" i="18"/>
  <c r="I30" i="18" s="1"/>
  <c r="N43" i="19"/>
  <c r="P46" i="19"/>
  <c r="P62" i="19"/>
  <c r="P44" i="19"/>
  <c r="P60" i="19"/>
  <c r="N47" i="19"/>
  <c r="N63" i="19"/>
  <c r="P48" i="19"/>
  <c r="P64" i="19"/>
  <c r="N44" i="19"/>
  <c r="N60" i="19"/>
  <c r="N48" i="19"/>
  <c r="P45" i="19"/>
  <c r="P49" i="19"/>
  <c r="P65" i="19"/>
  <c r="P50" i="19"/>
  <c r="P66" i="19"/>
  <c r="P43" i="19"/>
  <c r="P59" i="19"/>
  <c r="N45" i="19"/>
  <c r="N61" i="19"/>
  <c r="N50" i="19"/>
  <c r="N66" i="19"/>
  <c r="P47" i="19"/>
  <c r="P63" i="19"/>
  <c r="M48" i="19"/>
  <c r="M64" i="19"/>
  <c r="G19" i="18"/>
  <c r="I19" i="18" s="1"/>
  <c r="G54" i="18"/>
  <c r="K54" i="18" s="1"/>
  <c r="G49" i="18"/>
  <c r="V46" i="19"/>
  <c r="G46" i="18"/>
  <c r="V43" i="19"/>
  <c r="M62" i="19"/>
  <c r="X43" i="19"/>
  <c r="O59" i="19"/>
  <c r="X59" i="19"/>
  <c r="G53" i="18"/>
  <c r="V50" i="19"/>
  <c r="G51" i="18"/>
  <c r="V48" i="19"/>
  <c r="G47" i="18"/>
  <c r="V44" i="19"/>
  <c r="Y31" i="20"/>
  <c r="O32" i="19" s="1"/>
  <c r="Y66" i="20"/>
  <c r="X67" i="19" s="1"/>
  <c r="K35" i="18"/>
  <c r="M49" i="19"/>
  <c r="M65" i="19"/>
  <c r="M43" i="19"/>
  <c r="M59" i="19"/>
  <c r="X62" i="19"/>
  <c r="O62" i="19"/>
  <c r="X44" i="19"/>
  <c r="O60" i="19"/>
  <c r="X60" i="19"/>
  <c r="G46" i="20"/>
  <c r="R46" i="20" s="1"/>
  <c r="G50" i="18"/>
  <c r="V47" i="19"/>
  <c r="G48" i="18"/>
  <c r="V45" i="19"/>
  <c r="G66" i="20"/>
  <c r="R66" i="20" s="1"/>
  <c r="M67" i="19" s="1"/>
  <c r="O64" i="19"/>
  <c r="X64" i="19"/>
  <c r="Y48" i="20"/>
  <c r="O49" i="19" s="1"/>
  <c r="G52" i="18"/>
  <c r="V49" i="19"/>
  <c r="O43" i="19"/>
  <c r="K31" i="18"/>
  <c r="I31" i="18"/>
  <c r="V27" i="12"/>
  <c r="Y33" i="13"/>
  <c r="O34" i="12" s="1"/>
  <c r="V54" i="12"/>
  <c r="G42" i="11"/>
  <c r="I42" i="11" s="1"/>
  <c r="Y55" i="13"/>
  <c r="G55" i="13"/>
  <c r="R55" i="13" s="1"/>
  <c r="M56" i="12" s="1"/>
  <c r="V56" i="12"/>
  <c r="Y57" i="13"/>
  <c r="V57" i="12"/>
  <c r="G27" i="11"/>
  <c r="K27" i="11" s="1"/>
  <c r="G31" i="13"/>
  <c r="R31" i="13" s="1"/>
  <c r="M32" i="12" s="1"/>
  <c r="G44" i="11"/>
  <c r="K44" i="11" s="1"/>
  <c r="G43" i="11"/>
  <c r="M43" i="11" s="1"/>
  <c r="P51" i="12"/>
  <c r="P72" i="12"/>
  <c r="N48" i="12"/>
  <c r="N69" i="12"/>
  <c r="N44" i="12"/>
  <c r="N65" i="12"/>
  <c r="P40" i="12"/>
  <c r="P61" i="12"/>
  <c r="P53" i="12"/>
  <c r="P74" i="12"/>
  <c r="N60" i="12"/>
  <c r="N81" i="12"/>
  <c r="N57" i="12"/>
  <c r="N78" i="12"/>
  <c r="N55" i="12"/>
  <c r="N76" i="12"/>
  <c r="P57" i="12"/>
  <c r="P78" i="12"/>
  <c r="N51" i="12"/>
  <c r="N72" i="12"/>
  <c r="P47" i="12"/>
  <c r="P68" i="12"/>
  <c r="P43" i="12"/>
  <c r="P64" i="12"/>
  <c r="N53" i="12"/>
  <c r="N74" i="12"/>
  <c r="P59" i="12"/>
  <c r="P80" i="12"/>
  <c r="P56" i="12"/>
  <c r="P77" i="12"/>
  <c r="N54" i="12"/>
  <c r="N75" i="12"/>
  <c r="P50" i="12"/>
  <c r="P71" i="12"/>
  <c r="N47" i="12"/>
  <c r="N68" i="12"/>
  <c r="N43" i="12"/>
  <c r="N64" i="12"/>
  <c r="N40" i="12"/>
  <c r="N61" i="12"/>
  <c r="P52" i="12"/>
  <c r="P73" i="12"/>
  <c r="N41" i="12"/>
  <c r="N62" i="12"/>
  <c r="N50" i="12"/>
  <c r="N71" i="12"/>
  <c r="P46" i="12"/>
  <c r="P67" i="12"/>
  <c r="P42" i="12"/>
  <c r="P63" i="12"/>
  <c r="N52" i="12"/>
  <c r="N73" i="12"/>
  <c r="N59" i="12"/>
  <c r="N80" i="12"/>
  <c r="N56" i="12"/>
  <c r="N77" i="12"/>
  <c r="P49" i="12"/>
  <c r="P70" i="12"/>
  <c r="N46" i="12"/>
  <c r="N67" i="12"/>
  <c r="N42" i="12"/>
  <c r="N63" i="12"/>
  <c r="P58" i="12"/>
  <c r="P79" i="12"/>
  <c r="P44" i="12"/>
  <c r="P65" i="12"/>
  <c r="N49" i="12"/>
  <c r="N70" i="12"/>
  <c r="P45" i="12"/>
  <c r="P66" i="12"/>
  <c r="P41" i="12"/>
  <c r="P62" i="12"/>
  <c r="P54" i="12"/>
  <c r="P75" i="12"/>
  <c r="P55" i="12"/>
  <c r="P76" i="12"/>
  <c r="P48" i="12"/>
  <c r="P69" i="12"/>
  <c r="N45" i="12"/>
  <c r="N66" i="12"/>
  <c r="P60" i="12"/>
  <c r="P81" i="12"/>
  <c r="N58" i="12"/>
  <c r="M60" i="12"/>
  <c r="M81" i="12"/>
  <c r="I63" i="11"/>
  <c r="M63" i="11"/>
  <c r="K63" i="11"/>
  <c r="X40" i="12"/>
  <c r="X61" i="12"/>
  <c r="O61" i="12"/>
  <c r="G26" i="11"/>
  <c r="I26" i="11" s="1"/>
  <c r="G47" i="13"/>
  <c r="R47" i="13" s="1"/>
  <c r="G56" i="11"/>
  <c r="V43" i="12"/>
  <c r="G51" i="11"/>
  <c r="G41" i="11"/>
  <c r="M41" i="11" s="1"/>
  <c r="G62" i="11"/>
  <c r="G69" i="11"/>
  <c r="K69" i="11" s="1"/>
  <c r="Y32" i="13"/>
  <c r="O33" i="12" s="1"/>
  <c r="G20" i="11"/>
  <c r="I20" i="11" s="1"/>
  <c r="G46" i="13"/>
  <c r="R46" i="13" s="1"/>
  <c r="G55" i="11"/>
  <c r="V42" i="12"/>
  <c r="G50" i="11"/>
  <c r="V53" i="12"/>
  <c r="G61" i="11"/>
  <c r="G52" i="13"/>
  <c r="R52" i="13" s="1"/>
  <c r="M74" i="12" s="1"/>
  <c r="G57" i="13"/>
  <c r="R57" i="13" s="1"/>
  <c r="M65" i="11"/>
  <c r="I65" i="11"/>
  <c r="K65" i="11"/>
  <c r="G47" i="11"/>
  <c r="I47" i="11" s="1"/>
  <c r="O60" i="12"/>
  <c r="X81" i="12"/>
  <c r="O81" i="12"/>
  <c r="V41" i="12"/>
  <c r="G49" i="11"/>
  <c r="G58" i="13"/>
  <c r="R58" i="13" s="1"/>
  <c r="AF58" i="13" s="1"/>
  <c r="G67" i="11"/>
  <c r="Y38" i="13"/>
  <c r="O39" i="12" s="1"/>
  <c r="Q39" i="12" s="1"/>
  <c r="Y28" i="13"/>
  <c r="O29" i="12" s="1"/>
  <c r="G45" i="13"/>
  <c r="R45" i="13" s="1"/>
  <c r="G54" i="11"/>
  <c r="V40" i="12"/>
  <c r="G48" i="11"/>
  <c r="V30" i="12"/>
  <c r="G41" i="13"/>
  <c r="R41" i="13" s="1"/>
  <c r="G39" i="11"/>
  <c r="I39" i="11" s="1"/>
  <c r="G60" i="11"/>
  <c r="Y54" i="13"/>
  <c r="V82" i="12"/>
  <c r="V58" i="12"/>
  <c r="G46" i="11"/>
  <c r="I46" i="11" s="1"/>
  <c r="X58" i="12"/>
  <c r="O79" i="12"/>
  <c r="X79" i="12"/>
  <c r="G44" i="13"/>
  <c r="R44" i="13" s="1"/>
  <c r="G53" i="11"/>
  <c r="G32" i="13"/>
  <c r="R32" i="13" s="1"/>
  <c r="M33" i="12" s="1"/>
  <c r="O59" i="12"/>
  <c r="O80" i="12"/>
  <c r="X80" i="12"/>
  <c r="M64" i="11"/>
  <c r="K64" i="11"/>
  <c r="I64" i="11"/>
  <c r="G45" i="11"/>
  <c r="I45" i="11" s="1"/>
  <c r="G43" i="13"/>
  <c r="R43" i="13" s="1"/>
  <c r="G52" i="11"/>
  <c r="O48" i="12"/>
  <c r="X69" i="12"/>
  <c r="O69" i="12"/>
  <c r="O41" i="12"/>
  <c r="O62" i="12"/>
  <c r="X62" i="12"/>
  <c r="G50" i="13"/>
  <c r="R50" i="13" s="1"/>
  <c r="G59" i="11"/>
  <c r="V44" i="12"/>
  <c r="X54" i="12"/>
  <c r="O75" i="12"/>
  <c r="X75" i="12"/>
  <c r="X56" i="12"/>
  <c r="X77" i="12"/>
  <c r="O77" i="12"/>
  <c r="G54" i="13"/>
  <c r="R54" i="13" s="1"/>
  <c r="V55" i="12"/>
  <c r="G48" i="13"/>
  <c r="R48" i="13" s="1"/>
  <c r="M70" i="12" s="1"/>
  <c r="G57" i="11"/>
  <c r="V60" i="12"/>
  <c r="G68" i="11"/>
  <c r="Y43" i="13"/>
  <c r="G31" i="11"/>
  <c r="K31" i="11" s="1"/>
  <c r="V50" i="12"/>
  <c r="G58" i="11"/>
  <c r="V37" i="12"/>
  <c r="G29" i="13"/>
  <c r="R29" i="13" s="1"/>
  <c r="M30" i="12" s="1"/>
  <c r="M66" i="11"/>
  <c r="I66" i="11"/>
  <c r="K66" i="11"/>
  <c r="I31" i="11"/>
  <c r="I44" i="11"/>
  <c r="K43" i="11"/>
  <c r="P31" i="9"/>
  <c r="P30" i="9"/>
  <c r="V25" i="9"/>
  <c r="V31" i="9"/>
  <c r="V33" i="9"/>
  <c r="G22" i="8"/>
  <c r="M22" i="8" s="1"/>
  <c r="V23" i="9"/>
  <c r="V29" i="9"/>
  <c r="G16" i="8"/>
  <c r="I16" i="8" s="1"/>
  <c r="V36" i="9"/>
  <c r="G32" i="10"/>
  <c r="R32" i="10" s="1"/>
  <c r="M43" i="9" s="1"/>
  <c r="G34" i="8"/>
  <c r="K34" i="8" s="1"/>
  <c r="K10" i="8"/>
  <c r="Y31" i="10"/>
  <c r="X42" i="9" s="1"/>
  <c r="G23" i="8"/>
  <c r="V32" i="9"/>
  <c r="V47" i="9"/>
  <c r="B36" i="10"/>
  <c r="B26" i="10"/>
  <c r="P29" i="9"/>
  <c r="P39" i="9"/>
  <c r="P36" i="9"/>
  <c r="P46" i="9"/>
  <c r="P32" i="9"/>
  <c r="P42" i="9"/>
  <c r="P28" i="9"/>
  <c r="P38" i="9"/>
  <c r="P33" i="9"/>
  <c r="P43" i="9"/>
  <c r="P35" i="9"/>
  <c r="P45" i="9"/>
  <c r="P27" i="9"/>
  <c r="P37" i="9"/>
  <c r="P34" i="9"/>
  <c r="P44" i="9"/>
  <c r="X31" i="9"/>
  <c r="O41" i="9"/>
  <c r="X41" i="9"/>
  <c r="W27" i="9"/>
  <c r="W37" i="9"/>
  <c r="Y27" i="9"/>
  <c r="Y37" i="9"/>
  <c r="B25" i="9"/>
  <c r="U24" i="9"/>
  <c r="O44" i="9"/>
  <c r="X44" i="9"/>
  <c r="C22" i="9"/>
  <c r="D22" i="9" s="1"/>
  <c r="D21" i="10" s="1"/>
  <c r="M27" i="8"/>
  <c r="I27" i="8"/>
  <c r="K27" i="8"/>
  <c r="M25" i="8"/>
  <c r="K25" i="8"/>
  <c r="I25" i="8"/>
  <c r="Y28" i="10"/>
  <c r="X29" i="9" s="1"/>
  <c r="Y25" i="10"/>
  <c r="X26" i="9" s="1"/>
  <c r="G22" i="10"/>
  <c r="R22" i="10" s="1"/>
  <c r="AF22" i="10" s="1"/>
  <c r="O42" i="9"/>
  <c r="U23" i="9"/>
  <c r="X23" i="9"/>
  <c r="G30" i="10"/>
  <c r="R30" i="10" s="1"/>
  <c r="M41" i="9" s="1"/>
  <c r="G21" i="10"/>
  <c r="R21" i="10" s="1"/>
  <c r="M22" i="9" s="1"/>
  <c r="Y23" i="10"/>
  <c r="AF23" i="10" s="1"/>
  <c r="G11" i="8"/>
  <c r="K11" i="8" s="1"/>
  <c r="X47" i="9"/>
  <c r="G32" i="8"/>
  <c r="M30" i="8"/>
  <c r="I30" i="8"/>
  <c r="K30" i="8"/>
  <c r="G29" i="10"/>
  <c r="R29" i="10" s="1"/>
  <c r="M40" i="9" s="1"/>
  <c r="G18" i="8"/>
  <c r="G28" i="8"/>
  <c r="V27" i="9"/>
  <c r="G24" i="8"/>
  <c r="Y27" i="10"/>
  <c r="Y24" i="10"/>
  <c r="X25" i="9" s="1"/>
  <c r="G46" i="10"/>
  <c r="G28" i="10"/>
  <c r="R28" i="10" s="1"/>
  <c r="M39" i="9" s="1"/>
  <c r="V30" i="9"/>
  <c r="M26" i="8"/>
  <c r="I26" i="8"/>
  <c r="K26" i="8"/>
  <c r="V26" i="9"/>
  <c r="V24" i="9"/>
  <c r="V22" i="9"/>
  <c r="Y32" i="10"/>
  <c r="AF32" i="10" s="1"/>
  <c r="G35" i="10"/>
  <c r="R35" i="10" s="1"/>
  <c r="M46" i="9" s="1"/>
  <c r="G27" i="10"/>
  <c r="R27" i="10" s="1"/>
  <c r="M38" i="9" s="1"/>
  <c r="V28" i="9"/>
  <c r="Y29" i="10"/>
  <c r="G34" i="10"/>
  <c r="G25" i="10"/>
  <c r="R25" i="10" s="1"/>
  <c r="AF25" i="10" s="1"/>
  <c r="M33" i="8"/>
  <c r="I33" i="8"/>
  <c r="K33" i="8"/>
  <c r="X34" i="9"/>
  <c r="G31" i="8"/>
  <c r="G19" i="8"/>
  <c r="K19" i="8" s="1"/>
  <c r="G29" i="8"/>
  <c r="Y34" i="10"/>
  <c r="G33" i="10"/>
  <c r="G24" i="10"/>
  <c r="R24" i="10" s="1"/>
  <c r="C25" i="9"/>
  <c r="C24" i="10" s="1"/>
  <c r="E24" i="9"/>
  <c r="E23" i="10" s="1"/>
  <c r="B14" i="8"/>
  <c r="B24" i="8"/>
  <c r="C24" i="9"/>
  <c r="D24" i="9" s="1"/>
  <c r="D23" i="10" s="1"/>
  <c r="I10" i="8"/>
  <c r="N10" i="8" s="1"/>
  <c r="J23" i="9" s="1"/>
  <c r="K23" i="9" s="1"/>
  <c r="E23" i="9"/>
  <c r="E22" i="10" s="1"/>
  <c r="C23" i="9"/>
  <c r="D23" i="9" s="1"/>
  <c r="D22" i="10" s="1"/>
  <c r="M9" i="8"/>
  <c r="E22" i="9"/>
  <c r="E21" i="10" s="1"/>
  <c r="P93" i="1"/>
  <c r="P86" i="1"/>
  <c r="P110" i="1"/>
  <c r="P73" i="1"/>
  <c r="P112" i="1"/>
  <c r="P94" i="1"/>
  <c r="P84" i="1"/>
  <c r="P68" i="1"/>
  <c r="P96" i="1"/>
  <c r="P88" i="1"/>
  <c r="P98" i="1"/>
  <c r="P72" i="1"/>
  <c r="P91" i="1"/>
  <c r="P81" i="1"/>
  <c r="P100" i="1"/>
  <c r="P103" i="1"/>
  <c r="P105" i="1"/>
  <c r="P76" i="1"/>
  <c r="N96" i="1"/>
  <c r="N94" i="1"/>
  <c r="N75" i="1"/>
  <c r="N98" i="1"/>
  <c r="N90" i="1"/>
  <c r="N110" i="1"/>
  <c r="N102" i="1"/>
  <c r="N86" i="1"/>
  <c r="N78" i="1"/>
  <c r="N83" i="1"/>
  <c r="N85" i="1"/>
  <c r="N105" i="1"/>
  <c r="N73" i="1"/>
  <c r="N69" i="1"/>
  <c r="V95" i="1"/>
  <c r="G72" i="4"/>
  <c r="I72" i="4" s="1"/>
  <c r="V105" i="1"/>
  <c r="V24" i="1"/>
  <c r="G98" i="4"/>
  <c r="I98" i="4" s="1"/>
  <c r="G62" i="4"/>
  <c r="I62" i="4" s="1"/>
  <c r="G42" i="4"/>
  <c r="K42" i="4" s="1"/>
  <c r="V41" i="1"/>
  <c r="V69" i="1"/>
  <c r="G63" i="4"/>
  <c r="I63" i="4" s="1"/>
  <c r="V112" i="1"/>
  <c r="V107" i="1"/>
  <c r="Y93" i="2"/>
  <c r="Y23" i="2"/>
  <c r="X24" i="1" s="1"/>
  <c r="G77" i="4"/>
  <c r="I77" i="4" s="1"/>
  <c r="G51" i="4"/>
  <c r="I51" i="4" s="1"/>
  <c r="V85" i="1"/>
  <c r="G104" i="2"/>
  <c r="R104" i="2" s="1"/>
  <c r="M152" i="1" s="1"/>
  <c r="Y100" i="2"/>
  <c r="Y70" i="2"/>
  <c r="G74" i="4"/>
  <c r="I74" i="4" s="1"/>
  <c r="G58" i="4"/>
  <c r="K58" i="4" s="1"/>
  <c r="V161" i="1"/>
  <c r="V109" i="1"/>
  <c r="G77" i="2"/>
  <c r="R77" i="2" s="1"/>
  <c r="M125" i="1" s="1"/>
  <c r="V30" i="1"/>
  <c r="Y83" i="2"/>
  <c r="G47" i="4"/>
  <c r="I47" i="4" s="1"/>
  <c r="G89" i="4"/>
  <c r="I89" i="4" s="1"/>
  <c r="G94" i="4"/>
  <c r="I94" i="4" s="1"/>
  <c r="V42" i="1"/>
  <c r="V40" i="1"/>
  <c r="G90" i="4"/>
  <c r="I90" i="4" s="1"/>
  <c r="G65" i="4"/>
  <c r="I65" i="4" s="1"/>
  <c r="V102" i="1"/>
  <c r="V97" i="1"/>
  <c r="V87" i="1"/>
  <c r="V80" i="1"/>
  <c r="V47" i="1"/>
  <c r="V26" i="1"/>
  <c r="G80" i="2"/>
  <c r="R80" i="2" s="1"/>
  <c r="M128" i="1" s="1"/>
  <c r="G67" i="2"/>
  <c r="R67" i="2" s="1"/>
  <c r="M115" i="1" s="1"/>
  <c r="Y60" i="2"/>
  <c r="Y47" i="2"/>
  <c r="X48" i="1" s="1"/>
  <c r="G86" i="2"/>
  <c r="R86" i="2" s="1"/>
  <c r="M134" i="1" s="1"/>
  <c r="G73" i="2"/>
  <c r="R73" i="2" s="1"/>
  <c r="M121" i="1" s="1"/>
  <c r="Y63" i="2"/>
  <c r="X64" i="1" s="1"/>
  <c r="G54" i="2"/>
  <c r="R54" i="2" s="1"/>
  <c r="M55" i="1" s="1"/>
  <c r="G75" i="4"/>
  <c r="I75" i="4" s="1"/>
  <c r="G40" i="4"/>
  <c r="M40" i="4" s="1"/>
  <c r="V89" i="1"/>
  <c r="V55" i="1"/>
  <c r="G106" i="2"/>
  <c r="R106" i="2" s="1"/>
  <c r="M154" i="1" s="1"/>
  <c r="Y82" i="2"/>
  <c r="G60" i="2"/>
  <c r="R60" i="2" s="1"/>
  <c r="M61" i="1" s="1"/>
  <c r="G57" i="2"/>
  <c r="R57" i="2" s="1"/>
  <c r="Y39" i="2"/>
  <c r="G66" i="2"/>
  <c r="R66" i="2" s="1"/>
  <c r="M114" i="1" s="1"/>
  <c r="G32" i="2"/>
  <c r="R32" i="2" s="1"/>
  <c r="M33" i="1" s="1"/>
  <c r="G85" i="4"/>
  <c r="I85" i="4" s="1"/>
  <c r="V98" i="1"/>
  <c r="G83" i="4"/>
  <c r="M83" i="4" s="1"/>
  <c r="G60" i="4"/>
  <c r="I60" i="4" s="1"/>
  <c r="V113" i="1"/>
  <c r="V103" i="1"/>
  <c r="V81" i="1"/>
  <c r="V65" i="1"/>
  <c r="V60" i="1"/>
  <c r="V51" i="1"/>
  <c r="V33" i="1"/>
  <c r="Y112" i="2"/>
  <c r="X160" i="1" s="1"/>
  <c r="Y91" i="2"/>
  <c r="X92" i="1" s="1"/>
  <c r="G88" i="2"/>
  <c r="R88" i="2" s="1"/>
  <c r="M136" i="1" s="1"/>
  <c r="G75" i="2"/>
  <c r="R75" i="2" s="1"/>
  <c r="M123" i="1" s="1"/>
  <c r="G38" i="4"/>
  <c r="I38" i="4" s="1"/>
  <c r="G100" i="4"/>
  <c r="G82" i="4"/>
  <c r="K82" i="4" s="1"/>
  <c r="G70" i="4"/>
  <c r="I70" i="4" s="1"/>
  <c r="G35" i="4"/>
  <c r="I35" i="4" s="1"/>
  <c r="V35" i="1"/>
  <c r="G59" i="2"/>
  <c r="R59" i="2" s="1"/>
  <c r="Y48" i="2"/>
  <c r="X49" i="1" s="1"/>
  <c r="Y34" i="2"/>
  <c r="X35" i="1" s="1"/>
  <c r="G68" i="4"/>
  <c r="K68" i="4" s="1"/>
  <c r="V90" i="1"/>
  <c r="V83" i="1"/>
  <c r="V78" i="1"/>
  <c r="V56" i="1"/>
  <c r="Y67" i="2"/>
  <c r="O68" i="1" s="1"/>
  <c r="G31" i="2"/>
  <c r="R31" i="2" s="1"/>
  <c r="AF31" i="2" s="1"/>
  <c r="Y27" i="2"/>
  <c r="N112" i="1"/>
  <c r="N159" i="1"/>
  <c r="N108" i="1"/>
  <c r="N155" i="1"/>
  <c r="N81" i="1"/>
  <c r="N128" i="1"/>
  <c r="P111" i="1"/>
  <c r="P158" i="1"/>
  <c r="P107" i="1"/>
  <c r="P154" i="1"/>
  <c r="P104" i="1"/>
  <c r="P151" i="1"/>
  <c r="N101" i="1"/>
  <c r="N148" i="1"/>
  <c r="P97" i="1"/>
  <c r="P144" i="1"/>
  <c r="P90" i="1"/>
  <c r="P137" i="1"/>
  <c r="N87" i="1"/>
  <c r="N134" i="1"/>
  <c r="N84" i="1"/>
  <c r="N131" i="1"/>
  <c r="P77" i="1"/>
  <c r="P124" i="1"/>
  <c r="N74" i="1"/>
  <c r="N121" i="1"/>
  <c r="N71" i="1"/>
  <c r="N118" i="1"/>
  <c r="N68" i="1"/>
  <c r="N115" i="1"/>
  <c r="N111" i="1"/>
  <c r="N158" i="1"/>
  <c r="N107" i="1"/>
  <c r="N154" i="1"/>
  <c r="N97" i="1"/>
  <c r="N144" i="1"/>
  <c r="P83" i="1"/>
  <c r="P130" i="1"/>
  <c r="P80" i="1"/>
  <c r="P127" i="1"/>
  <c r="N77" i="1"/>
  <c r="N124" i="1"/>
  <c r="P70" i="1"/>
  <c r="P117" i="1"/>
  <c r="P67" i="1"/>
  <c r="P114" i="1"/>
  <c r="P102" i="1"/>
  <c r="N100" i="1"/>
  <c r="N147" i="1"/>
  <c r="N93" i="1"/>
  <c r="N140" i="1"/>
  <c r="P89" i="1"/>
  <c r="P136" i="1"/>
  <c r="N80" i="1"/>
  <c r="N127" i="1"/>
  <c r="N70" i="1"/>
  <c r="N117" i="1"/>
  <c r="N67" i="1"/>
  <c r="N114" i="1"/>
  <c r="N91" i="1"/>
  <c r="N138" i="1"/>
  <c r="P87" i="1"/>
  <c r="P113" i="1"/>
  <c r="P160" i="1"/>
  <c r="P106" i="1"/>
  <c r="P153" i="1"/>
  <c r="N103" i="1"/>
  <c r="N150" i="1"/>
  <c r="P92" i="1"/>
  <c r="P139" i="1"/>
  <c r="N89" i="1"/>
  <c r="N136" i="1"/>
  <c r="N76" i="1"/>
  <c r="N123" i="1"/>
  <c r="P69" i="1"/>
  <c r="P116" i="1"/>
  <c r="P109" i="1"/>
  <c r="P156" i="1"/>
  <c r="N106" i="1"/>
  <c r="N153" i="1"/>
  <c r="P99" i="1"/>
  <c r="P146" i="1"/>
  <c r="P85" i="1"/>
  <c r="P132" i="1"/>
  <c r="P82" i="1"/>
  <c r="P129" i="1"/>
  <c r="N79" i="1"/>
  <c r="N126" i="1"/>
  <c r="P74" i="1"/>
  <c r="N113" i="1"/>
  <c r="N160" i="1"/>
  <c r="N109" i="1"/>
  <c r="N156" i="1"/>
  <c r="N99" i="1"/>
  <c r="N146" i="1"/>
  <c r="N95" i="1"/>
  <c r="N142" i="1"/>
  <c r="N92" i="1"/>
  <c r="N139" i="1"/>
  <c r="N82" i="1"/>
  <c r="N129" i="1"/>
  <c r="P78" i="1"/>
  <c r="P125" i="1"/>
  <c r="P75" i="1"/>
  <c r="P122" i="1"/>
  <c r="N72" i="1"/>
  <c r="N119" i="1"/>
  <c r="P95" i="1"/>
  <c r="P142" i="1"/>
  <c r="P108" i="1"/>
  <c r="P155" i="1"/>
  <c r="P101" i="1"/>
  <c r="P148" i="1"/>
  <c r="N88" i="1"/>
  <c r="N135" i="1"/>
  <c r="P71" i="1"/>
  <c r="P118" i="1"/>
  <c r="O47" i="1"/>
  <c r="X47" i="1"/>
  <c r="X110" i="1"/>
  <c r="O157" i="1"/>
  <c r="X157" i="1"/>
  <c r="X101" i="1"/>
  <c r="O148" i="1"/>
  <c r="X148" i="1"/>
  <c r="O141" i="1"/>
  <c r="X141" i="1"/>
  <c r="G95" i="4"/>
  <c r="I95" i="4" s="1"/>
  <c r="G12" i="4"/>
  <c r="M12" i="4" s="1"/>
  <c r="M139" i="4"/>
  <c r="I139" i="4"/>
  <c r="K139" i="4"/>
  <c r="V99" i="1"/>
  <c r="V94" i="1"/>
  <c r="M117" i="4"/>
  <c r="K117" i="4"/>
  <c r="I117" i="4"/>
  <c r="V77" i="1"/>
  <c r="V75" i="1"/>
  <c r="M108" i="4"/>
  <c r="I108" i="4"/>
  <c r="K108" i="4"/>
  <c r="V66" i="1"/>
  <c r="V48" i="1"/>
  <c r="V29" i="1"/>
  <c r="V27" i="1"/>
  <c r="X40" i="1"/>
  <c r="Y106" i="2"/>
  <c r="Y104" i="2"/>
  <c r="G101" i="2"/>
  <c r="R101" i="2" s="1"/>
  <c r="M149" i="1" s="1"/>
  <c r="Y97" i="2"/>
  <c r="G94" i="2"/>
  <c r="R94" i="2" s="1"/>
  <c r="M142" i="1" s="1"/>
  <c r="G92" i="2"/>
  <c r="R92" i="2" s="1"/>
  <c r="M140" i="1" s="1"/>
  <c r="Y88" i="2"/>
  <c r="Y86" i="2"/>
  <c r="G83" i="2"/>
  <c r="R83" i="2" s="1"/>
  <c r="M131" i="1" s="1"/>
  <c r="Y77" i="2"/>
  <c r="Y75" i="2"/>
  <c r="Y73" i="2"/>
  <c r="X74" i="1" s="1"/>
  <c r="G68" i="2"/>
  <c r="R68" i="2" s="1"/>
  <c r="M116" i="1" s="1"/>
  <c r="G61" i="2"/>
  <c r="R61" i="2" s="1"/>
  <c r="M62" i="1" s="1"/>
  <c r="Y57" i="2"/>
  <c r="O58" i="1" s="1"/>
  <c r="Y51" i="2"/>
  <c r="X52" i="1" s="1"/>
  <c r="G48" i="2"/>
  <c r="R48" i="2" s="1"/>
  <c r="AF48" i="2" s="1"/>
  <c r="G46" i="2"/>
  <c r="R46" i="2" s="1"/>
  <c r="AF46" i="2" s="1"/>
  <c r="Y42" i="2"/>
  <c r="X43" i="1" s="1"/>
  <c r="G35" i="2"/>
  <c r="R35" i="2" s="1"/>
  <c r="G28" i="2"/>
  <c r="R28" i="2" s="1"/>
  <c r="AF28" i="2" s="1"/>
  <c r="Y24" i="2"/>
  <c r="X25" i="1" s="1"/>
  <c r="M127" i="4"/>
  <c r="K127" i="4"/>
  <c r="I127" i="4"/>
  <c r="O139" i="1"/>
  <c r="X139" i="1"/>
  <c r="M128" i="4"/>
  <c r="I128" i="4"/>
  <c r="K128" i="4"/>
  <c r="I114" i="4"/>
  <c r="K114" i="4"/>
  <c r="M114" i="4"/>
  <c r="V63" i="1"/>
  <c r="O160" i="1"/>
  <c r="X84" i="1"/>
  <c r="O131" i="1"/>
  <c r="X131" i="1"/>
  <c r="G45" i="2"/>
  <c r="R45" i="2" s="1"/>
  <c r="M46" i="1" s="1"/>
  <c r="V101" i="1"/>
  <c r="G92" i="4"/>
  <c r="I82" i="4"/>
  <c r="G32" i="4"/>
  <c r="I32" i="4" s="1"/>
  <c r="I146" i="4"/>
  <c r="K146" i="4"/>
  <c r="M146" i="4"/>
  <c r="M137" i="4"/>
  <c r="I137" i="4"/>
  <c r="K137" i="4"/>
  <c r="M132" i="4"/>
  <c r="I132" i="4"/>
  <c r="K132" i="4"/>
  <c r="M120" i="4"/>
  <c r="K120" i="4"/>
  <c r="I120" i="4"/>
  <c r="V82" i="1"/>
  <c r="M115" i="4"/>
  <c r="I115" i="4"/>
  <c r="K115" i="4"/>
  <c r="V73" i="1"/>
  <c r="V70" i="1"/>
  <c r="G104" i="4"/>
  <c r="V64" i="1"/>
  <c r="V59" i="1"/>
  <c r="V25" i="1"/>
  <c r="X71" i="1"/>
  <c r="X55" i="1"/>
  <c r="X38" i="1"/>
  <c r="Y160" i="2"/>
  <c r="Y111" i="2"/>
  <c r="X112" i="1" s="1"/>
  <c r="G108" i="2"/>
  <c r="R108" i="2" s="1"/>
  <c r="M156" i="1" s="1"/>
  <c r="Y102" i="2"/>
  <c r="Y95" i="2"/>
  <c r="G90" i="2"/>
  <c r="R90" i="2" s="1"/>
  <c r="M138" i="1" s="1"/>
  <c r="Y84" i="2"/>
  <c r="O85" i="1" s="1"/>
  <c r="G81" i="2"/>
  <c r="R81" i="2" s="1"/>
  <c r="G79" i="2"/>
  <c r="R79" i="2" s="1"/>
  <c r="M127" i="1" s="1"/>
  <c r="Y71" i="2"/>
  <c r="AF71" i="2" s="1"/>
  <c r="Y69" i="2"/>
  <c r="Y64" i="2"/>
  <c r="X65" i="1" s="1"/>
  <c r="Y62" i="2"/>
  <c r="X63" i="1" s="1"/>
  <c r="G55" i="2"/>
  <c r="R55" i="2" s="1"/>
  <c r="M56" i="1" s="1"/>
  <c r="Y49" i="2"/>
  <c r="O50" i="1" s="1"/>
  <c r="G44" i="2"/>
  <c r="R44" i="2" s="1"/>
  <c r="M45" i="1" s="1"/>
  <c r="Q45" i="1" s="1"/>
  <c r="Y40" i="2"/>
  <c r="X41" i="1" s="1"/>
  <c r="G37" i="2"/>
  <c r="R37" i="2" s="1"/>
  <c r="AF37" i="2" s="1"/>
  <c r="G33" i="2"/>
  <c r="R33" i="2" s="1"/>
  <c r="M34" i="1" s="1"/>
  <c r="Y29" i="2"/>
  <c r="X30" i="1" s="1"/>
  <c r="G26" i="2"/>
  <c r="R26" i="2" s="1"/>
  <c r="AF26" i="2" s="1"/>
  <c r="Y22" i="2"/>
  <c r="X23" i="1" s="1"/>
  <c r="V110" i="1"/>
  <c r="G144" i="4"/>
  <c r="M125" i="4"/>
  <c r="K125" i="4"/>
  <c r="I125" i="4"/>
  <c r="O130" i="1"/>
  <c r="X130" i="1"/>
  <c r="X68" i="1"/>
  <c r="X115" i="1"/>
  <c r="O115" i="1"/>
  <c r="G53" i="2"/>
  <c r="R53" i="2" s="1"/>
  <c r="M54" i="1" s="1"/>
  <c r="G51" i="2"/>
  <c r="R51" i="2" s="1"/>
  <c r="M52" i="1" s="1"/>
  <c r="M123" i="4"/>
  <c r="K123" i="4"/>
  <c r="I123" i="4"/>
  <c r="I118" i="4"/>
  <c r="M118" i="4"/>
  <c r="K118" i="4"/>
  <c r="M111" i="4"/>
  <c r="I111" i="4"/>
  <c r="K111" i="4"/>
  <c r="V71" i="1"/>
  <c r="I102" i="4"/>
  <c r="M102" i="4"/>
  <c r="K102" i="4"/>
  <c r="V53" i="1"/>
  <c r="AF47" i="2"/>
  <c r="V37" i="1"/>
  <c r="X107" i="1"/>
  <c r="X83" i="1"/>
  <c r="G160" i="2"/>
  <c r="R160" i="2" s="1"/>
  <c r="G111" i="2"/>
  <c r="R111" i="2" s="1"/>
  <c r="M159" i="1" s="1"/>
  <c r="Y107" i="2"/>
  <c r="G97" i="2"/>
  <c r="R97" i="2" s="1"/>
  <c r="M145" i="1" s="1"/>
  <c r="Y89" i="2"/>
  <c r="G84" i="2"/>
  <c r="R84" i="2" s="1"/>
  <c r="M132" i="1" s="1"/>
  <c r="Y80" i="2"/>
  <c r="Y78" i="2"/>
  <c r="Y43" i="2"/>
  <c r="X44" i="1" s="1"/>
  <c r="G40" i="2"/>
  <c r="R40" i="2" s="1"/>
  <c r="M41" i="1" s="1"/>
  <c r="Y36" i="2"/>
  <c r="X37" i="1" s="1"/>
  <c r="Y25" i="2"/>
  <c r="X26" i="1" s="1"/>
  <c r="G24" i="2"/>
  <c r="R24" i="2" s="1"/>
  <c r="M25" i="1" s="1"/>
  <c r="G22" i="2"/>
  <c r="R22" i="2" s="1"/>
  <c r="I142" i="4"/>
  <c r="M142" i="4"/>
  <c r="K142" i="4"/>
  <c r="M113" i="4"/>
  <c r="K113" i="4"/>
  <c r="I113" i="4"/>
  <c r="Y45" i="2"/>
  <c r="X46" i="1" s="1"/>
  <c r="Y38" i="2"/>
  <c r="X39" i="1" s="1"/>
  <c r="G25" i="4"/>
  <c r="K25" i="4" s="1"/>
  <c r="G97" i="4"/>
  <c r="I97" i="4" s="1"/>
  <c r="G81" i="4"/>
  <c r="K81" i="4" s="1"/>
  <c r="G66" i="4"/>
  <c r="I66" i="4" s="1"/>
  <c r="M135" i="4"/>
  <c r="K135" i="4"/>
  <c r="I135" i="4"/>
  <c r="M133" i="4"/>
  <c r="I133" i="4"/>
  <c r="K133" i="4"/>
  <c r="I130" i="4"/>
  <c r="K130" i="4"/>
  <c r="M130" i="4"/>
  <c r="O83" i="1"/>
  <c r="G96" i="4"/>
  <c r="I96" i="4" s="1"/>
  <c r="G88" i="4"/>
  <c r="M88" i="4" s="1"/>
  <c r="G80" i="4"/>
  <c r="K80" i="4" s="1"/>
  <c r="K65" i="4"/>
  <c r="M147" i="4"/>
  <c r="I147" i="4"/>
  <c r="K147" i="4"/>
  <c r="V104" i="1"/>
  <c r="G138" i="4"/>
  <c r="M121" i="4"/>
  <c r="K121" i="4"/>
  <c r="I121" i="4"/>
  <c r="M116" i="4"/>
  <c r="K116" i="4"/>
  <c r="I116" i="4"/>
  <c r="M109" i="4"/>
  <c r="I109" i="4"/>
  <c r="K109" i="4"/>
  <c r="X28" i="1"/>
  <c r="G109" i="2"/>
  <c r="R109" i="2" s="1"/>
  <c r="M157" i="1" s="1"/>
  <c r="Q157" i="1" s="1"/>
  <c r="Y105" i="2"/>
  <c r="X106" i="1" s="1"/>
  <c r="Y103" i="2"/>
  <c r="G102" i="2"/>
  <c r="R102" i="2" s="1"/>
  <c r="AF102" i="2" s="1"/>
  <c r="G100" i="2"/>
  <c r="R100" i="2" s="1"/>
  <c r="M148" i="1" s="1"/>
  <c r="Y98" i="2"/>
  <c r="G95" i="2"/>
  <c r="R95" i="2" s="1"/>
  <c r="M143" i="1" s="1"/>
  <c r="G93" i="2"/>
  <c r="R93" i="2" s="1"/>
  <c r="M141" i="1" s="1"/>
  <c r="Q141" i="1" s="1"/>
  <c r="G91" i="2"/>
  <c r="R91" i="2" s="1"/>
  <c r="M139" i="1" s="1"/>
  <c r="Y87" i="2"/>
  <c r="O88" i="1" s="1"/>
  <c r="Y85" i="2"/>
  <c r="O86" i="1" s="1"/>
  <c r="G82" i="2"/>
  <c r="R82" i="2" s="1"/>
  <c r="M130" i="1" s="1"/>
  <c r="Y76" i="2"/>
  <c r="Y74" i="2"/>
  <c r="Y72" i="2"/>
  <c r="X73" i="1" s="1"/>
  <c r="G69" i="2"/>
  <c r="R69" i="2" s="1"/>
  <c r="M117" i="1" s="1"/>
  <c r="Y65" i="2"/>
  <c r="X66" i="1" s="1"/>
  <c r="Y58" i="2"/>
  <c r="X59" i="1" s="1"/>
  <c r="Y52" i="2"/>
  <c r="X53" i="1" s="1"/>
  <c r="Y50" i="2"/>
  <c r="X51" i="1" s="1"/>
  <c r="Y41" i="2"/>
  <c r="X42" i="1" s="1"/>
  <c r="Y30" i="2"/>
  <c r="O31" i="1" s="1"/>
  <c r="M145" i="4"/>
  <c r="K145" i="4"/>
  <c r="I145" i="4"/>
  <c r="I126" i="4"/>
  <c r="M126" i="4"/>
  <c r="K126" i="4"/>
  <c r="Y110" i="2"/>
  <c r="Y96" i="2"/>
  <c r="G78" i="4"/>
  <c r="I78" i="4" s="1"/>
  <c r="M143" i="4"/>
  <c r="I143" i="4"/>
  <c r="K143" i="4"/>
  <c r="M141" i="4"/>
  <c r="K141" i="4"/>
  <c r="I141" i="4"/>
  <c r="V96" i="1"/>
  <c r="V93" i="1"/>
  <c r="V91" i="1"/>
  <c r="M119" i="4"/>
  <c r="I119" i="4"/>
  <c r="K119" i="4"/>
  <c r="V79" i="1"/>
  <c r="M107" i="4"/>
  <c r="I107" i="4"/>
  <c r="K107" i="4"/>
  <c r="M105" i="4"/>
  <c r="I105" i="4"/>
  <c r="K105" i="4"/>
  <c r="M103" i="4"/>
  <c r="K103" i="4"/>
  <c r="I103" i="4"/>
  <c r="V45" i="1"/>
  <c r="V38" i="1"/>
  <c r="X76" i="1"/>
  <c r="X61" i="1"/>
  <c r="X45" i="1"/>
  <c r="Y108" i="2"/>
  <c r="G107" i="2"/>
  <c r="R107" i="2" s="1"/>
  <c r="M155" i="1" s="1"/>
  <c r="G105" i="2"/>
  <c r="R105" i="2" s="1"/>
  <c r="M153" i="1" s="1"/>
  <c r="Y101" i="2"/>
  <c r="G98" i="2"/>
  <c r="R98" i="2" s="1"/>
  <c r="Y94" i="2"/>
  <c r="X95" i="1" s="1"/>
  <c r="Y92" i="2"/>
  <c r="Y90" i="2"/>
  <c r="G89" i="2"/>
  <c r="R89" i="2" s="1"/>
  <c r="M137" i="1" s="1"/>
  <c r="G87" i="2"/>
  <c r="R87" i="2" s="1"/>
  <c r="Y81" i="2"/>
  <c r="X82" i="1" s="1"/>
  <c r="G78" i="2"/>
  <c r="R78" i="2" s="1"/>
  <c r="G76" i="2"/>
  <c r="R76" i="2" s="1"/>
  <c r="M124" i="1" s="1"/>
  <c r="G74" i="2"/>
  <c r="R74" i="2" s="1"/>
  <c r="M122" i="1" s="1"/>
  <c r="Y68" i="2"/>
  <c r="Y61" i="2"/>
  <c r="X62" i="1" s="1"/>
  <c r="G58" i="2"/>
  <c r="R58" i="2" s="1"/>
  <c r="M59" i="1" s="1"/>
  <c r="Y35" i="2"/>
  <c r="X36" i="1" s="1"/>
  <c r="M140" i="4"/>
  <c r="I140" i="4"/>
  <c r="K140" i="4"/>
  <c r="V72" i="1"/>
  <c r="G106" i="4"/>
  <c r="M131" i="4"/>
  <c r="K131" i="4"/>
  <c r="I131" i="4"/>
  <c r="O118" i="1"/>
  <c r="X118" i="1"/>
  <c r="M70" i="4"/>
  <c r="G93" i="4"/>
  <c r="K93" i="4" s="1"/>
  <c r="G84" i="4"/>
  <c r="I84" i="4" s="1"/>
  <c r="K77" i="4"/>
  <c r="K70" i="4"/>
  <c r="G41" i="4"/>
  <c r="I41" i="4" s="1"/>
  <c r="V108" i="1"/>
  <c r="V106" i="1"/>
  <c r="M136" i="4"/>
  <c r="I136" i="4"/>
  <c r="K136" i="4"/>
  <c r="G87" i="4"/>
  <c r="I87" i="4" s="1"/>
  <c r="G134" i="4"/>
  <c r="M129" i="4"/>
  <c r="I129" i="4"/>
  <c r="K129" i="4"/>
  <c r="M124" i="4"/>
  <c r="K124" i="4"/>
  <c r="I124" i="4"/>
  <c r="I122" i="4"/>
  <c r="M122" i="4"/>
  <c r="K122" i="4"/>
  <c r="V84" i="1"/>
  <c r="M112" i="4"/>
  <c r="I112" i="4"/>
  <c r="K112" i="4"/>
  <c r="I110" i="4"/>
  <c r="M110" i="4"/>
  <c r="K110" i="4"/>
  <c r="V68" i="1"/>
  <c r="M101" i="4"/>
  <c r="I101" i="4"/>
  <c r="K101" i="4"/>
  <c r="V54" i="1"/>
  <c r="V43" i="1"/>
  <c r="V31" i="1"/>
  <c r="X94" i="1"/>
  <c r="G112" i="2"/>
  <c r="R112" i="2" s="1"/>
  <c r="AF112" i="2" s="1"/>
  <c r="G110" i="2"/>
  <c r="R110" i="2" s="1"/>
  <c r="AF110" i="2" s="1"/>
  <c r="G103" i="2"/>
  <c r="R103" i="2" s="1"/>
  <c r="M151" i="1" s="1"/>
  <c r="Y99" i="2"/>
  <c r="G96" i="2"/>
  <c r="R96" i="2" s="1"/>
  <c r="AF96" i="2" s="1"/>
  <c r="G85" i="2"/>
  <c r="R85" i="2" s="1"/>
  <c r="M133" i="1" s="1"/>
  <c r="Y79" i="2"/>
  <c r="AF79" i="2" s="1"/>
  <c r="G72" i="2"/>
  <c r="R72" i="2" s="1"/>
  <c r="M120" i="1" s="1"/>
  <c r="G70" i="2"/>
  <c r="R70" i="2" s="1"/>
  <c r="M118" i="1" s="1"/>
  <c r="Y66" i="2"/>
  <c r="I80" i="4"/>
  <c r="M54" i="4"/>
  <c r="M47" i="4"/>
  <c r="K83" i="4"/>
  <c r="K54" i="4"/>
  <c r="K47" i="4"/>
  <c r="M79" i="4"/>
  <c r="M82" i="4"/>
  <c r="K79" i="4"/>
  <c r="K148" i="4"/>
  <c r="M95" i="4"/>
  <c r="K88" i="4"/>
  <c r="M65" i="4"/>
  <c r="I58" i="4"/>
  <c r="I28" i="4"/>
  <c r="I83" i="4"/>
  <c r="M71" i="4"/>
  <c r="M66" i="4"/>
  <c r="M17" i="8"/>
  <c r="AF50" i="2"/>
  <c r="M78" i="4"/>
  <c r="I71" i="4"/>
  <c r="K66" i="4"/>
  <c r="K17" i="8"/>
  <c r="O55" i="12"/>
  <c r="O67" i="19"/>
  <c r="K89" i="4"/>
  <c r="M58" i="4"/>
  <c r="N58" i="4" s="1"/>
  <c r="J71" i="1" s="1"/>
  <c r="K71" i="1" s="1"/>
  <c r="K53" i="4"/>
  <c r="I46" i="4"/>
  <c r="K29" i="4"/>
  <c r="K52" i="4"/>
  <c r="M42" i="4"/>
  <c r="K35" i="4"/>
  <c r="K28" i="4"/>
  <c r="X59" i="12"/>
  <c r="O51" i="25"/>
  <c r="I88" i="4"/>
  <c r="K76" i="4"/>
  <c r="M56" i="4"/>
  <c r="I42" i="4"/>
  <c r="O46" i="19"/>
  <c r="X46" i="19"/>
  <c r="M148" i="4"/>
  <c r="I76" i="4"/>
  <c r="I56" i="4"/>
  <c r="K51" i="4"/>
  <c r="M45" i="11"/>
  <c r="O44" i="19"/>
  <c r="O48" i="19"/>
  <c r="X48" i="19"/>
  <c r="K22" i="8"/>
  <c r="O56" i="12"/>
  <c r="M69" i="11"/>
  <c r="K45" i="11"/>
  <c r="M94" i="4"/>
  <c r="K75" i="4"/>
  <c r="I68" i="4"/>
  <c r="K63" i="4"/>
  <c r="I33" i="4"/>
  <c r="I22" i="8"/>
  <c r="N22" i="8" s="1"/>
  <c r="J35" i="9" s="1"/>
  <c r="K35" i="9" s="1"/>
  <c r="I69" i="11"/>
  <c r="D54" i="37"/>
  <c r="D53" i="38" s="1"/>
  <c r="C53" i="38"/>
  <c r="E55" i="37"/>
  <c r="E54" i="38" s="1"/>
  <c r="U55" i="37"/>
  <c r="B56" i="37"/>
  <c r="B79" i="37" s="1"/>
  <c r="AF57" i="13"/>
  <c r="V51" i="12"/>
  <c r="Y50" i="13"/>
  <c r="I17" i="11"/>
  <c r="M17" i="11"/>
  <c r="Y29" i="13"/>
  <c r="O30" i="12" s="1"/>
  <c r="G14" i="8"/>
  <c r="M14" i="8" s="1"/>
  <c r="Y26" i="10"/>
  <c r="G26" i="10"/>
  <c r="R26" i="10" s="1"/>
  <c r="M37" i="9" s="1"/>
  <c r="AF38" i="2"/>
  <c r="AF63" i="2"/>
  <c r="AF99" i="2"/>
  <c r="AF23" i="2"/>
  <c r="AF39" i="2"/>
  <c r="AF29" i="2"/>
  <c r="AF84" i="2"/>
  <c r="AF27" i="2"/>
  <c r="AF42" i="2"/>
  <c r="AF59" i="2"/>
  <c r="V57" i="1"/>
  <c r="Y56" i="2"/>
  <c r="X57" i="1" s="1"/>
  <c r="G44" i="4"/>
  <c r="AF108" i="2"/>
  <c r="AF34" i="2"/>
  <c r="K37" i="24"/>
  <c r="N37" i="24" s="1"/>
  <c r="J50" i="25" s="1"/>
  <c r="K50" i="25" s="1"/>
  <c r="M39" i="24"/>
  <c r="F50" i="26"/>
  <c r="Y51" i="26"/>
  <c r="X52" i="25" s="1"/>
  <c r="G50" i="26"/>
  <c r="R50" i="26" s="1"/>
  <c r="O70" i="25"/>
  <c r="G51" i="26"/>
  <c r="R51" i="26" s="1"/>
  <c r="K34" i="24"/>
  <c r="I34" i="24"/>
  <c r="G48" i="26"/>
  <c r="R48" i="26" s="1"/>
  <c r="Y45" i="26"/>
  <c r="G38" i="26"/>
  <c r="R38" i="26" s="1"/>
  <c r="Y33" i="26"/>
  <c r="X49" i="25"/>
  <c r="V46" i="25"/>
  <c r="G36" i="24"/>
  <c r="K36" i="24" s="1"/>
  <c r="G26" i="24"/>
  <c r="I26" i="24" s="1"/>
  <c r="G36" i="26"/>
  <c r="R36" i="26" s="1"/>
  <c r="M54" i="25" s="1"/>
  <c r="V42" i="25"/>
  <c r="Y46" i="26"/>
  <c r="Y44" i="26"/>
  <c r="V45" i="25"/>
  <c r="G40" i="26"/>
  <c r="R40" i="26" s="1"/>
  <c r="M58" i="25" s="1"/>
  <c r="G46" i="26"/>
  <c r="R46" i="26" s="1"/>
  <c r="V47" i="25"/>
  <c r="G33" i="26"/>
  <c r="R33" i="26" s="1"/>
  <c r="G45" i="26"/>
  <c r="R45" i="26" s="1"/>
  <c r="G35" i="26"/>
  <c r="R35" i="26" s="1"/>
  <c r="M53" i="25" s="1"/>
  <c r="G44" i="26"/>
  <c r="R44" i="26" s="1"/>
  <c r="AF44" i="26" s="1"/>
  <c r="F46" i="26"/>
  <c r="I35" i="24"/>
  <c r="M34" i="24"/>
  <c r="M35" i="24"/>
  <c r="G47" i="26"/>
  <c r="R47" i="26" s="1"/>
  <c r="M65" i="25" s="1"/>
  <c r="Y47" i="26"/>
  <c r="I21" i="24"/>
  <c r="K21" i="24"/>
  <c r="M21" i="24"/>
  <c r="Y31" i="26"/>
  <c r="O32" i="25" s="1"/>
  <c r="Y34" i="26"/>
  <c r="Y37" i="26"/>
  <c r="Y41" i="26"/>
  <c r="G31" i="26"/>
  <c r="R31" i="26" s="1"/>
  <c r="M32" i="25" s="1"/>
  <c r="G41" i="26"/>
  <c r="R41" i="26" s="1"/>
  <c r="Y40" i="26"/>
  <c r="M29" i="24"/>
  <c r="K29" i="24"/>
  <c r="V44" i="25"/>
  <c r="O43" i="25"/>
  <c r="Y43" i="26"/>
  <c r="G43" i="26"/>
  <c r="R43" i="26" s="1"/>
  <c r="G23" i="24"/>
  <c r="Y35" i="26"/>
  <c r="Y39" i="26"/>
  <c r="G28" i="24"/>
  <c r="G18" i="24"/>
  <c r="I18" i="24" s="1"/>
  <c r="G37" i="26"/>
  <c r="R37" i="26" s="1"/>
  <c r="M55" i="25" s="1"/>
  <c r="G39" i="26"/>
  <c r="R39" i="26" s="1"/>
  <c r="M57" i="25" s="1"/>
  <c r="G27" i="24"/>
  <c r="I27" i="24" s="1"/>
  <c r="G34" i="26"/>
  <c r="R34" i="26" s="1"/>
  <c r="M24" i="24"/>
  <c r="K24" i="24"/>
  <c r="Y32" i="26"/>
  <c r="O33" i="25" s="1"/>
  <c r="G20" i="24"/>
  <c r="K20" i="24" s="1"/>
  <c r="G32" i="26"/>
  <c r="R32" i="26" s="1"/>
  <c r="Y30" i="26"/>
  <c r="G30" i="26"/>
  <c r="R30" i="26" s="1"/>
  <c r="I22" i="24"/>
  <c r="K22" i="24"/>
  <c r="M22" i="24"/>
  <c r="V35" i="25"/>
  <c r="G25" i="24"/>
  <c r="I25" i="24" s="1"/>
  <c r="G19" i="24"/>
  <c r="K13" i="21"/>
  <c r="N13" i="21" s="1"/>
  <c r="Y49" i="20"/>
  <c r="G49" i="20"/>
  <c r="R49" i="20" s="1"/>
  <c r="F43" i="20"/>
  <c r="AF43" i="20" s="1"/>
  <c r="G34" i="18"/>
  <c r="Y46" i="20"/>
  <c r="Y44" i="20"/>
  <c r="M33" i="18"/>
  <c r="G37" i="18"/>
  <c r="I37" i="18" s="1"/>
  <c r="K33" i="18"/>
  <c r="I36" i="18"/>
  <c r="G44" i="20"/>
  <c r="R44" i="20" s="1"/>
  <c r="M35" i="18"/>
  <c r="N35" i="18" s="1"/>
  <c r="J48" i="19" s="1"/>
  <c r="K48" i="19" s="1"/>
  <c r="I32" i="18"/>
  <c r="M36" i="18"/>
  <c r="M30" i="18"/>
  <c r="K30" i="18"/>
  <c r="M32" i="18"/>
  <c r="AF42" i="20"/>
  <c r="AF45" i="20"/>
  <c r="AF47" i="20"/>
  <c r="G31" i="20"/>
  <c r="R31" i="20" s="1"/>
  <c r="M32" i="19" s="1"/>
  <c r="M19" i="18"/>
  <c r="K19" i="18"/>
  <c r="M42" i="11"/>
  <c r="K42" i="11"/>
  <c r="M44" i="11"/>
  <c r="O58" i="12"/>
  <c r="F55" i="13"/>
  <c r="Y81" i="13"/>
  <c r="X60" i="12"/>
  <c r="Y56" i="13"/>
  <c r="X57" i="12" s="1"/>
  <c r="AF59" i="13"/>
  <c r="G56" i="13"/>
  <c r="R56" i="13" s="1"/>
  <c r="M78" i="12" s="1"/>
  <c r="AF54" i="13"/>
  <c r="G33" i="11"/>
  <c r="I33" i="11" s="1"/>
  <c r="G32" i="11"/>
  <c r="I32" i="11" s="1"/>
  <c r="G29" i="11"/>
  <c r="M29" i="11" s="1"/>
  <c r="G28" i="11"/>
  <c r="I28" i="11" s="1"/>
  <c r="Y51" i="13"/>
  <c r="Y41" i="13"/>
  <c r="V39" i="12"/>
  <c r="X51" i="12"/>
  <c r="G53" i="13"/>
  <c r="R53" i="13" s="1"/>
  <c r="Y45" i="13"/>
  <c r="Y37" i="13"/>
  <c r="O38" i="12" s="1"/>
  <c r="V46" i="12"/>
  <c r="G51" i="13"/>
  <c r="R51" i="13" s="1"/>
  <c r="G21" i="11"/>
  <c r="I21" i="11" s="1"/>
  <c r="V49" i="12"/>
  <c r="G40" i="11"/>
  <c r="K40" i="11" s="1"/>
  <c r="Y52" i="13"/>
  <c r="K22" i="11"/>
  <c r="K39" i="11"/>
  <c r="O54" i="12"/>
  <c r="O40" i="12"/>
  <c r="X32" i="12"/>
  <c r="X44" i="12"/>
  <c r="X41" i="12"/>
  <c r="G30" i="13"/>
  <c r="R30" i="13" s="1"/>
  <c r="M31" i="12" s="1"/>
  <c r="Y35" i="13"/>
  <c r="O36" i="12" s="1"/>
  <c r="Q36" i="12" s="1"/>
  <c r="X27" i="12"/>
  <c r="G40" i="13"/>
  <c r="R40" i="13" s="1"/>
  <c r="G28" i="13"/>
  <c r="R28" i="13" s="1"/>
  <c r="M29" i="12" s="1"/>
  <c r="Q29" i="12" s="1"/>
  <c r="Y25" i="13"/>
  <c r="O26" i="12" s="1"/>
  <c r="G42" i="13"/>
  <c r="R42" i="13" s="1"/>
  <c r="M53" i="12"/>
  <c r="G39" i="13"/>
  <c r="R39" i="13" s="1"/>
  <c r="G27" i="13"/>
  <c r="R27" i="13" s="1"/>
  <c r="M28" i="12" s="1"/>
  <c r="Y49" i="13"/>
  <c r="Y27" i="13"/>
  <c r="O28" i="12" s="1"/>
  <c r="G15" i="11"/>
  <c r="K15" i="11" s="1"/>
  <c r="V48" i="12"/>
  <c r="V34" i="12"/>
  <c r="X29" i="12"/>
  <c r="G25" i="11"/>
  <c r="I25" i="11" s="1"/>
  <c r="K14" i="11"/>
  <c r="X48" i="12"/>
  <c r="G49" i="13"/>
  <c r="R49" i="13" s="1"/>
  <c r="G37" i="13"/>
  <c r="R37" i="13" s="1"/>
  <c r="M38" i="12" s="1"/>
  <c r="G25" i="13"/>
  <c r="R25" i="13" s="1"/>
  <c r="M26" i="12" s="1"/>
  <c r="G37" i="11"/>
  <c r="I37" i="11" s="1"/>
  <c r="V26" i="12"/>
  <c r="G23" i="11"/>
  <c r="M23" i="11" s="1"/>
  <c r="V45" i="12"/>
  <c r="V36" i="12"/>
  <c r="X34" i="12"/>
  <c r="Y44" i="13"/>
  <c r="G34" i="11"/>
  <c r="M34" i="11" s="1"/>
  <c r="X33" i="12"/>
  <c r="G34" i="13"/>
  <c r="R34" i="13" s="1"/>
  <c r="M35" i="12" s="1"/>
  <c r="K38" i="11"/>
  <c r="Q27" i="12"/>
  <c r="K35" i="11"/>
  <c r="I35" i="11"/>
  <c r="I27" i="11"/>
  <c r="K26" i="11"/>
  <c r="K17" i="11"/>
  <c r="Q33" i="12"/>
  <c r="AF32" i="13"/>
  <c r="I16" i="11"/>
  <c r="K16" i="11"/>
  <c r="M16" i="11"/>
  <c r="Q32" i="12"/>
  <c r="AF33" i="13"/>
  <c r="Q34" i="12"/>
  <c r="R36" i="13"/>
  <c r="M37" i="12" s="1"/>
  <c r="Y42" i="13"/>
  <c r="I22" i="11"/>
  <c r="N22" i="11" s="1"/>
  <c r="J35" i="12" s="1"/>
  <c r="K35" i="12" s="1"/>
  <c r="G18" i="11"/>
  <c r="AF43" i="13"/>
  <c r="AF31" i="13"/>
  <c r="V47" i="12"/>
  <c r="V35" i="12"/>
  <c r="V29" i="12"/>
  <c r="Y46" i="13"/>
  <c r="Y30" i="13"/>
  <c r="F41" i="13"/>
  <c r="F29" i="13"/>
  <c r="M33" i="11"/>
  <c r="G30" i="11"/>
  <c r="K21" i="11"/>
  <c r="F40" i="13"/>
  <c r="F28" i="13"/>
  <c r="K33" i="11"/>
  <c r="Y34" i="13"/>
  <c r="O35" i="12" s="1"/>
  <c r="F39" i="13"/>
  <c r="F27" i="13"/>
  <c r="Y48" i="13"/>
  <c r="AF26" i="13"/>
  <c r="G24" i="11"/>
  <c r="I24" i="11" s="1"/>
  <c r="G36" i="11"/>
  <c r="I36" i="11" s="1"/>
  <c r="M19" i="11"/>
  <c r="Y36" i="13"/>
  <c r="O37" i="12" s="1"/>
  <c r="M31" i="11"/>
  <c r="N31" i="11" s="1"/>
  <c r="I19" i="11"/>
  <c r="I13" i="11"/>
  <c r="M13" i="11"/>
  <c r="M38" i="11"/>
  <c r="M26" i="11"/>
  <c r="M14" i="11"/>
  <c r="M20" i="11"/>
  <c r="K13" i="11"/>
  <c r="K32" i="11"/>
  <c r="M27" i="11"/>
  <c r="K20" i="11"/>
  <c r="AF47" i="13"/>
  <c r="R46" i="10"/>
  <c r="AF46" i="10" s="1"/>
  <c r="Y35" i="10"/>
  <c r="R34" i="10"/>
  <c r="C21" i="10"/>
  <c r="R33" i="10"/>
  <c r="D25" i="9"/>
  <c r="D24" i="10" s="1"/>
  <c r="AF30" i="10"/>
  <c r="AF31" i="10"/>
  <c r="O22" i="9"/>
  <c r="I19" i="8"/>
  <c r="I13" i="8"/>
  <c r="M13" i="8"/>
  <c r="K13" i="8"/>
  <c r="I12" i="8"/>
  <c r="K12" i="8"/>
  <c r="M12" i="8"/>
  <c r="M18" i="8"/>
  <c r="I18" i="8"/>
  <c r="K18" i="8"/>
  <c r="G20" i="8"/>
  <c r="M15" i="8"/>
  <c r="K15" i="8"/>
  <c r="M21" i="8"/>
  <c r="M34" i="8"/>
  <c r="K21" i="8"/>
  <c r="M16" i="8"/>
  <c r="K9" i="8"/>
  <c r="N9" i="8" s="1"/>
  <c r="J22" i="9" s="1"/>
  <c r="K22" i="9" s="1"/>
  <c r="M23" i="8"/>
  <c r="K16" i="8"/>
  <c r="M11" i="8"/>
  <c r="AF106" i="2"/>
  <c r="AF88" i="2"/>
  <c r="AF64" i="2"/>
  <c r="AF56" i="2"/>
  <c r="AF32" i="2"/>
  <c r="AF67" i="2"/>
  <c r="O109" i="1"/>
  <c r="AF36" i="2"/>
  <c r="X102" i="1"/>
  <c r="O111" i="1"/>
  <c r="K67" i="4"/>
  <c r="G31" i="4"/>
  <c r="M92" i="4"/>
  <c r="M89" i="4"/>
  <c r="I67" i="4"/>
  <c r="K46" i="4"/>
  <c r="N56" i="4"/>
  <c r="J69" i="1" s="1"/>
  <c r="K69" i="1" s="1"/>
  <c r="G45" i="4"/>
  <c r="M45" i="4" s="1"/>
  <c r="V86" i="1"/>
  <c r="V44" i="1"/>
  <c r="O44" i="1"/>
  <c r="N70" i="4"/>
  <c r="J83" i="1" s="1"/>
  <c r="K83" i="1" s="1"/>
  <c r="V28" i="1"/>
  <c r="N79" i="4"/>
  <c r="J92" i="1" s="1"/>
  <c r="K92" i="1" s="1"/>
  <c r="G91" i="4"/>
  <c r="I59" i="4"/>
  <c r="K59" i="4"/>
  <c r="G49" i="4"/>
  <c r="V100" i="1"/>
  <c r="V74" i="1"/>
  <c r="V32" i="1"/>
  <c r="M55" i="4"/>
  <c r="I55" i="4"/>
  <c r="K55" i="4"/>
  <c r="M100" i="1"/>
  <c r="K94" i="4"/>
  <c r="K78" i="4"/>
  <c r="G69" i="4"/>
  <c r="M69" i="4" s="1"/>
  <c r="I34" i="4"/>
  <c r="K34" i="4"/>
  <c r="M34" i="4"/>
  <c r="G99" i="4"/>
  <c r="M90" i="4"/>
  <c r="G37" i="4"/>
  <c r="V88" i="1"/>
  <c r="V46" i="1"/>
  <c r="K90" i="4"/>
  <c r="G73" i="4"/>
  <c r="K30" i="4"/>
  <c r="M30" i="4"/>
  <c r="V92" i="1"/>
  <c r="G43" i="4"/>
  <c r="V50" i="1"/>
  <c r="G57" i="4"/>
  <c r="G61" i="4"/>
  <c r="O94" i="1"/>
  <c r="M70" i="1"/>
  <c r="M97" i="4"/>
  <c r="M80" i="4"/>
  <c r="N80" i="4" s="1"/>
  <c r="J93" i="1" s="1"/>
  <c r="K93" i="1" s="1"/>
  <c r="M77" i="4"/>
  <c r="M64" i="4"/>
  <c r="N64" i="4" s="1"/>
  <c r="J77" i="1" s="1"/>
  <c r="K77" i="1" s="1"/>
  <c r="K64" i="4"/>
  <c r="M29" i="4"/>
  <c r="V76" i="1"/>
  <c r="G39" i="4"/>
  <c r="M39" i="4" s="1"/>
  <c r="V34" i="1"/>
  <c r="M53" i="4"/>
  <c r="I44" i="4"/>
  <c r="I52" i="4"/>
  <c r="N52" i="4" s="1"/>
  <c r="J65" i="1" s="1"/>
  <c r="K65" i="1" s="1"/>
  <c r="K85" i="4"/>
  <c r="M75" i="4"/>
  <c r="M63" i="4"/>
  <c r="N63" i="4" s="1"/>
  <c r="J76" i="1" s="1"/>
  <c r="K76" i="1" s="1"/>
  <c r="M51" i="4"/>
  <c r="M84" i="4"/>
  <c r="K72" i="4"/>
  <c r="K48" i="4"/>
  <c r="K36" i="4"/>
  <c r="M72" i="4"/>
  <c r="M48" i="4"/>
  <c r="M36" i="4"/>
  <c r="M98" i="4"/>
  <c r="M86" i="4"/>
  <c r="M74" i="4"/>
  <c r="M62" i="4"/>
  <c r="M50" i="4"/>
  <c r="M38" i="4"/>
  <c r="K98" i="4"/>
  <c r="K86" i="4"/>
  <c r="K74" i="4"/>
  <c r="K62" i="4"/>
  <c r="K50" i="4"/>
  <c r="K38" i="4"/>
  <c r="M33" i="4"/>
  <c r="M109" i="1"/>
  <c r="O106" i="1"/>
  <c r="O103" i="1"/>
  <c r="O108" i="1"/>
  <c r="M106" i="1"/>
  <c r="M98" i="1"/>
  <c r="O110" i="1"/>
  <c r="O107" i="1"/>
  <c r="O101" i="1"/>
  <c r="O98" i="1"/>
  <c r="O100" i="1"/>
  <c r="O96" i="1"/>
  <c r="M96" i="1"/>
  <c r="G21" i="4"/>
  <c r="I21" i="4" s="1"/>
  <c r="O97" i="1"/>
  <c r="M80" i="1"/>
  <c r="O90" i="1"/>
  <c r="O92" i="1"/>
  <c r="G27" i="4"/>
  <c r="I27" i="4" s="1"/>
  <c r="G22" i="4"/>
  <c r="I22" i="4" s="1"/>
  <c r="M85" i="1"/>
  <c r="O82" i="1"/>
  <c r="M81" i="1"/>
  <c r="O89" i="1"/>
  <c r="M89" i="1"/>
  <c r="I13" i="4"/>
  <c r="M13" i="4"/>
  <c r="K24" i="4"/>
  <c r="I24" i="4"/>
  <c r="M25" i="4"/>
  <c r="I23" i="4"/>
  <c r="K23" i="4"/>
  <c r="M23" i="4"/>
  <c r="G26" i="4"/>
  <c r="I26" i="4" s="1"/>
  <c r="M78" i="1"/>
  <c r="G15" i="4"/>
  <c r="G20" i="4"/>
  <c r="G14" i="4"/>
  <c r="I14" i="4" s="1"/>
  <c r="O74" i="1"/>
  <c r="O72" i="1"/>
  <c r="G19" i="4"/>
  <c r="M72" i="1"/>
  <c r="G18" i="4"/>
  <c r="I18" i="4" s="1"/>
  <c r="G11" i="4"/>
  <c r="K11" i="4" s="1"/>
  <c r="O79" i="1"/>
  <c r="G16" i="4"/>
  <c r="K16" i="4" s="1"/>
  <c r="G10" i="4"/>
  <c r="I10" i="4" s="1"/>
  <c r="K13" i="4"/>
  <c r="M17" i="4"/>
  <c r="M24" i="4"/>
  <c r="K17" i="4"/>
  <c r="O84" i="1"/>
  <c r="M60" i="1"/>
  <c r="O33" i="1"/>
  <c r="Q33" i="1" s="1"/>
  <c r="O67" i="1"/>
  <c r="M42" i="1"/>
  <c r="O73" i="1"/>
  <c r="M63" i="1"/>
  <c r="M53" i="1"/>
  <c r="O39" i="1"/>
  <c r="M39" i="1"/>
  <c r="O34" i="1"/>
  <c r="Q34" i="1" s="1"/>
  <c r="O41" i="1"/>
  <c r="M37" i="1"/>
  <c r="O28" i="1"/>
  <c r="Q28" i="1" s="1"/>
  <c r="M66" i="1"/>
  <c r="O70" i="1"/>
  <c r="O71" i="1"/>
  <c r="M50" i="1"/>
  <c r="M26" i="1"/>
  <c r="O25" i="1"/>
  <c r="M65" i="1"/>
  <c r="O54" i="1"/>
  <c r="M44" i="1"/>
  <c r="M36" i="1"/>
  <c r="M57" i="1"/>
  <c r="O46" i="1"/>
  <c r="O38" i="1"/>
  <c r="O30" i="1"/>
  <c r="O26" i="1"/>
  <c r="O49" i="1"/>
  <c r="M31" i="1"/>
  <c r="O43" i="1"/>
  <c r="O35" i="1"/>
  <c r="O27" i="1"/>
  <c r="O48" i="1"/>
  <c r="Q48" i="1" s="1"/>
  <c r="M30" i="1"/>
  <c r="M64" i="1"/>
  <c r="O40" i="1"/>
  <c r="Q40" i="1" s="1"/>
  <c r="O32" i="1"/>
  <c r="O24" i="1"/>
  <c r="Q24" i="1" s="1"/>
  <c r="M43" i="1"/>
  <c r="O37" i="1"/>
  <c r="M35" i="1"/>
  <c r="O29" i="1"/>
  <c r="D78" i="37" l="1"/>
  <c r="D77" i="38" s="1"/>
  <c r="C77" i="38"/>
  <c r="C79" i="37"/>
  <c r="U79" i="37"/>
  <c r="E79" i="37"/>
  <c r="E78" i="38" s="1"/>
  <c r="AF69" i="26"/>
  <c r="Q70" i="25"/>
  <c r="N38" i="24"/>
  <c r="AF36" i="26"/>
  <c r="K33" i="24"/>
  <c r="M33" i="24"/>
  <c r="K57" i="24"/>
  <c r="M31" i="24"/>
  <c r="I31" i="24"/>
  <c r="N55" i="24"/>
  <c r="J68" i="25" s="1"/>
  <c r="K68" i="25" s="1"/>
  <c r="O56" i="25"/>
  <c r="X56" i="25"/>
  <c r="M42" i="25"/>
  <c r="M59" i="25"/>
  <c r="X50" i="25"/>
  <c r="O67" i="25"/>
  <c r="Q67" i="25" s="1"/>
  <c r="X67" i="25"/>
  <c r="O50" i="25"/>
  <c r="Q50" i="25" s="1"/>
  <c r="R50" i="25" s="1"/>
  <c r="S50" i="25" s="1"/>
  <c r="T50" i="25" s="1"/>
  <c r="O54" i="25"/>
  <c r="X54" i="25"/>
  <c r="M42" i="24"/>
  <c r="K42" i="24"/>
  <c r="I42" i="24"/>
  <c r="O58" i="25"/>
  <c r="Q58" i="25" s="1"/>
  <c r="X58" i="25"/>
  <c r="K32" i="24"/>
  <c r="O48" i="25"/>
  <c r="X65" i="25"/>
  <c r="O65" i="25"/>
  <c r="Q65" i="25" s="1"/>
  <c r="M52" i="25"/>
  <c r="M69" i="25"/>
  <c r="K52" i="24"/>
  <c r="M52" i="24"/>
  <c r="I52" i="24"/>
  <c r="M43" i="25"/>
  <c r="Q43" i="25" s="1"/>
  <c r="M60" i="25"/>
  <c r="Q60" i="25" s="1"/>
  <c r="N54" i="24"/>
  <c r="J67" i="25" s="1"/>
  <c r="K67" i="25" s="1"/>
  <c r="M53" i="24"/>
  <c r="K53" i="24"/>
  <c r="I53" i="24"/>
  <c r="O53" i="25"/>
  <c r="Q53" i="25" s="1"/>
  <c r="X53" i="25"/>
  <c r="M50" i="24"/>
  <c r="K50" i="24"/>
  <c r="I50" i="24"/>
  <c r="M44" i="25"/>
  <c r="M61" i="25"/>
  <c r="M32" i="24"/>
  <c r="X42" i="25"/>
  <c r="O59" i="25"/>
  <c r="X59" i="25"/>
  <c r="M45" i="25"/>
  <c r="M62" i="25"/>
  <c r="X45" i="25"/>
  <c r="O62" i="25"/>
  <c r="X62" i="25"/>
  <c r="K40" i="24"/>
  <c r="M40" i="24"/>
  <c r="I40" i="24"/>
  <c r="K51" i="24"/>
  <c r="M51" i="24"/>
  <c r="I51" i="24"/>
  <c r="M41" i="24"/>
  <c r="I41" i="24"/>
  <c r="K41" i="24"/>
  <c r="O61" i="25"/>
  <c r="X61" i="25"/>
  <c r="K30" i="24"/>
  <c r="O55" i="25"/>
  <c r="Q55" i="25" s="1"/>
  <c r="X55" i="25"/>
  <c r="O47" i="25"/>
  <c r="O64" i="25"/>
  <c r="X64" i="25"/>
  <c r="AF38" i="26"/>
  <c r="M56" i="25"/>
  <c r="K44" i="24"/>
  <c r="M44" i="24"/>
  <c r="I44" i="24"/>
  <c r="M30" i="24"/>
  <c r="M46" i="25"/>
  <c r="M63" i="25"/>
  <c r="X46" i="25"/>
  <c r="O63" i="25"/>
  <c r="X63" i="25"/>
  <c r="M51" i="25"/>
  <c r="Q51" i="25" s="1"/>
  <c r="M68" i="25"/>
  <c r="Q68" i="25" s="1"/>
  <c r="M45" i="24"/>
  <c r="I45" i="24"/>
  <c r="K45" i="24"/>
  <c r="I46" i="24"/>
  <c r="K46" i="24"/>
  <c r="M46" i="24"/>
  <c r="Q54" i="25"/>
  <c r="M49" i="25"/>
  <c r="Q49" i="25" s="1"/>
  <c r="M66" i="25"/>
  <c r="Q66" i="25" s="1"/>
  <c r="O52" i="25"/>
  <c r="O69" i="25"/>
  <c r="X69" i="25"/>
  <c r="N56" i="24"/>
  <c r="J69" i="25" s="1"/>
  <c r="K69" i="25" s="1"/>
  <c r="K48" i="24"/>
  <c r="M48" i="24"/>
  <c r="I48" i="24"/>
  <c r="M47" i="25"/>
  <c r="M64" i="25"/>
  <c r="K39" i="24"/>
  <c r="I39" i="24"/>
  <c r="X57" i="25"/>
  <c r="O57" i="25"/>
  <c r="Q57" i="25" s="1"/>
  <c r="N34" i="24"/>
  <c r="M57" i="24"/>
  <c r="N57" i="24" s="1"/>
  <c r="K47" i="24"/>
  <c r="M47" i="24"/>
  <c r="I47" i="24"/>
  <c r="M49" i="24"/>
  <c r="K49" i="24"/>
  <c r="I49" i="24"/>
  <c r="K43" i="24"/>
  <c r="M43" i="24"/>
  <c r="I43" i="24"/>
  <c r="M26" i="24"/>
  <c r="M36" i="22"/>
  <c r="M26" i="22"/>
  <c r="N23" i="21"/>
  <c r="J36" i="22" s="1"/>
  <c r="K36" i="22" s="1"/>
  <c r="X26" i="22"/>
  <c r="O36" i="22"/>
  <c r="X36" i="22"/>
  <c r="O26" i="22"/>
  <c r="Q43" i="19"/>
  <c r="M60" i="19"/>
  <c r="Q60" i="19" s="1"/>
  <c r="Q44" i="19"/>
  <c r="R44" i="19" s="1"/>
  <c r="S44" i="19" s="1"/>
  <c r="T44" i="19" s="1"/>
  <c r="Q46" i="19"/>
  <c r="AF48" i="20"/>
  <c r="X32" i="19"/>
  <c r="Q59" i="19"/>
  <c r="N31" i="18"/>
  <c r="J44" i="19" s="1"/>
  <c r="K44" i="19" s="1"/>
  <c r="Q49" i="19"/>
  <c r="Q32" i="19"/>
  <c r="AF66" i="20"/>
  <c r="Q48" i="19"/>
  <c r="Q67" i="19"/>
  <c r="AF46" i="20"/>
  <c r="M46" i="18"/>
  <c r="K46" i="18"/>
  <c r="I46" i="18"/>
  <c r="AF44" i="20"/>
  <c r="O61" i="19"/>
  <c r="X61" i="19"/>
  <c r="K53" i="18"/>
  <c r="M53" i="18"/>
  <c r="I53" i="18"/>
  <c r="M47" i="19"/>
  <c r="M63" i="19"/>
  <c r="X47" i="19"/>
  <c r="O63" i="19"/>
  <c r="X63" i="19"/>
  <c r="K49" i="18"/>
  <c r="M49" i="18"/>
  <c r="I49" i="18"/>
  <c r="O66" i="19"/>
  <c r="X66" i="19"/>
  <c r="I51" i="18"/>
  <c r="M51" i="18"/>
  <c r="K51" i="18"/>
  <c r="M45" i="19"/>
  <c r="M61" i="19"/>
  <c r="I54" i="18"/>
  <c r="M54" i="18"/>
  <c r="K52" i="18"/>
  <c r="M52" i="18"/>
  <c r="I52" i="18"/>
  <c r="K48" i="18"/>
  <c r="M48" i="18"/>
  <c r="I48" i="18"/>
  <c r="X49" i="19"/>
  <c r="O65" i="19"/>
  <c r="Q65" i="19" s="1"/>
  <c r="X65" i="19"/>
  <c r="K47" i="18"/>
  <c r="I47" i="18"/>
  <c r="M47" i="18"/>
  <c r="Q62" i="19"/>
  <c r="Q64" i="19"/>
  <c r="M50" i="19"/>
  <c r="M66" i="19"/>
  <c r="Q66" i="19" s="1"/>
  <c r="M50" i="18"/>
  <c r="I50" i="18"/>
  <c r="K50" i="18"/>
  <c r="Q60" i="12"/>
  <c r="AF55" i="13"/>
  <c r="Q30" i="12"/>
  <c r="M77" i="12"/>
  <c r="Q56" i="12"/>
  <c r="N26" i="11"/>
  <c r="I43" i="11"/>
  <c r="M49" i="12"/>
  <c r="N44" i="11"/>
  <c r="J57" i="12" s="1"/>
  <c r="N17" i="11"/>
  <c r="X38" i="12"/>
  <c r="K47" i="11"/>
  <c r="M57" i="11"/>
  <c r="I57" i="11"/>
  <c r="K57" i="11"/>
  <c r="M42" i="12"/>
  <c r="M63" i="12"/>
  <c r="I67" i="11"/>
  <c r="M67" i="11"/>
  <c r="K67" i="11"/>
  <c r="I51" i="11"/>
  <c r="K51" i="11"/>
  <c r="M51" i="11"/>
  <c r="O43" i="12"/>
  <c r="O64" i="12"/>
  <c r="X64" i="12"/>
  <c r="M43" i="12"/>
  <c r="M64" i="12"/>
  <c r="M39" i="11"/>
  <c r="N39" i="11" s="1"/>
  <c r="O45" i="12"/>
  <c r="O66" i="12"/>
  <c r="X66" i="12"/>
  <c r="Q38" i="12"/>
  <c r="O46" i="12"/>
  <c r="O67" i="12"/>
  <c r="X67" i="12"/>
  <c r="N43" i="11"/>
  <c r="J56" i="12" s="1"/>
  <c r="M47" i="11"/>
  <c r="M59" i="12"/>
  <c r="Q59" i="12" s="1"/>
  <c r="M80" i="12"/>
  <c r="Q80" i="12" s="1"/>
  <c r="N65" i="11"/>
  <c r="J78" i="12" s="1"/>
  <c r="K78" i="12" s="1"/>
  <c r="I55" i="11"/>
  <c r="K55" i="11"/>
  <c r="M55" i="11"/>
  <c r="M50" i="12"/>
  <c r="M71" i="12"/>
  <c r="O53" i="12"/>
  <c r="O74" i="12"/>
  <c r="Q74" i="12" s="1"/>
  <c r="X74" i="12"/>
  <c r="AF53" i="13"/>
  <c r="M75" i="12"/>
  <c r="Q75" i="12" s="1"/>
  <c r="O57" i="12"/>
  <c r="O78" i="12"/>
  <c r="X78" i="12"/>
  <c r="N42" i="11"/>
  <c r="J55" i="12" s="1"/>
  <c r="K55" i="12" s="1"/>
  <c r="M58" i="11"/>
  <c r="I58" i="11"/>
  <c r="K58" i="11"/>
  <c r="M46" i="11"/>
  <c r="K46" i="11"/>
  <c r="M48" i="11"/>
  <c r="I48" i="11"/>
  <c r="K48" i="11"/>
  <c r="M49" i="11"/>
  <c r="K49" i="11"/>
  <c r="I49" i="11"/>
  <c r="M56" i="11"/>
  <c r="K56" i="11"/>
  <c r="I56" i="11"/>
  <c r="N63" i="11"/>
  <c r="J76" i="12" s="1"/>
  <c r="K76" i="12" s="1"/>
  <c r="AF38" i="13"/>
  <c r="O49" i="12"/>
  <c r="Q49" i="12" s="1"/>
  <c r="O70" i="12"/>
  <c r="Q70" i="12" s="1"/>
  <c r="X70" i="12"/>
  <c r="M47" i="12"/>
  <c r="M68" i="12"/>
  <c r="O50" i="12"/>
  <c r="X71" i="12"/>
  <c r="O71" i="12"/>
  <c r="M41" i="12"/>
  <c r="Q41" i="12" s="1"/>
  <c r="M62" i="12"/>
  <c r="Q62" i="12" s="1"/>
  <c r="I41" i="11"/>
  <c r="O51" i="12"/>
  <c r="O72" i="12"/>
  <c r="X72" i="12"/>
  <c r="M55" i="12"/>
  <c r="Q55" i="12" s="1"/>
  <c r="M76" i="12"/>
  <c r="I59" i="11"/>
  <c r="M59" i="11"/>
  <c r="K59" i="11"/>
  <c r="M52" i="11"/>
  <c r="I52" i="11"/>
  <c r="K52" i="11"/>
  <c r="M58" i="12"/>
  <c r="Q58" i="12" s="1"/>
  <c r="M79" i="12"/>
  <c r="Q79" i="12" s="1"/>
  <c r="M48" i="12"/>
  <c r="Q48" i="12" s="1"/>
  <c r="M69" i="12"/>
  <c r="Q69" i="12" s="1"/>
  <c r="Q77" i="12"/>
  <c r="Q78" i="12"/>
  <c r="Q28" i="12"/>
  <c r="K41" i="11"/>
  <c r="M51" i="12"/>
  <c r="M72" i="12"/>
  <c r="M44" i="12"/>
  <c r="M65" i="12"/>
  <c r="M54" i="11"/>
  <c r="I54" i="11"/>
  <c r="K54" i="11"/>
  <c r="M40" i="12"/>
  <c r="M61" i="12"/>
  <c r="Q61" i="12" s="1"/>
  <c r="X39" i="12"/>
  <c r="O42" i="12"/>
  <c r="Q42" i="12" s="1"/>
  <c r="O63" i="12"/>
  <c r="X63" i="12"/>
  <c r="N69" i="11"/>
  <c r="J82" i="12" s="1"/>
  <c r="O44" i="12"/>
  <c r="X65" i="12"/>
  <c r="O65" i="12"/>
  <c r="M53" i="11"/>
  <c r="K53" i="11"/>
  <c r="I53" i="11"/>
  <c r="X55" i="12"/>
  <c r="O76" i="12"/>
  <c r="X76" i="12"/>
  <c r="M46" i="12"/>
  <c r="M67" i="12"/>
  <c r="M61" i="11"/>
  <c r="I61" i="11"/>
  <c r="K61" i="11"/>
  <c r="Q81" i="12"/>
  <c r="M50" i="11"/>
  <c r="I50" i="11"/>
  <c r="K50" i="11"/>
  <c r="O47" i="12"/>
  <c r="O68" i="12"/>
  <c r="X68" i="12"/>
  <c r="M52" i="12"/>
  <c r="M73" i="12"/>
  <c r="O52" i="12"/>
  <c r="X73" i="12"/>
  <c r="O73" i="12"/>
  <c r="N66" i="11"/>
  <c r="J79" i="12" s="1"/>
  <c r="K79" i="12" s="1"/>
  <c r="M68" i="11"/>
  <c r="K68" i="11"/>
  <c r="I68" i="11"/>
  <c r="N64" i="11"/>
  <c r="J77" i="12" s="1"/>
  <c r="K77" i="12" s="1"/>
  <c r="M45" i="12"/>
  <c r="M66" i="12"/>
  <c r="Q66" i="12" s="1"/>
  <c r="M60" i="11"/>
  <c r="K60" i="11"/>
  <c r="I60" i="11"/>
  <c r="M62" i="11"/>
  <c r="I62" i="11"/>
  <c r="K62" i="11"/>
  <c r="N45" i="11"/>
  <c r="J58" i="12" s="1"/>
  <c r="K58" i="12" s="1"/>
  <c r="M21" i="11"/>
  <c r="N21" i="11" s="1"/>
  <c r="M25" i="11"/>
  <c r="AF35" i="10"/>
  <c r="AF21" i="10"/>
  <c r="Q22" i="9"/>
  <c r="R22" i="9" s="1"/>
  <c r="S22" i="9" s="1"/>
  <c r="T22" i="9" s="1"/>
  <c r="X32" i="9"/>
  <c r="I34" i="8"/>
  <c r="N34" i="8" s="1"/>
  <c r="J47" i="9" s="1"/>
  <c r="K47" i="9" s="1"/>
  <c r="M19" i="8"/>
  <c r="N27" i="8"/>
  <c r="J40" i="9" s="1"/>
  <c r="K40" i="9" s="1"/>
  <c r="Q42" i="9"/>
  <c r="AF24" i="10"/>
  <c r="K23" i="8"/>
  <c r="I23" i="8"/>
  <c r="AF27" i="10"/>
  <c r="I11" i="8"/>
  <c r="N17" i="8"/>
  <c r="J30" i="9" s="1"/>
  <c r="K30" i="9" s="1"/>
  <c r="N30" i="8"/>
  <c r="J43" i="9" s="1"/>
  <c r="K43" i="9" s="1"/>
  <c r="B37" i="10"/>
  <c r="B27" i="10"/>
  <c r="AF29" i="10"/>
  <c r="X36" i="9"/>
  <c r="X46" i="9"/>
  <c r="O46" i="9"/>
  <c r="O45" i="9"/>
  <c r="X45" i="9"/>
  <c r="X24" i="9"/>
  <c r="M29" i="8"/>
  <c r="K29" i="8"/>
  <c r="I29" i="8"/>
  <c r="Q41" i="9"/>
  <c r="Y28" i="9"/>
  <c r="Y38" i="9"/>
  <c r="X33" i="9"/>
  <c r="X28" i="9"/>
  <c r="X38" i="9"/>
  <c r="O38" i="9"/>
  <c r="Q38" i="9" s="1"/>
  <c r="O39" i="9"/>
  <c r="X39" i="9"/>
  <c r="C23" i="10"/>
  <c r="M31" i="8"/>
  <c r="I31" i="8"/>
  <c r="K31" i="8"/>
  <c r="X30" i="9"/>
  <c r="O40" i="9"/>
  <c r="Q40" i="9" s="1"/>
  <c r="R40" i="9" s="1"/>
  <c r="X40" i="9"/>
  <c r="I24" i="8"/>
  <c r="M24" i="8"/>
  <c r="K24" i="8"/>
  <c r="I32" i="8"/>
  <c r="M32" i="8"/>
  <c r="K32" i="8"/>
  <c r="N25" i="8"/>
  <c r="J38" i="9" s="1"/>
  <c r="K38" i="9" s="1"/>
  <c r="W28" i="9"/>
  <c r="W38" i="9"/>
  <c r="AF33" i="10"/>
  <c r="M44" i="9"/>
  <c r="Q44" i="9" s="1"/>
  <c r="AF28" i="10"/>
  <c r="N26" i="8"/>
  <c r="J39" i="9" s="1"/>
  <c r="K39" i="9" s="1"/>
  <c r="X35" i="9"/>
  <c r="Q39" i="9"/>
  <c r="I28" i="8"/>
  <c r="M28" i="8"/>
  <c r="K28" i="8"/>
  <c r="AF34" i="10"/>
  <c r="M45" i="9"/>
  <c r="O43" i="9"/>
  <c r="Q43" i="9" s="1"/>
  <c r="X43" i="9"/>
  <c r="X27" i="9"/>
  <c r="O37" i="9"/>
  <c r="Q37" i="9" s="1"/>
  <c r="X37" i="9"/>
  <c r="N33" i="8"/>
  <c r="J46" i="9" s="1"/>
  <c r="K46" i="9" s="1"/>
  <c r="Q46" i="9"/>
  <c r="B26" i="9"/>
  <c r="E25" i="9"/>
  <c r="E24" i="10" s="1"/>
  <c r="U25" i="9"/>
  <c r="B15" i="8"/>
  <c r="B25" i="8"/>
  <c r="C22" i="10"/>
  <c r="Q139" i="1"/>
  <c r="AF66" i="2"/>
  <c r="M74" i="1"/>
  <c r="AF73" i="2"/>
  <c r="AF90" i="2"/>
  <c r="AF92" i="2"/>
  <c r="M91" i="1"/>
  <c r="AF93" i="2"/>
  <c r="M67" i="1"/>
  <c r="Q67" i="1" s="1"/>
  <c r="R67" i="1" s="1"/>
  <c r="S67" i="1" s="1"/>
  <c r="T67" i="1" s="1"/>
  <c r="M68" i="1"/>
  <c r="Q68" i="1" s="1"/>
  <c r="AF111" i="2"/>
  <c r="AF101" i="2"/>
  <c r="M105" i="1"/>
  <c r="Q105" i="1" s="1"/>
  <c r="Q115" i="1"/>
  <c r="M32" i="1"/>
  <c r="M73" i="1"/>
  <c r="AF75" i="2"/>
  <c r="M90" i="1"/>
  <c r="M102" i="1"/>
  <c r="M76" i="1"/>
  <c r="AF80" i="2"/>
  <c r="M86" i="1"/>
  <c r="Q86" i="1" s="1"/>
  <c r="M93" i="1"/>
  <c r="AF86" i="2"/>
  <c r="AF83" i="2"/>
  <c r="M38" i="1"/>
  <c r="M87" i="1"/>
  <c r="M49" i="1"/>
  <c r="Q49" i="1" s="1"/>
  <c r="M84" i="1"/>
  <c r="AF53" i="2"/>
  <c r="M107" i="1"/>
  <c r="AF54" i="2"/>
  <c r="N71" i="4"/>
  <c r="J84" i="1" s="1"/>
  <c r="K84" i="1" s="1"/>
  <c r="N76" i="4"/>
  <c r="J89" i="1" s="1"/>
  <c r="K89" i="1" s="1"/>
  <c r="O59" i="1"/>
  <c r="AF160" i="2"/>
  <c r="AF78" i="2"/>
  <c r="M110" i="1"/>
  <c r="Q110" i="1" s="1"/>
  <c r="K97" i="4"/>
  <c r="AF95" i="2"/>
  <c r="M92" i="1"/>
  <c r="Q92" i="1" s="1"/>
  <c r="R92" i="1" s="1"/>
  <c r="S92" i="1" s="1"/>
  <c r="Q54" i="1"/>
  <c r="O66" i="1"/>
  <c r="O80" i="1"/>
  <c r="AF58" i="2"/>
  <c r="AF89" i="2"/>
  <c r="AF33" i="2"/>
  <c r="X50" i="1"/>
  <c r="Q74" i="1"/>
  <c r="Q50" i="1"/>
  <c r="K84" i="4"/>
  <c r="AF91" i="2"/>
  <c r="M161" i="1"/>
  <c r="N65" i="4"/>
  <c r="J78" i="1" s="1"/>
  <c r="K78" i="1" s="1"/>
  <c r="AF103" i="2"/>
  <c r="Q107" i="1"/>
  <c r="N46" i="4"/>
  <c r="J59" i="1" s="1"/>
  <c r="K59" i="1" s="1"/>
  <c r="AF49" i="2"/>
  <c r="M85" i="4"/>
  <c r="M68" i="4"/>
  <c r="N68" i="4" s="1"/>
  <c r="J81" i="1" s="1"/>
  <c r="K81" i="1" s="1"/>
  <c r="K95" i="4"/>
  <c r="N95" i="4" s="1"/>
  <c r="J108" i="1" s="1"/>
  <c r="K108" i="1" s="1"/>
  <c r="N82" i="4"/>
  <c r="J95" i="1" s="1"/>
  <c r="K95" i="1" s="1"/>
  <c r="O36" i="1"/>
  <c r="M69" i="1"/>
  <c r="AF52" i="2"/>
  <c r="N54" i="4"/>
  <c r="J67" i="1" s="1"/>
  <c r="K67" i="1" s="1"/>
  <c r="N111" i="4"/>
  <c r="J124" i="1" s="1"/>
  <c r="K124" i="1" s="1"/>
  <c r="AF51" i="2"/>
  <c r="N137" i="4"/>
  <c r="J150" i="1" s="1"/>
  <c r="K150" i="1" s="1"/>
  <c r="O113" i="1"/>
  <c r="AF100" i="2"/>
  <c r="Q73" i="1"/>
  <c r="M29" i="1"/>
  <c r="N72" i="4"/>
  <c r="J85" i="1" s="1"/>
  <c r="K85" i="1" s="1"/>
  <c r="M60" i="4"/>
  <c r="O63" i="1"/>
  <c r="N83" i="4"/>
  <c r="J96" i="1" s="1"/>
  <c r="K96" i="1" s="1"/>
  <c r="N148" i="4"/>
  <c r="J161" i="1" s="1"/>
  <c r="K161" i="1" s="1"/>
  <c r="N105" i="4"/>
  <c r="J118" i="1" s="1"/>
  <c r="K118" i="1" s="1"/>
  <c r="N143" i="4"/>
  <c r="J156" i="1" s="1"/>
  <c r="K156" i="1" s="1"/>
  <c r="N145" i="4"/>
  <c r="J158" i="1" s="1"/>
  <c r="K158" i="1" s="1"/>
  <c r="AF87" i="2"/>
  <c r="Q41" i="1"/>
  <c r="R41" i="1" s="1"/>
  <c r="Q46" i="1"/>
  <c r="N108" i="4"/>
  <c r="J121" i="1" s="1"/>
  <c r="K121" i="1" s="1"/>
  <c r="M100" i="4"/>
  <c r="I100" i="4"/>
  <c r="K100" i="4"/>
  <c r="M95" i="1"/>
  <c r="K96" i="4"/>
  <c r="N29" i="4"/>
  <c r="J42" i="1" s="1"/>
  <c r="K42" i="1" s="1"/>
  <c r="M71" i="1"/>
  <c r="Q71" i="1" s="1"/>
  <c r="R71" i="1" s="1"/>
  <c r="O104" i="1"/>
  <c r="N90" i="4"/>
  <c r="J103" i="1" s="1"/>
  <c r="K103" i="1" s="1"/>
  <c r="X113" i="1"/>
  <c r="AF68" i="2"/>
  <c r="AF24" i="2"/>
  <c r="AF70" i="2"/>
  <c r="AF85" i="2"/>
  <c r="AF62" i="2"/>
  <c r="M35" i="4"/>
  <c r="N35" i="4" s="1"/>
  <c r="J48" i="1" s="1"/>
  <c r="K48" i="1" s="1"/>
  <c r="R48" i="1" s="1"/>
  <c r="S48" i="1" s="1"/>
  <c r="T48" i="1" s="1"/>
  <c r="O42" i="1"/>
  <c r="Q42" i="1" s="1"/>
  <c r="R42" i="1" s="1"/>
  <c r="M108" i="1"/>
  <c r="AF41" i="2"/>
  <c r="M27" i="1"/>
  <c r="M96" i="4"/>
  <c r="O57" i="1"/>
  <c r="Q57" i="1" s="1"/>
  <c r="M101" i="1"/>
  <c r="Q101" i="1" s="1"/>
  <c r="N53" i="4"/>
  <c r="J66" i="1" s="1"/>
  <c r="K66" i="1" s="1"/>
  <c r="AF60" i="2"/>
  <c r="AF65" i="2"/>
  <c r="AF107" i="2"/>
  <c r="AF109" i="2"/>
  <c r="Q43" i="1"/>
  <c r="K60" i="4"/>
  <c r="N60" i="4" s="1"/>
  <c r="J73" i="1" s="1"/>
  <c r="K73" i="1" s="1"/>
  <c r="AF94" i="2"/>
  <c r="I40" i="4"/>
  <c r="K40" i="4"/>
  <c r="N48" i="4"/>
  <c r="J61" i="1" s="1"/>
  <c r="K61" i="1" s="1"/>
  <c r="N47" i="4"/>
  <c r="J60" i="1" s="1"/>
  <c r="K60" i="1" s="1"/>
  <c r="N136" i="4"/>
  <c r="J149" i="1" s="1"/>
  <c r="K149" i="1" s="1"/>
  <c r="N130" i="4"/>
  <c r="J143" i="1" s="1"/>
  <c r="K143" i="1" s="1"/>
  <c r="N28" i="4"/>
  <c r="J41" i="1" s="1"/>
  <c r="K41" i="1" s="1"/>
  <c r="N133" i="4"/>
  <c r="J146" i="1" s="1"/>
  <c r="K146" i="1" s="1"/>
  <c r="N129" i="4"/>
  <c r="J142" i="1" s="1"/>
  <c r="K142" i="1" s="1"/>
  <c r="N115" i="4"/>
  <c r="J128" i="1" s="1"/>
  <c r="K128" i="1" s="1"/>
  <c r="N128" i="4"/>
  <c r="J141" i="1" s="1"/>
  <c r="K141" i="1" s="1"/>
  <c r="R141" i="1" s="1"/>
  <c r="N122" i="4"/>
  <c r="J135" i="1" s="1"/>
  <c r="K135" i="1" s="1"/>
  <c r="AF105" i="2"/>
  <c r="M94" i="1"/>
  <c r="Q94" i="1" s="1"/>
  <c r="O112" i="1"/>
  <c r="AF25" i="2"/>
  <c r="AF40" i="2"/>
  <c r="AF76" i="2"/>
  <c r="AF45" i="2"/>
  <c r="Q32" i="1"/>
  <c r="Q130" i="1"/>
  <c r="Q98" i="1"/>
  <c r="M77" i="1"/>
  <c r="M112" i="1"/>
  <c r="AF69" i="2"/>
  <c r="O138" i="1"/>
  <c r="Q138" i="1" s="1"/>
  <c r="X138" i="1"/>
  <c r="O91" i="1"/>
  <c r="Q91" i="1" s="1"/>
  <c r="X75" i="1"/>
  <c r="O122" i="1"/>
  <c r="Q122" i="1" s="1"/>
  <c r="X122" i="1"/>
  <c r="X99" i="1"/>
  <c r="O146" i="1"/>
  <c r="X146" i="1"/>
  <c r="O99" i="1"/>
  <c r="M144" i="4"/>
  <c r="I144" i="4"/>
  <c r="K144" i="4"/>
  <c r="M82" i="1"/>
  <c r="Q82" i="1" s="1"/>
  <c r="M129" i="1"/>
  <c r="M104" i="4"/>
  <c r="I104" i="4"/>
  <c r="K104" i="4"/>
  <c r="X78" i="1"/>
  <c r="O125" i="1"/>
  <c r="Q125" i="1" s="1"/>
  <c r="X125" i="1"/>
  <c r="X105" i="1"/>
  <c r="O152" i="1"/>
  <c r="Q152" i="1" s="1"/>
  <c r="X152" i="1"/>
  <c r="N117" i="4"/>
  <c r="J130" i="1" s="1"/>
  <c r="K130" i="1" s="1"/>
  <c r="Q36" i="1"/>
  <c r="O75" i="1"/>
  <c r="M83" i="1"/>
  <c r="Q83" i="1" s="1"/>
  <c r="R83" i="1" s="1"/>
  <c r="I25" i="4"/>
  <c r="Q106" i="1"/>
  <c r="N51" i="4"/>
  <c r="J64" i="1" s="1"/>
  <c r="K64" i="1" s="1"/>
  <c r="N77" i="4"/>
  <c r="J90" i="1" s="1"/>
  <c r="K90" i="1" s="1"/>
  <c r="N55" i="4"/>
  <c r="J68" i="1" s="1"/>
  <c r="K68" i="1" s="1"/>
  <c r="O78" i="1"/>
  <c r="Q78" i="1" s="1"/>
  <c r="R78" i="1" s="1"/>
  <c r="K87" i="4"/>
  <c r="AF104" i="2"/>
  <c r="AF72" i="2"/>
  <c r="AF98" i="2"/>
  <c r="M41" i="4"/>
  <c r="X100" i="1"/>
  <c r="O147" i="1"/>
  <c r="Q147" i="1" s="1"/>
  <c r="X147" i="1"/>
  <c r="N110" i="4"/>
  <c r="J123" i="1" s="1"/>
  <c r="K123" i="1" s="1"/>
  <c r="N124" i="4"/>
  <c r="J137" i="1" s="1"/>
  <c r="K137" i="1" s="1"/>
  <c r="I106" i="4"/>
  <c r="M106" i="4"/>
  <c r="K106" i="4"/>
  <c r="O116" i="1"/>
  <c r="Q116" i="1" s="1"/>
  <c r="X116" i="1"/>
  <c r="X69" i="1"/>
  <c r="O69" i="1"/>
  <c r="Q69" i="1" s="1"/>
  <c r="R69" i="1" s="1"/>
  <c r="O140" i="1"/>
  <c r="Q140" i="1" s="1"/>
  <c r="X140" i="1"/>
  <c r="N119" i="4"/>
  <c r="J132" i="1" s="1"/>
  <c r="K132" i="1" s="1"/>
  <c r="N126" i="4"/>
  <c r="J139" i="1" s="1"/>
  <c r="K139" i="1" s="1"/>
  <c r="R139" i="1" s="1"/>
  <c r="X77" i="1"/>
  <c r="O124" i="1"/>
  <c r="Q124" i="1" s="1"/>
  <c r="R124" i="1" s="1"/>
  <c r="X124" i="1"/>
  <c r="Q148" i="1"/>
  <c r="N121" i="4"/>
  <c r="J134" i="1" s="1"/>
  <c r="K134" i="1" s="1"/>
  <c r="X79" i="1"/>
  <c r="O126" i="1"/>
  <c r="X126" i="1"/>
  <c r="X31" i="1"/>
  <c r="X85" i="1"/>
  <c r="O132" i="1"/>
  <c r="Q132" i="1" s="1"/>
  <c r="X132" i="1"/>
  <c r="N127" i="4"/>
  <c r="J140" i="1" s="1"/>
  <c r="K140" i="1" s="1"/>
  <c r="Q131" i="1"/>
  <c r="O154" i="1"/>
  <c r="Q154" i="1" s="1"/>
  <c r="X154" i="1"/>
  <c r="AF57" i="2"/>
  <c r="M103" i="1"/>
  <c r="Q103" i="1" s="1"/>
  <c r="M150" i="1"/>
  <c r="N142" i="4"/>
  <c r="J155" i="1" s="1"/>
  <c r="K155" i="1" s="1"/>
  <c r="N146" i="4"/>
  <c r="J159" i="1" s="1"/>
  <c r="K159" i="1" s="1"/>
  <c r="N114" i="4"/>
  <c r="J127" i="1" s="1"/>
  <c r="K127" i="1" s="1"/>
  <c r="M47" i="1"/>
  <c r="Q47" i="1" s="1"/>
  <c r="M81" i="4"/>
  <c r="I93" i="4"/>
  <c r="AF43" i="2"/>
  <c r="AF61" i="2"/>
  <c r="AF30" i="2"/>
  <c r="K41" i="4"/>
  <c r="O114" i="1"/>
  <c r="X114" i="1"/>
  <c r="M111" i="1"/>
  <c r="Q111" i="1" s="1"/>
  <c r="M158" i="1"/>
  <c r="N112" i="4"/>
  <c r="J125" i="1" s="1"/>
  <c r="K125" i="1" s="1"/>
  <c r="M99" i="1"/>
  <c r="Q99" i="1" s="1"/>
  <c r="M146" i="1"/>
  <c r="X86" i="1"/>
  <c r="O133" i="1"/>
  <c r="Q133" i="1" s="1"/>
  <c r="X133" i="1"/>
  <c r="X104" i="1"/>
  <c r="O151" i="1"/>
  <c r="Q151" i="1" s="1"/>
  <c r="X151" i="1"/>
  <c r="X67" i="1"/>
  <c r="X96" i="1"/>
  <c r="O143" i="1"/>
  <c r="X143" i="1"/>
  <c r="X91" i="1"/>
  <c r="N132" i="4"/>
  <c r="J145" i="1" s="1"/>
  <c r="K145" i="1" s="1"/>
  <c r="K32" i="4"/>
  <c r="M32" i="4"/>
  <c r="X89" i="1"/>
  <c r="O136" i="1"/>
  <c r="Q136" i="1" s="1"/>
  <c r="X136" i="1"/>
  <c r="X58" i="1"/>
  <c r="X142" i="1"/>
  <c r="O142" i="1"/>
  <c r="Q142" i="1" s="1"/>
  <c r="Q27" i="1"/>
  <c r="Q29" i="1"/>
  <c r="I12" i="4"/>
  <c r="O105" i="1"/>
  <c r="M87" i="4"/>
  <c r="N87" i="4" s="1"/>
  <c r="J100" i="1" s="1"/>
  <c r="K100" i="1" s="1"/>
  <c r="AF55" i="2"/>
  <c r="AF44" i="2"/>
  <c r="AF22" i="2"/>
  <c r="AF77" i="2"/>
  <c r="AF82" i="2"/>
  <c r="Q118" i="1"/>
  <c r="M113" i="1"/>
  <c r="M160" i="1"/>
  <c r="Q160" i="1" s="1"/>
  <c r="N101" i="4"/>
  <c r="J114" i="1" s="1"/>
  <c r="K114" i="1" s="1"/>
  <c r="N140" i="4"/>
  <c r="J153" i="1" s="1"/>
  <c r="K153" i="1" s="1"/>
  <c r="M79" i="1"/>
  <c r="Q79" i="1" s="1"/>
  <c r="M126" i="1"/>
  <c r="O102" i="1"/>
  <c r="O149" i="1"/>
  <c r="Q149" i="1" s="1"/>
  <c r="R149" i="1" s="1"/>
  <c r="X149" i="1"/>
  <c r="O135" i="1"/>
  <c r="X135" i="1"/>
  <c r="X88" i="1"/>
  <c r="O153" i="1"/>
  <c r="Q153" i="1" s="1"/>
  <c r="X153" i="1"/>
  <c r="N109" i="4"/>
  <c r="J122" i="1" s="1"/>
  <c r="K122" i="1" s="1"/>
  <c r="I138" i="4"/>
  <c r="M138" i="4"/>
  <c r="K138" i="4"/>
  <c r="N135" i="4"/>
  <c r="J148" i="1" s="1"/>
  <c r="K148" i="1" s="1"/>
  <c r="X90" i="1"/>
  <c r="O137" i="1"/>
  <c r="Q137" i="1" s="1"/>
  <c r="X137" i="1"/>
  <c r="N102" i="4"/>
  <c r="J115" i="1" s="1"/>
  <c r="K115" i="1" s="1"/>
  <c r="N118" i="4"/>
  <c r="J131" i="1" s="1"/>
  <c r="K131" i="1" s="1"/>
  <c r="X150" i="1"/>
  <c r="O150" i="1"/>
  <c r="X103" i="1"/>
  <c r="AF97" i="2"/>
  <c r="I81" i="4"/>
  <c r="O129" i="1"/>
  <c r="X129" i="1"/>
  <c r="N107" i="4"/>
  <c r="J120" i="1" s="1"/>
  <c r="K120" i="1" s="1"/>
  <c r="X97" i="1"/>
  <c r="O144" i="1"/>
  <c r="X144" i="1"/>
  <c r="N113" i="4"/>
  <c r="J126" i="1" s="1"/>
  <c r="K126" i="1" s="1"/>
  <c r="N123" i="4"/>
  <c r="J136" i="1" s="1"/>
  <c r="K136" i="1" s="1"/>
  <c r="N125" i="4"/>
  <c r="J138" i="1" s="1"/>
  <c r="K138" i="1" s="1"/>
  <c r="X70" i="1"/>
  <c r="O117" i="1"/>
  <c r="Q117" i="1" s="1"/>
  <c r="X117" i="1"/>
  <c r="X93" i="1"/>
  <c r="Q44" i="1"/>
  <c r="X87" i="1"/>
  <c r="O134" i="1"/>
  <c r="Q134" i="1" s="1"/>
  <c r="X134" i="1"/>
  <c r="O87" i="1"/>
  <c r="Q30" i="1"/>
  <c r="K12" i="4"/>
  <c r="M93" i="4"/>
  <c r="N33" i="4"/>
  <c r="J46" i="1" s="1"/>
  <c r="K46" i="1" s="1"/>
  <c r="M104" i="1"/>
  <c r="X80" i="1"/>
  <c r="O127" i="1"/>
  <c r="Q127" i="1" s="1"/>
  <c r="X127" i="1"/>
  <c r="N131" i="4"/>
  <c r="J144" i="1" s="1"/>
  <c r="K144" i="1" s="1"/>
  <c r="M88" i="1"/>
  <c r="Q88" i="1" s="1"/>
  <c r="M135" i="1"/>
  <c r="N103" i="4"/>
  <c r="J116" i="1" s="1"/>
  <c r="K116" i="1" s="1"/>
  <c r="N141" i="4"/>
  <c r="J154" i="1" s="1"/>
  <c r="K154" i="1" s="1"/>
  <c r="X111" i="1"/>
  <c r="X158" i="1"/>
  <c r="O158" i="1"/>
  <c r="N116" i="4"/>
  <c r="J129" i="1" s="1"/>
  <c r="K129" i="1" s="1"/>
  <c r="X108" i="1"/>
  <c r="X155" i="1"/>
  <c r="O155" i="1"/>
  <c r="Q155" i="1" s="1"/>
  <c r="AF74" i="2"/>
  <c r="X72" i="1"/>
  <c r="O119" i="1"/>
  <c r="Q119" i="1" s="1"/>
  <c r="X119" i="1"/>
  <c r="O159" i="1"/>
  <c r="Q159" i="1" s="1"/>
  <c r="X159" i="1"/>
  <c r="K92" i="4"/>
  <c r="I92" i="4"/>
  <c r="O121" i="1"/>
  <c r="Q121" i="1" s="1"/>
  <c r="X121" i="1"/>
  <c r="X98" i="1"/>
  <c r="X145" i="1"/>
  <c r="O145" i="1"/>
  <c r="Q145" i="1" s="1"/>
  <c r="M97" i="1"/>
  <c r="Q97" i="1" s="1"/>
  <c r="M144" i="1"/>
  <c r="Q144" i="1" s="1"/>
  <c r="O128" i="1"/>
  <c r="Q128" i="1" s="1"/>
  <c r="X128" i="1"/>
  <c r="O81" i="1"/>
  <c r="Q81" i="1" s="1"/>
  <c r="R81" i="1" s="1"/>
  <c r="S81" i="1" s="1"/>
  <c r="T81" i="1" s="1"/>
  <c r="X81" i="1"/>
  <c r="Q31" i="1"/>
  <c r="M75" i="1"/>
  <c r="Q108" i="1"/>
  <c r="AF81" i="2"/>
  <c r="AF35" i="2"/>
  <c r="N89" i="4"/>
  <c r="J102" i="1" s="1"/>
  <c r="K102" i="1" s="1"/>
  <c r="I134" i="4"/>
  <c r="M134" i="4"/>
  <c r="K134" i="4"/>
  <c r="X156" i="1"/>
  <c r="O156" i="1"/>
  <c r="Q156" i="1" s="1"/>
  <c r="R156" i="1" s="1"/>
  <c r="X109" i="1"/>
  <c r="O120" i="1"/>
  <c r="Q120" i="1" s="1"/>
  <c r="X120" i="1"/>
  <c r="Q143" i="1"/>
  <c r="N147" i="4"/>
  <c r="J160" i="1" s="1"/>
  <c r="K160" i="1" s="1"/>
  <c r="X161" i="1"/>
  <c r="O161" i="1"/>
  <c r="N120" i="4"/>
  <c r="J133" i="1" s="1"/>
  <c r="K133" i="1" s="1"/>
  <c r="X123" i="1"/>
  <c r="O123" i="1"/>
  <c r="Q123" i="1" s="1"/>
  <c r="N139" i="4"/>
  <c r="J152" i="1" s="1"/>
  <c r="K152" i="1" s="1"/>
  <c r="Q114" i="1"/>
  <c r="N97" i="4"/>
  <c r="J110" i="1" s="1"/>
  <c r="K110" i="1" s="1"/>
  <c r="N78" i="4"/>
  <c r="J91" i="1" s="1"/>
  <c r="K91" i="1" s="1"/>
  <c r="N86" i="4"/>
  <c r="J99" i="1" s="1"/>
  <c r="K99" i="1" s="1"/>
  <c r="N42" i="4"/>
  <c r="J55" i="1" s="1"/>
  <c r="K55" i="1" s="1"/>
  <c r="N75" i="4"/>
  <c r="J88" i="1" s="1"/>
  <c r="K88" i="1" s="1"/>
  <c r="N67" i="4"/>
  <c r="J80" i="1" s="1"/>
  <c r="K80" i="1" s="1"/>
  <c r="N30" i="4"/>
  <c r="J43" i="1" s="1"/>
  <c r="K43" i="1" s="1"/>
  <c r="N88" i="4"/>
  <c r="J101" i="1" s="1"/>
  <c r="K101" i="1" s="1"/>
  <c r="N16" i="8"/>
  <c r="J29" i="9" s="1"/>
  <c r="K29" i="9" s="1"/>
  <c r="Q89" i="1"/>
  <c r="N85" i="4"/>
  <c r="J98" i="1" s="1"/>
  <c r="K98" i="1" s="1"/>
  <c r="N94" i="4"/>
  <c r="J107" i="1" s="1"/>
  <c r="K107" i="1" s="1"/>
  <c r="X52" i="12"/>
  <c r="J26" i="22"/>
  <c r="K26" i="22" s="1"/>
  <c r="J39" i="12"/>
  <c r="K39" i="12" s="1"/>
  <c r="R39" i="12" s="1"/>
  <c r="S39" i="12" s="1"/>
  <c r="T39" i="12" s="1"/>
  <c r="AF45" i="26"/>
  <c r="N66" i="4"/>
  <c r="J79" i="1" s="1"/>
  <c r="K79" i="1" s="1"/>
  <c r="Q38" i="1"/>
  <c r="Q39" i="1"/>
  <c r="AF41" i="13"/>
  <c r="Q26" i="12"/>
  <c r="N12" i="8"/>
  <c r="J25" i="9" s="1"/>
  <c r="K25" i="9" s="1"/>
  <c r="Q85" i="1"/>
  <c r="R85" i="1" s="1"/>
  <c r="S85" i="1" s="1"/>
  <c r="T85" i="1" s="1"/>
  <c r="N50" i="4"/>
  <c r="J63" i="1" s="1"/>
  <c r="K63" i="1" s="1"/>
  <c r="O50" i="19"/>
  <c r="X50" i="19"/>
  <c r="N29" i="24"/>
  <c r="J42" i="25" s="1"/>
  <c r="K42" i="25" s="1"/>
  <c r="N62" i="4"/>
  <c r="J75" i="1" s="1"/>
  <c r="K75" i="1" s="1"/>
  <c r="N84" i="4"/>
  <c r="J97" i="1" s="1"/>
  <c r="K97" i="1" s="1"/>
  <c r="AF48" i="26"/>
  <c r="Q35" i="1"/>
  <c r="J44" i="12"/>
  <c r="K44" i="12" s="1"/>
  <c r="M37" i="11"/>
  <c r="N33" i="18"/>
  <c r="J46" i="19" s="1"/>
  <c r="K46" i="19" s="1"/>
  <c r="N35" i="24"/>
  <c r="O45" i="19"/>
  <c r="X45" i="19"/>
  <c r="N74" i="4"/>
  <c r="J87" i="1" s="1"/>
  <c r="K87" i="1" s="1"/>
  <c r="N15" i="8"/>
  <c r="J28" i="9" s="1"/>
  <c r="K28" i="9" s="1"/>
  <c r="N19" i="8"/>
  <c r="J32" i="9" s="1"/>
  <c r="K32" i="9" s="1"/>
  <c r="AF39" i="26"/>
  <c r="Q32" i="25"/>
  <c r="N33" i="24"/>
  <c r="J46" i="25" s="1"/>
  <c r="K46" i="25" s="1"/>
  <c r="B57" i="37"/>
  <c r="B80" i="37" s="1"/>
  <c r="U56" i="37"/>
  <c r="C56" i="37"/>
  <c r="E56" i="37"/>
  <c r="E55" i="38" s="1"/>
  <c r="C54" i="38"/>
  <c r="D55" i="37"/>
  <c r="D54" i="38" s="1"/>
  <c r="AF33" i="26"/>
  <c r="N30" i="18"/>
  <c r="J43" i="19" s="1"/>
  <c r="K43" i="19" s="1"/>
  <c r="R43" i="19" s="1"/>
  <c r="N32" i="18"/>
  <c r="J45" i="19" s="1"/>
  <c r="K45" i="19" s="1"/>
  <c r="R48" i="19"/>
  <c r="S48" i="19" s="1"/>
  <c r="T48" i="19" s="1"/>
  <c r="AF50" i="13"/>
  <c r="J30" i="12"/>
  <c r="K30" i="12" s="1"/>
  <c r="R30" i="12" s="1"/>
  <c r="S30" i="12" s="1"/>
  <c r="X30" i="12"/>
  <c r="AF29" i="13"/>
  <c r="AF26" i="10"/>
  <c r="I14" i="8"/>
  <c r="K14" i="8"/>
  <c r="Q59" i="1"/>
  <c r="R59" i="1" s="1"/>
  <c r="K44" i="4"/>
  <c r="M44" i="4"/>
  <c r="Q37" i="1"/>
  <c r="AF51" i="26"/>
  <c r="AF50" i="26"/>
  <c r="AF46" i="26"/>
  <c r="X32" i="25"/>
  <c r="AF40" i="26"/>
  <c r="N21" i="24"/>
  <c r="J34" i="25" s="1"/>
  <c r="K34" i="25" s="1"/>
  <c r="X47" i="25"/>
  <c r="I36" i="24"/>
  <c r="M36" i="24"/>
  <c r="AF35" i="26"/>
  <c r="O46" i="25"/>
  <c r="K26" i="24"/>
  <c r="AF34" i="26"/>
  <c r="O45" i="25"/>
  <c r="J51" i="25"/>
  <c r="K51" i="25" s="1"/>
  <c r="X48" i="25"/>
  <c r="AF47" i="26"/>
  <c r="M48" i="25"/>
  <c r="Q48" i="25" s="1"/>
  <c r="AF37" i="26"/>
  <c r="AF41" i="26"/>
  <c r="O42" i="25"/>
  <c r="AF31" i="26"/>
  <c r="M25" i="24"/>
  <c r="N31" i="24"/>
  <c r="J44" i="25" s="1"/>
  <c r="K44" i="25" s="1"/>
  <c r="AF43" i="26"/>
  <c r="O44" i="25"/>
  <c r="X44" i="25"/>
  <c r="I28" i="24"/>
  <c r="M28" i="24"/>
  <c r="I23" i="24"/>
  <c r="K23" i="24"/>
  <c r="M23" i="24"/>
  <c r="K18" i="24"/>
  <c r="X33" i="25"/>
  <c r="M18" i="24"/>
  <c r="M27" i="24"/>
  <c r="K27" i="24"/>
  <c r="AF32" i="26"/>
  <c r="K28" i="24"/>
  <c r="N24" i="24"/>
  <c r="M20" i="24"/>
  <c r="I20" i="24"/>
  <c r="M33" i="25"/>
  <c r="Q33" i="25" s="1"/>
  <c r="X31" i="25"/>
  <c r="O31" i="25"/>
  <c r="M31" i="25"/>
  <c r="AF30" i="26"/>
  <c r="I19" i="24"/>
  <c r="K19" i="24"/>
  <c r="M19" i="24"/>
  <c r="K25" i="24"/>
  <c r="N22" i="24"/>
  <c r="K37" i="18"/>
  <c r="S43" i="19"/>
  <c r="T43" i="19" s="1"/>
  <c r="M37" i="18"/>
  <c r="AF49" i="20"/>
  <c r="O47" i="19"/>
  <c r="Q47" i="19" s="1"/>
  <c r="M34" i="18"/>
  <c r="K34" i="18"/>
  <c r="I34" i="18"/>
  <c r="N36" i="18"/>
  <c r="J49" i="19" s="1"/>
  <c r="K49" i="19" s="1"/>
  <c r="AF31" i="20"/>
  <c r="N19" i="18"/>
  <c r="J32" i="19" s="1"/>
  <c r="K32" i="19" s="1"/>
  <c r="R32" i="19" s="1"/>
  <c r="S32" i="19" s="1"/>
  <c r="T32" i="19" s="1"/>
  <c r="O82" i="12"/>
  <c r="Q82" i="12" s="1"/>
  <c r="X82" i="12"/>
  <c r="K82" i="12"/>
  <c r="AF81" i="13"/>
  <c r="K56" i="12"/>
  <c r="AF56" i="13"/>
  <c r="M57" i="12"/>
  <c r="Q40" i="12"/>
  <c r="Q53" i="12"/>
  <c r="X49" i="12"/>
  <c r="AF52" i="13"/>
  <c r="AF27" i="13"/>
  <c r="K28" i="11"/>
  <c r="M28" i="11"/>
  <c r="Q37" i="12"/>
  <c r="Q43" i="12"/>
  <c r="X42" i="12"/>
  <c r="X46" i="12"/>
  <c r="Q47" i="12"/>
  <c r="I29" i="11"/>
  <c r="AF45" i="13"/>
  <c r="K29" i="11"/>
  <c r="AF49" i="13"/>
  <c r="M54" i="12"/>
  <c r="Q54" i="12" s="1"/>
  <c r="X50" i="12"/>
  <c r="AF51" i="13"/>
  <c r="M32" i="11"/>
  <c r="N32" i="11" s="1"/>
  <c r="AF40" i="13"/>
  <c r="N14" i="11"/>
  <c r="I40" i="11"/>
  <c r="M40" i="11"/>
  <c r="X53" i="12"/>
  <c r="N13" i="11"/>
  <c r="I15" i="11"/>
  <c r="N35" i="11"/>
  <c r="M36" i="11"/>
  <c r="K25" i="11"/>
  <c r="N27" i="11"/>
  <c r="Q50" i="12"/>
  <c r="X43" i="12"/>
  <c r="X26" i="12"/>
  <c r="X37" i="12"/>
  <c r="AF25" i="13"/>
  <c r="X28" i="12"/>
  <c r="AF28" i="13"/>
  <c r="I34" i="11"/>
  <c r="O31" i="12"/>
  <c r="Q31" i="12" s="1"/>
  <c r="X31" i="12"/>
  <c r="AF37" i="13"/>
  <c r="AF35" i="13"/>
  <c r="AF39" i="13"/>
  <c r="AF30" i="13"/>
  <c r="X36" i="12"/>
  <c r="M15" i="11"/>
  <c r="N38" i="11"/>
  <c r="K34" i="11"/>
  <c r="K23" i="11"/>
  <c r="I23" i="11"/>
  <c r="K36" i="11"/>
  <c r="Q35" i="12"/>
  <c r="R35" i="12" s="1"/>
  <c r="X35" i="12"/>
  <c r="K37" i="11"/>
  <c r="N37" i="11" s="1"/>
  <c r="AF44" i="13"/>
  <c r="X47" i="12"/>
  <c r="X45" i="12"/>
  <c r="N19" i="11"/>
  <c r="N33" i="11"/>
  <c r="N20" i="11"/>
  <c r="K24" i="11"/>
  <c r="AF46" i="13"/>
  <c r="AF42" i="13"/>
  <c r="AF36" i="13"/>
  <c r="I18" i="11"/>
  <c r="M18" i="11"/>
  <c r="K18" i="11"/>
  <c r="AF48" i="13"/>
  <c r="M24" i="11"/>
  <c r="I30" i="11"/>
  <c r="K30" i="11"/>
  <c r="M30" i="11"/>
  <c r="AF34" i="13"/>
  <c r="N16" i="11"/>
  <c r="N21" i="8"/>
  <c r="J34" i="9" s="1"/>
  <c r="K34" i="9" s="1"/>
  <c r="N25" i="9"/>
  <c r="N26" i="9"/>
  <c r="N18" i="8"/>
  <c r="J31" i="9" s="1"/>
  <c r="K31" i="9" s="1"/>
  <c r="M20" i="8"/>
  <c r="I20" i="8"/>
  <c r="K20" i="8"/>
  <c r="N13" i="8"/>
  <c r="J26" i="9" s="1"/>
  <c r="K26" i="9" s="1"/>
  <c r="N11" i="8"/>
  <c r="J24" i="9" s="1"/>
  <c r="K24" i="9" s="1"/>
  <c r="Q80" i="1"/>
  <c r="Q100" i="1"/>
  <c r="Q25" i="1"/>
  <c r="Q109" i="1"/>
  <c r="Q26" i="1"/>
  <c r="Q84" i="1"/>
  <c r="R84" i="1" s="1"/>
  <c r="S84" i="1" s="1"/>
  <c r="T84" i="1" s="1"/>
  <c r="Q66" i="1"/>
  <c r="Q63" i="1"/>
  <c r="Q96" i="1"/>
  <c r="I61" i="4"/>
  <c r="K61" i="4"/>
  <c r="M61" i="4"/>
  <c r="M43" i="4"/>
  <c r="I43" i="4"/>
  <c r="K43" i="4"/>
  <c r="O77" i="1"/>
  <c r="K57" i="4"/>
  <c r="I57" i="4"/>
  <c r="O95" i="1"/>
  <c r="N93" i="4"/>
  <c r="J106" i="1" s="1"/>
  <c r="K106" i="1" s="1"/>
  <c r="N36" i="4"/>
  <c r="J49" i="1" s="1"/>
  <c r="K49" i="1" s="1"/>
  <c r="I99" i="4"/>
  <c r="K99" i="4"/>
  <c r="M91" i="4"/>
  <c r="I91" i="4"/>
  <c r="K91" i="4"/>
  <c r="O52" i="1"/>
  <c r="Q52" i="1" s="1"/>
  <c r="O60" i="1"/>
  <c r="Q60" i="1" s="1"/>
  <c r="R60" i="1" s="1"/>
  <c r="O93" i="1"/>
  <c r="Q93" i="1" s="1"/>
  <c r="R93" i="1" s="1"/>
  <c r="N98" i="4"/>
  <c r="J111" i="1" s="1"/>
  <c r="K111" i="1" s="1"/>
  <c r="M99" i="4"/>
  <c r="O65" i="1"/>
  <c r="Q65" i="1" s="1"/>
  <c r="R65" i="1" s="1"/>
  <c r="M58" i="1"/>
  <c r="Q58" i="1" s="1"/>
  <c r="Q70" i="1"/>
  <c r="K69" i="4"/>
  <c r="I69" i="4"/>
  <c r="M31" i="4"/>
  <c r="I31" i="4"/>
  <c r="K31" i="4"/>
  <c r="O64" i="1"/>
  <c r="Q64" i="1" s="1"/>
  <c r="O55" i="1"/>
  <c r="Q55" i="1" s="1"/>
  <c r="O61" i="1"/>
  <c r="Q61" i="1" s="1"/>
  <c r="R61" i="1" s="1"/>
  <c r="O62" i="1"/>
  <c r="Q62" i="1" s="1"/>
  <c r="N38" i="4"/>
  <c r="J51" i="1" s="1"/>
  <c r="K51" i="1" s="1"/>
  <c r="O53" i="1"/>
  <c r="Q53" i="1" s="1"/>
  <c r="N34" i="4"/>
  <c r="J47" i="1" s="1"/>
  <c r="K47" i="1" s="1"/>
  <c r="O56" i="1"/>
  <c r="Q56" i="1" s="1"/>
  <c r="Q90" i="1"/>
  <c r="R90" i="1" s="1"/>
  <c r="R89" i="1"/>
  <c r="I37" i="4"/>
  <c r="K37" i="4"/>
  <c r="M37" i="4"/>
  <c r="O76" i="1"/>
  <c r="N59" i="4"/>
  <c r="J72" i="1" s="1"/>
  <c r="K72" i="1" s="1"/>
  <c r="N96" i="4"/>
  <c r="J109" i="1" s="1"/>
  <c r="K109" i="1" s="1"/>
  <c r="I73" i="4"/>
  <c r="K73" i="4"/>
  <c r="M73" i="4"/>
  <c r="I39" i="4"/>
  <c r="K39" i="4"/>
  <c r="I49" i="4"/>
  <c r="K49" i="4"/>
  <c r="M49" i="4"/>
  <c r="O51" i="1"/>
  <c r="Q51" i="1" s="1"/>
  <c r="Q72" i="1"/>
  <c r="M57" i="4"/>
  <c r="K45" i="4"/>
  <c r="I45" i="4"/>
  <c r="M21" i="4"/>
  <c r="K22" i="4"/>
  <c r="M22" i="4"/>
  <c r="K21" i="4"/>
  <c r="K26" i="4"/>
  <c r="N13" i="4"/>
  <c r="J26" i="1" s="1"/>
  <c r="K26" i="1" s="1"/>
  <c r="N25" i="4"/>
  <c r="J38" i="1" s="1"/>
  <c r="K38" i="1" s="1"/>
  <c r="K27" i="4"/>
  <c r="N17" i="4"/>
  <c r="J30" i="1" s="1"/>
  <c r="K30" i="1" s="1"/>
  <c r="M27" i="4"/>
  <c r="M10" i="4"/>
  <c r="K14" i="4"/>
  <c r="M26" i="4"/>
  <c r="K10" i="4"/>
  <c r="M19" i="4"/>
  <c r="I19" i="4"/>
  <c r="K19" i="4"/>
  <c r="M14" i="4"/>
  <c r="I20" i="4"/>
  <c r="K20" i="4"/>
  <c r="M20" i="4"/>
  <c r="M18" i="4"/>
  <c r="I16" i="4"/>
  <c r="M16" i="4"/>
  <c r="N23" i="4"/>
  <c r="J36" i="1" s="1"/>
  <c r="K36" i="1" s="1"/>
  <c r="N24" i="4"/>
  <c r="J37" i="1" s="1"/>
  <c r="K37" i="1" s="1"/>
  <c r="M15" i="4"/>
  <c r="I15" i="4"/>
  <c r="K15" i="4"/>
  <c r="K18" i="4"/>
  <c r="I11" i="4"/>
  <c r="M11" i="4"/>
  <c r="D79" i="37" l="1"/>
  <c r="D78" i="38" s="1"/>
  <c r="C78" i="38"/>
  <c r="E80" i="37"/>
  <c r="E79" i="38" s="1"/>
  <c r="C80" i="37"/>
  <c r="U80" i="37"/>
  <c r="Q42" i="25"/>
  <c r="R42" i="25" s="1"/>
  <c r="S42" i="25" s="1"/>
  <c r="T42" i="25" s="1"/>
  <c r="Q44" i="25"/>
  <c r="R44" i="25" s="1"/>
  <c r="S44" i="25" s="1"/>
  <c r="T44" i="25" s="1"/>
  <c r="R68" i="25"/>
  <c r="S68" i="25" s="1"/>
  <c r="T68" i="25" s="1"/>
  <c r="Q63" i="25"/>
  <c r="N30" i="24"/>
  <c r="J43" i="25" s="1"/>
  <c r="K43" i="25" s="1"/>
  <c r="R43" i="25" s="1"/>
  <c r="S43" i="25" s="1"/>
  <c r="T43" i="25" s="1"/>
  <c r="Q56" i="25"/>
  <c r="Q64" i="25"/>
  <c r="R51" i="25"/>
  <c r="S51" i="25" s="1"/>
  <c r="T51" i="25" s="1"/>
  <c r="N32" i="24"/>
  <c r="J45" i="25" s="1"/>
  <c r="K45" i="25" s="1"/>
  <c r="N41" i="24"/>
  <c r="J54" i="25" s="1"/>
  <c r="K54" i="25" s="1"/>
  <c r="N44" i="24"/>
  <c r="J57" i="25" s="1"/>
  <c r="K57" i="25" s="1"/>
  <c r="R57" i="25" s="1"/>
  <c r="N49" i="24"/>
  <c r="J62" i="25" s="1"/>
  <c r="K62" i="25" s="1"/>
  <c r="N39" i="24"/>
  <c r="J52" i="25" s="1"/>
  <c r="K52" i="25" s="1"/>
  <c r="N45" i="24"/>
  <c r="J58" i="25" s="1"/>
  <c r="K58" i="25" s="1"/>
  <c r="R58" i="25" s="1"/>
  <c r="Q45" i="25"/>
  <c r="N43" i="24"/>
  <c r="J56" i="25" s="1"/>
  <c r="K56" i="25" s="1"/>
  <c r="Q47" i="25"/>
  <c r="N40" i="24"/>
  <c r="J53" i="25" s="1"/>
  <c r="K53" i="25" s="1"/>
  <c r="R53" i="25" s="1"/>
  <c r="N50" i="24"/>
  <c r="J63" i="25" s="1"/>
  <c r="K63" i="25" s="1"/>
  <c r="Q69" i="25"/>
  <c r="R69" i="25" s="1"/>
  <c r="N42" i="24"/>
  <c r="J55" i="25" s="1"/>
  <c r="K55" i="25" s="1"/>
  <c r="R55" i="25" s="1"/>
  <c r="N48" i="24"/>
  <c r="J61" i="25" s="1"/>
  <c r="K61" i="25" s="1"/>
  <c r="R67" i="25"/>
  <c r="Q52" i="25"/>
  <c r="N26" i="24"/>
  <c r="J39" i="25" s="1"/>
  <c r="K39" i="25" s="1"/>
  <c r="R54" i="25"/>
  <c r="Q59" i="25"/>
  <c r="Q46" i="25"/>
  <c r="R46" i="25" s="1"/>
  <c r="S46" i="25" s="1"/>
  <c r="T46" i="25" s="1"/>
  <c r="N51" i="24"/>
  <c r="J64" i="25" s="1"/>
  <c r="K64" i="25" s="1"/>
  <c r="N52" i="24"/>
  <c r="J65" i="25" s="1"/>
  <c r="K65" i="25" s="1"/>
  <c r="R65" i="25" s="1"/>
  <c r="Q31" i="25"/>
  <c r="N46" i="24"/>
  <c r="J59" i="25" s="1"/>
  <c r="K59" i="25" s="1"/>
  <c r="Q61" i="25"/>
  <c r="N36" i="24"/>
  <c r="J49" i="25" s="1"/>
  <c r="K49" i="25" s="1"/>
  <c r="R49" i="25" s="1"/>
  <c r="N47" i="24"/>
  <c r="J60" i="25" s="1"/>
  <c r="K60" i="25" s="1"/>
  <c r="R60" i="25" s="1"/>
  <c r="Q62" i="25"/>
  <c r="R62" i="25" s="1"/>
  <c r="N53" i="24"/>
  <c r="J66" i="25" s="1"/>
  <c r="K66" i="25" s="1"/>
  <c r="R66" i="25" s="1"/>
  <c r="Q26" i="22"/>
  <c r="R26" i="22" s="1"/>
  <c r="S26" i="22" s="1"/>
  <c r="T26" i="22" s="1"/>
  <c r="Q36" i="22"/>
  <c r="R36" i="22" s="1"/>
  <c r="R46" i="19"/>
  <c r="S46" i="19" s="1"/>
  <c r="T46" i="19" s="1"/>
  <c r="R49" i="19"/>
  <c r="N50" i="18"/>
  <c r="J63" i="19" s="1"/>
  <c r="K63" i="19" s="1"/>
  <c r="Q50" i="19"/>
  <c r="N51" i="18"/>
  <c r="J64" i="19" s="1"/>
  <c r="K64" i="19" s="1"/>
  <c r="R64" i="19" s="1"/>
  <c r="S64" i="19" s="1"/>
  <c r="T64" i="19" s="1"/>
  <c r="Q63" i="19"/>
  <c r="R63" i="19" s="1"/>
  <c r="S63" i="19" s="1"/>
  <c r="T63" i="19" s="1"/>
  <c r="N54" i="18"/>
  <c r="J67" i="19" s="1"/>
  <c r="K67" i="19" s="1"/>
  <c r="R67" i="19" s="1"/>
  <c r="S67" i="19" s="1"/>
  <c r="N47" i="18"/>
  <c r="J60" i="19" s="1"/>
  <c r="K60" i="19" s="1"/>
  <c r="R60" i="19" s="1"/>
  <c r="N52" i="18"/>
  <c r="J65" i="19" s="1"/>
  <c r="K65" i="19" s="1"/>
  <c r="R65" i="19" s="1"/>
  <c r="Q45" i="19"/>
  <c r="N46" i="18"/>
  <c r="J59" i="19" s="1"/>
  <c r="K59" i="19" s="1"/>
  <c r="R59" i="19" s="1"/>
  <c r="N49" i="18"/>
  <c r="J62" i="19" s="1"/>
  <c r="K62" i="19" s="1"/>
  <c r="R62" i="19" s="1"/>
  <c r="N53" i="18"/>
  <c r="J66" i="19" s="1"/>
  <c r="K66" i="19" s="1"/>
  <c r="R66" i="19" s="1"/>
  <c r="N48" i="18"/>
  <c r="J61" i="19" s="1"/>
  <c r="K61" i="19" s="1"/>
  <c r="Q61" i="19"/>
  <c r="R56" i="12"/>
  <c r="N41" i="11"/>
  <c r="J54" i="12" s="1"/>
  <c r="K54" i="12" s="1"/>
  <c r="N46" i="11"/>
  <c r="J59" i="12" s="1"/>
  <c r="K59" i="12" s="1"/>
  <c r="R59" i="12" s="1"/>
  <c r="R79" i="12"/>
  <c r="S79" i="12" s="1"/>
  <c r="T79" i="12" s="1"/>
  <c r="Q51" i="12"/>
  <c r="N15" i="11"/>
  <c r="Q57" i="12"/>
  <c r="N67" i="11"/>
  <c r="J80" i="12" s="1"/>
  <c r="K80" i="12" s="1"/>
  <c r="R80" i="12" s="1"/>
  <c r="Q44" i="12"/>
  <c r="R44" i="12" s="1"/>
  <c r="S44" i="12" s="1"/>
  <c r="T44" i="12" s="1"/>
  <c r="R55" i="12"/>
  <c r="S55" i="12" s="1"/>
  <c r="T55" i="12" s="1"/>
  <c r="N47" i="11"/>
  <c r="J60" i="12" s="1"/>
  <c r="K60" i="12" s="1"/>
  <c r="R60" i="12" s="1"/>
  <c r="S60" i="12" s="1"/>
  <c r="T60" i="12" s="1"/>
  <c r="N25" i="11"/>
  <c r="J38" i="12" s="1"/>
  <c r="K38" i="12" s="1"/>
  <c r="R38" i="12" s="1"/>
  <c r="S38" i="12" s="1"/>
  <c r="T38" i="12" s="1"/>
  <c r="N55" i="11"/>
  <c r="J68" i="12" s="1"/>
  <c r="K68" i="12" s="1"/>
  <c r="N59" i="11"/>
  <c r="J72" i="12" s="1"/>
  <c r="K72" i="12" s="1"/>
  <c r="N60" i="11"/>
  <c r="J73" i="12" s="1"/>
  <c r="K73" i="12" s="1"/>
  <c r="R58" i="12"/>
  <c r="S58" i="12" s="1"/>
  <c r="T58" i="12" s="1"/>
  <c r="N48" i="11"/>
  <c r="J61" i="12" s="1"/>
  <c r="K61" i="12" s="1"/>
  <c r="R61" i="12" s="1"/>
  <c r="S61" i="12" s="1"/>
  <c r="T61" i="12" s="1"/>
  <c r="N57" i="11"/>
  <c r="J70" i="12" s="1"/>
  <c r="K70" i="12" s="1"/>
  <c r="R70" i="12" s="1"/>
  <c r="N52" i="11"/>
  <c r="J65" i="12" s="1"/>
  <c r="K65" i="12" s="1"/>
  <c r="Q67" i="12"/>
  <c r="Q72" i="12"/>
  <c r="R72" i="12" s="1"/>
  <c r="Q76" i="12"/>
  <c r="R76" i="12" s="1"/>
  <c r="Q63" i="12"/>
  <c r="N50" i="11"/>
  <c r="J63" i="12" s="1"/>
  <c r="K63" i="12" s="1"/>
  <c r="Q71" i="12"/>
  <c r="N56" i="11"/>
  <c r="J69" i="12" s="1"/>
  <c r="K69" i="12" s="1"/>
  <c r="R69" i="12" s="1"/>
  <c r="Q45" i="12"/>
  <c r="Q52" i="12"/>
  <c r="N54" i="11"/>
  <c r="J67" i="12" s="1"/>
  <c r="K67" i="12" s="1"/>
  <c r="Q68" i="12"/>
  <c r="R68" i="12" s="1"/>
  <c r="N62" i="11"/>
  <c r="J75" i="12" s="1"/>
  <c r="K75" i="12" s="1"/>
  <c r="R75" i="12" s="1"/>
  <c r="R77" i="12"/>
  <c r="Q73" i="12"/>
  <c r="Q64" i="12"/>
  <c r="N51" i="11"/>
  <c r="J64" i="12" s="1"/>
  <c r="K64" i="12" s="1"/>
  <c r="N68" i="11"/>
  <c r="J81" i="12" s="1"/>
  <c r="K81" i="12" s="1"/>
  <c r="R81" i="12" s="1"/>
  <c r="N53" i="11"/>
  <c r="J66" i="12" s="1"/>
  <c r="K66" i="12" s="1"/>
  <c r="R66" i="12" s="1"/>
  <c r="N49" i="11"/>
  <c r="J62" i="12" s="1"/>
  <c r="K62" i="12" s="1"/>
  <c r="R62" i="12" s="1"/>
  <c r="N58" i="11"/>
  <c r="J71" i="12" s="1"/>
  <c r="K71" i="12" s="1"/>
  <c r="N61" i="11"/>
  <c r="J74" i="12" s="1"/>
  <c r="K74" i="12" s="1"/>
  <c r="R74" i="12" s="1"/>
  <c r="Q65" i="12"/>
  <c r="R78" i="12"/>
  <c r="Q46" i="12"/>
  <c r="N40" i="11"/>
  <c r="J53" i="12" s="1"/>
  <c r="K53" i="12" s="1"/>
  <c r="R53" i="12" s="1"/>
  <c r="N23" i="8"/>
  <c r="J36" i="9" s="1"/>
  <c r="K36" i="9" s="1"/>
  <c r="R43" i="9"/>
  <c r="S43" i="9" s="1"/>
  <c r="T43" i="9" s="1"/>
  <c r="Q45" i="9"/>
  <c r="N32" i="8"/>
  <c r="J45" i="9" s="1"/>
  <c r="K45" i="9" s="1"/>
  <c r="N24" i="8"/>
  <c r="J37" i="9" s="1"/>
  <c r="K37" i="9" s="1"/>
  <c r="R37" i="9" s="1"/>
  <c r="R39" i="9"/>
  <c r="B38" i="10"/>
  <c r="B28" i="10"/>
  <c r="S40" i="9"/>
  <c r="T40" i="9" s="1"/>
  <c r="N28" i="8"/>
  <c r="J41" i="9" s="1"/>
  <c r="K41" i="9" s="1"/>
  <c r="R41" i="9" s="1"/>
  <c r="Y29" i="9"/>
  <c r="Y39" i="9"/>
  <c r="W29" i="9"/>
  <c r="W39" i="9"/>
  <c r="B27" i="9"/>
  <c r="B37" i="9"/>
  <c r="U26" i="9"/>
  <c r="E26" i="9"/>
  <c r="E25" i="10" s="1"/>
  <c r="C26" i="9"/>
  <c r="R38" i="9"/>
  <c r="N29" i="8"/>
  <c r="J42" i="9" s="1"/>
  <c r="K42" i="9" s="1"/>
  <c r="R42" i="9" s="1"/>
  <c r="S39" i="9"/>
  <c r="T39" i="9" s="1"/>
  <c r="R46" i="9"/>
  <c r="N31" i="8"/>
  <c r="J44" i="9" s="1"/>
  <c r="K44" i="9" s="1"/>
  <c r="R44" i="9" s="1"/>
  <c r="B16" i="8"/>
  <c r="B26" i="8"/>
  <c r="R43" i="1"/>
  <c r="R37" i="1"/>
  <c r="Q95" i="1"/>
  <c r="R95" i="1" s="1"/>
  <c r="R68" i="1"/>
  <c r="S68" i="1" s="1"/>
  <c r="R73" i="1"/>
  <c r="R107" i="1"/>
  <c r="S107" i="1" s="1"/>
  <c r="T107" i="1" s="1"/>
  <c r="Q87" i="1"/>
  <c r="R87" i="1" s="1"/>
  <c r="Q102" i="1"/>
  <c r="R102" i="1" s="1"/>
  <c r="S102" i="1" s="1"/>
  <c r="Q76" i="1"/>
  <c r="R76" i="1" s="1"/>
  <c r="S76" i="1" s="1"/>
  <c r="T76" i="1" s="1"/>
  <c r="R115" i="1"/>
  <c r="S115" i="1" s="1"/>
  <c r="T115" i="1" s="1"/>
  <c r="R46" i="1"/>
  <c r="S46" i="1" s="1"/>
  <c r="T46" i="1" s="1"/>
  <c r="R49" i="1"/>
  <c r="R108" i="1"/>
  <c r="S108" i="1" s="1"/>
  <c r="T108" i="1" s="1"/>
  <c r="R128" i="1"/>
  <c r="S128" i="1" s="1"/>
  <c r="T128" i="1" s="1"/>
  <c r="Q112" i="1"/>
  <c r="R80" i="1"/>
  <c r="S80" i="1" s="1"/>
  <c r="T80" i="1" s="1"/>
  <c r="R118" i="1"/>
  <c r="S118" i="1" s="1"/>
  <c r="T118" i="1" s="1"/>
  <c r="R96" i="1"/>
  <c r="S96" i="1" s="1"/>
  <c r="T96" i="1" s="1"/>
  <c r="R47" i="1"/>
  <c r="S47" i="1" s="1"/>
  <c r="T47" i="1" s="1"/>
  <c r="R131" i="1"/>
  <c r="S131" i="1" s="1"/>
  <c r="T131" i="1" s="1"/>
  <c r="R121" i="1"/>
  <c r="S121" i="1" s="1"/>
  <c r="T121" i="1" s="1"/>
  <c r="Q104" i="1"/>
  <c r="R101" i="1"/>
  <c r="S101" i="1" s="1"/>
  <c r="T101" i="1" s="1"/>
  <c r="Q161" i="1"/>
  <c r="R161" i="1" s="1"/>
  <c r="S161" i="1" s="1"/>
  <c r="T161" i="1" s="1"/>
  <c r="N40" i="4"/>
  <c r="J53" i="1" s="1"/>
  <c r="K53" i="1" s="1"/>
  <c r="R53" i="1" s="1"/>
  <c r="S53" i="1" s="1"/>
  <c r="T53" i="1" s="1"/>
  <c r="R66" i="1"/>
  <c r="S66" i="1" s="1"/>
  <c r="T66" i="1" s="1"/>
  <c r="Q113" i="1"/>
  <c r="R30" i="1"/>
  <c r="N45" i="4"/>
  <c r="J58" i="1" s="1"/>
  <c r="K58" i="1" s="1"/>
  <c r="N92" i="4"/>
  <c r="J105" i="1" s="1"/>
  <c r="K105" i="1" s="1"/>
  <c r="Q77" i="1"/>
  <c r="R77" i="1" s="1"/>
  <c r="R152" i="1"/>
  <c r="S152" i="1" s="1"/>
  <c r="T152" i="1" s="1"/>
  <c r="R143" i="1"/>
  <c r="S143" i="1" s="1"/>
  <c r="T143" i="1" s="1"/>
  <c r="Q75" i="1"/>
  <c r="R75" i="1" s="1"/>
  <c r="S75" i="1" s="1"/>
  <c r="T75" i="1" s="1"/>
  <c r="R103" i="1"/>
  <c r="S103" i="1" s="1"/>
  <c r="T103" i="1" s="1"/>
  <c r="R130" i="1"/>
  <c r="S130" i="1" s="1"/>
  <c r="T130" i="1" s="1"/>
  <c r="R110" i="1"/>
  <c r="S110" i="1" s="1"/>
  <c r="T110" i="1" s="1"/>
  <c r="R111" i="1"/>
  <c r="S111" i="1" s="1"/>
  <c r="T111" i="1" s="1"/>
  <c r="R148" i="1"/>
  <c r="N100" i="4"/>
  <c r="J113" i="1" s="1"/>
  <c r="K113" i="1" s="1"/>
  <c r="R64" i="1"/>
  <c r="S64" i="1" s="1"/>
  <c r="T64" i="1" s="1"/>
  <c r="N41" i="4"/>
  <c r="J54" i="1" s="1"/>
  <c r="K54" i="1" s="1"/>
  <c r="R54" i="1" s="1"/>
  <c r="S54" i="1" s="1"/>
  <c r="T54" i="1" s="1"/>
  <c r="N44" i="4"/>
  <c r="J57" i="1" s="1"/>
  <c r="K57" i="1" s="1"/>
  <c r="R142" i="1"/>
  <c r="S142" i="1" s="1"/>
  <c r="T142" i="1" s="1"/>
  <c r="N144" i="4"/>
  <c r="J157" i="1" s="1"/>
  <c r="K157" i="1" s="1"/>
  <c r="R157" i="1" s="1"/>
  <c r="S157" i="1" s="1"/>
  <c r="T157" i="1" s="1"/>
  <c r="R88" i="1"/>
  <c r="S88" i="1" s="1"/>
  <c r="T88" i="1" s="1"/>
  <c r="R63" i="1"/>
  <c r="S63" i="1" s="1"/>
  <c r="T63" i="1" s="1"/>
  <c r="N12" i="4"/>
  <c r="J25" i="1" s="1"/>
  <c r="K25" i="1" s="1"/>
  <c r="R25" i="1" s="1"/>
  <c r="S25" i="1" s="1"/>
  <c r="T25" i="1" s="1"/>
  <c r="R98" i="1"/>
  <c r="S98" i="1" s="1"/>
  <c r="T98" i="1" s="1"/>
  <c r="R99" i="1"/>
  <c r="S99" i="1" s="1"/>
  <c r="T99" i="1" s="1"/>
  <c r="R91" i="1"/>
  <c r="S91" i="1" s="1"/>
  <c r="T91" i="1" s="1"/>
  <c r="R125" i="1"/>
  <c r="S125" i="1" s="1"/>
  <c r="T125" i="1" s="1"/>
  <c r="R133" i="1"/>
  <c r="S133" i="1" s="1"/>
  <c r="T133" i="1" s="1"/>
  <c r="R79" i="1"/>
  <c r="S79" i="1" s="1"/>
  <c r="T79" i="1" s="1"/>
  <c r="R36" i="1"/>
  <c r="S36" i="1" s="1"/>
  <c r="T36" i="1" s="1"/>
  <c r="R122" i="1"/>
  <c r="S122" i="1" s="1"/>
  <c r="T122" i="1" s="1"/>
  <c r="R132" i="1"/>
  <c r="S132" i="1" s="1"/>
  <c r="T132" i="1" s="1"/>
  <c r="R160" i="1"/>
  <c r="S160" i="1" s="1"/>
  <c r="R140" i="1"/>
  <c r="S140" i="1" s="1"/>
  <c r="T140" i="1" s="1"/>
  <c r="R138" i="1"/>
  <c r="S138" i="1" s="1"/>
  <c r="T138" i="1" s="1"/>
  <c r="S156" i="1"/>
  <c r="T156" i="1" s="1"/>
  <c r="S149" i="1"/>
  <c r="T149" i="1" s="1"/>
  <c r="R154" i="1"/>
  <c r="R136" i="1"/>
  <c r="Q126" i="1"/>
  <c r="R126" i="1" s="1"/>
  <c r="Q158" i="1"/>
  <c r="R158" i="1" s="1"/>
  <c r="Q150" i="1"/>
  <c r="R150" i="1" s="1"/>
  <c r="N106" i="4"/>
  <c r="J119" i="1" s="1"/>
  <c r="K119" i="1" s="1"/>
  <c r="R119" i="1" s="1"/>
  <c r="N69" i="4"/>
  <c r="J82" i="1" s="1"/>
  <c r="K82" i="1" s="1"/>
  <c r="R82" i="1" s="1"/>
  <c r="S82" i="1" s="1"/>
  <c r="T82" i="1" s="1"/>
  <c r="R100" i="1"/>
  <c r="S100" i="1" s="1"/>
  <c r="T100" i="1" s="1"/>
  <c r="R116" i="1"/>
  <c r="S141" i="1"/>
  <c r="T141" i="1" s="1"/>
  <c r="N81" i="4"/>
  <c r="J94" i="1" s="1"/>
  <c r="K94" i="1" s="1"/>
  <c r="R94" i="1" s="1"/>
  <c r="S94" i="1" s="1"/>
  <c r="R134" i="1"/>
  <c r="R137" i="1"/>
  <c r="R145" i="1"/>
  <c r="R153" i="1"/>
  <c r="R123" i="1"/>
  <c r="R97" i="1"/>
  <c r="S97" i="1" s="1"/>
  <c r="T97" i="1" s="1"/>
  <c r="Q135" i="1"/>
  <c r="R135" i="1" s="1"/>
  <c r="S148" i="1"/>
  <c r="T148" i="1" s="1"/>
  <c r="R114" i="1"/>
  <c r="S124" i="1"/>
  <c r="T124" i="1" s="1"/>
  <c r="R105" i="1"/>
  <c r="S105" i="1" s="1"/>
  <c r="T105" i="1" s="1"/>
  <c r="Q146" i="1"/>
  <c r="R146" i="1" s="1"/>
  <c r="R127" i="1"/>
  <c r="N104" i="4"/>
  <c r="J117" i="1" s="1"/>
  <c r="K117" i="1" s="1"/>
  <c r="R117" i="1" s="1"/>
  <c r="R144" i="1"/>
  <c r="R159" i="1"/>
  <c r="R106" i="1"/>
  <c r="S106" i="1" s="1"/>
  <c r="T106" i="1" s="1"/>
  <c r="N134" i="4"/>
  <c r="J147" i="1" s="1"/>
  <c r="K147" i="1" s="1"/>
  <c r="R147" i="1" s="1"/>
  <c r="R120" i="1"/>
  <c r="N138" i="4"/>
  <c r="J151" i="1" s="1"/>
  <c r="K151" i="1" s="1"/>
  <c r="R151" i="1" s="1"/>
  <c r="N32" i="4"/>
  <c r="J45" i="1" s="1"/>
  <c r="K45" i="1" s="1"/>
  <c r="R45" i="1" s="1"/>
  <c r="S45" i="1" s="1"/>
  <c r="T45" i="1" s="1"/>
  <c r="R155" i="1"/>
  <c r="S139" i="1"/>
  <c r="T139" i="1" s="1"/>
  <c r="Q129" i="1"/>
  <c r="R129" i="1" s="1"/>
  <c r="R55" i="1"/>
  <c r="S55" i="1" s="1"/>
  <c r="T55" i="1" s="1"/>
  <c r="N57" i="4"/>
  <c r="J70" i="1" s="1"/>
  <c r="K70" i="1" s="1"/>
  <c r="R70" i="1" s="1"/>
  <c r="S70" i="1" s="1"/>
  <c r="J29" i="12"/>
  <c r="K29" i="12" s="1"/>
  <c r="R29" i="12" s="1"/>
  <c r="S29" i="12" s="1"/>
  <c r="T29" i="12" s="1"/>
  <c r="J50" i="12"/>
  <c r="K50" i="12" s="1"/>
  <c r="R50" i="12" s="1"/>
  <c r="S50" i="12" s="1"/>
  <c r="T50" i="12" s="1"/>
  <c r="N18" i="24"/>
  <c r="J31" i="25" s="1"/>
  <c r="K31" i="25" s="1"/>
  <c r="N14" i="8"/>
  <c r="J27" i="9" s="1"/>
  <c r="K27" i="9" s="1"/>
  <c r="J34" i="12"/>
  <c r="K34" i="12" s="1"/>
  <c r="R34" i="12" s="1"/>
  <c r="N29" i="11"/>
  <c r="J42" i="12" s="1"/>
  <c r="K42" i="12" s="1"/>
  <c r="R42" i="12" s="1"/>
  <c r="J27" i="12"/>
  <c r="K27" i="12" s="1"/>
  <c r="R27" i="12" s="1"/>
  <c r="S27" i="12" s="1"/>
  <c r="T27" i="12" s="1"/>
  <c r="N23" i="11"/>
  <c r="J45" i="12"/>
  <c r="K45" i="12" s="1"/>
  <c r="R38" i="1"/>
  <c r="S38" i="1" s="1"/>
  <c r="T38" i="1" s="1"/>
  <c r="J46" i="12"/>
  <c r="K46" i="12" s="1"/>
  <c r="J33" i="12"/>
  <c r="K33" i="12" s="1"/>
  <c r="R33" i="12" s="1"/>
  <c r="S33" i="12" s="1"/>
  <c r="J32" i="12"/>
  <c r="K32" i="12" s="1"/>
  <c r="R32" i="12" s="1"/>
  <c r="S32" i="12" s="1"/>
  <c r="T32" i="12" s="1"/>
  <c r="J48" i="12"/>
  <c r="K48" i="12" s="1"/>
  <c r="R48" i="12" s="1"/>
  <c r="J28" i="12"/>
  <c r="K28" i="12" s="1"/>
  <c r="R28" i="12" s="1"/>
  <c r="S28" i="12" s="1"/>
  <c r="T28" i="12" s="1"/>
  <c r="R45" i="19"/>
  <c r="S45" i="19" s="1"/>
  <c r="T45" i="19" s="1"/>
  <c r="J26" i="12"/>
  <c r="K26" i="12" s="1"/>
  <c r="R26" i="12" s="1"/>
  <c r="S26" i="12" s="1"/>
  <c r="T26" i="12" s="1"/>
  <c r="D56" i="37"/>
  <c r="D55" i="38" s="1"/>
  <c r="C55" i="38"/>
  <c r="E57" i="37"/>
  <c r="E56" i="38" s="1"/>
  <c r="C57" i="37"/>
  <c r="B58" i="37"/>
  <c r="B81" i="37" s="1"/>
  <c r="U57" i="37"/>
  <c r="N34" i="18"/>
  <c r="J47" i="19" s="1"/>
  <c r="K47" i="19" s="1"/>
  <c r="R47" i="19" s="1"/>
  <c r="S47" i="19" s="1"/>
  <c r="T47" i="19" s="1"/>
  <c r="J52" i="12"/>
  <c r="K52" i="12" s="1"/>
  <c r="N28" i="11"/>
  <c r="J41" i="12" s="1"/>
  <c r="K41" i="12" s="1"/>
  <c r="R41" i="12" s="1"/>
  <c r="J40" i="12"/>
  <c r="K40" i="12" s="1"/>
  <c r="R40" i="12" s="1"/>
  <c r="S40" i="12" s="1"/>
  <c r="T40" i="12" s="1"/>
  <c r="J51" i="12"/>
  <c r="K51" i="12" s="1"/>
  <c r="R51" i="12" s="1"/>
  <c r="R82" i="12"/>
  <c r="S82" i="12" s="1"/>
  <c r="T82" i="12" s="1"/>
  <c r="R57" i="1"/>
  <c r="S57" i="1" s="1"/>
  <c r="T57" i="1" s="1"/>
  <c r="R58" i="1"/>
  <c r="S58" i="1" s="1"/>
  <c r="T58" i="1" s="1"/>
  <c r="T92" i="1"/>
  <c r="R26" i="1"/>
  <c r="S26" i="1" s="1"/>
  <c r="T26" i="1" s="1"/>
  <c r="J70" i="25"/>
  <c r="K70" i="25" s="1"/>
  <c r="R70" i="25" s="1"/>
  <c r="N27" i="24"/>
  <c r="J40" i="25" s="1"/>
  <c r="K40" i="25" s="1"/>
  <c r="J47" i="25"/>
  <c r="K47" i="25" s="1"/>
  <c r="N25" i="24"/>
  <c r="J38" i="25" s="1"/>
  <c r="K38" i="25" s="1"/>
  <c r="J48" i="25"/>
  <c r="K48" i="25" s="1"/>
  <c r="R48" i="25" s="1"/>
  <c r="N28" i="24"/>
  <c r="J41" i="25" s="1"/>
  <c r="K41" i="25" s="1"/>
  <c r="N20" i="24"/>
  <c r="J33" i="25" s="1"/>
  <c r="K33" i="25" s="1"/>
  <c r="R33" i="25" s="1"/>
  <c r="N23" i="24"/>
  <c r="J36" i="25" s="1"/>
  <c r="K36" i="25" s="1"/>
  <c r="J35" i="25"/>
  <c r="K35" i="25" s="1"/>
  <c r="J37" i="25"/>
  <c r="K37" i="25" s="1"/>
  <c r="N19" i="24"/>
  <c r="S49" i="19"/>
  <c r="T49" i="19" s="1"/>
  <c r="N37" i="18"/>
  <c r="J50" i="19" s="1"/>
  <c r="K50" i="19" s="1"/>
  <c r="S56" i="12"/>
  <c r="T56" i="12" s="1"/>
  <c r="S59" i="12"/>
  <c r="T59" i="12" s="1"/>
  <c r="K57" i="12"/>
  <c r="R54" i="12"/>
  <c r="S54" i="12" s="1"/>
  <c r="T54" i="12" s="1"/>
  <c r="N36" i="11"/>
  <c r="N24" i="11"/>
  <c r="T30" i="12"/>
  <c r="N34" i="11"/>
  <c r="N18" i="11"/>
  <c r="S35" i="12"/>
  <c r="T35" i="12" s="1"/>
  <c r="N30" i="11"/>
  <c r="N27" i="9"/>
  <c r="N28" i="9"/>
  <c r="N20" i="8"/>
  <c r="J33" i="9" s="1"/>
  <c r="K33" i="9" s="1"/>
  <c r="R109" i="1"/>
  <c r="S109" i="1" s="1"/>
  <c r="T109" i="1" s="1"/>
  <c r="S93" i="1"/>
  <c r="T93" i="1" s="1"/>
  <c r="S65" i="1"/>
  <c r="T65" i="1" s="1"/>
  <c r="S60" i="1"/>
  <c r="T60" i="1" s="1"/>
  <c r="S95" i="1"/>
  <c r="T95" i="1" s="1"/>
  <c r="S61" i="1"/>
  <c r="T61" i="1" s="1"/>
  <c r="S77" i="1"/>
  <c r="T77" i="1" s="1"/>
  <c r="N31" i="4"/>
  <c r="J44" i="1" s="1"/>
  <c r="K44" i="1" s="1"/>
  <c r="R44" i="1" s="1"/>
  <c r="S43" i="1"/>
  <c r="T43" i="1" s="1"/>
  <c r="S78" i="1"/>
  <c r="T78" i="1" s="1"/>
  <c r="S69" i="1"/>
  <c r="T69" i="1" s="1"/>
  <c r="S71" i="1"/>
  <c r="T71" i="1" s="1"/>
  <c r="N43" i="4"/>
  <c r="J56" i="1" s="1"/>
  <c r="K56" i="1" s="1"/>
  <c r="R56" i="1" s="1"/>
  <c r="S90" i="1"/>
  <c r="T90" i="1" s="1"/>
  <c r="S89" i="1"/>
  <c r="T89" i="1" s="1"/>
  <c r="S30" i="1"/>
  <c r="T30" i="1" s="1"/>
  <c r="S59" i="1"/>
  <c r="T59" i="1" s="1"/>
  <c r="N99" i="4"/>
  <c r="J112" i="1" s="1"/>
  <c r="K112" i="1" s="1"/>
  <c r="R112" i="1" s="1"/>
  <c r="N39" i="4"/>
  <c r="J52" i="1" s="1"/>
  <c r="K52" i="1" s="1"/>
  <c r="R52" i="1" s="1"/>
  <c r="S42" i="1"/>
  <c r="T42" i="1" s="1"/>
  <c r="N37" i="4"/>
  <c r="J50" i="1" s="1"/>
  <c r="K50" i="1" s="1"/>
  <c r="R50" i="1" s="1"/>
  <c r="N73" i="4"/>
  <c r="J86" i="1" s="1"/>
  <c r="K86" i="1" s="1"/>
  <c r="R86" i="1" s="1"/>
  <c r="R72" i="1"/>
  <c r="S41" i="1"/>
  <c r="T41" i="1" s="1"/>
  <c r="R51" i="1"/>
  <c r="S73" i="1"/>
  <c r="T73" i="1" s="1"/>
  <c r="N61" i="4"/>
  <c r="J74" i="1" s="1"/>
  <c r="K74" i="1" s="1"/>
  <c r="R74" i="1" s="1"/>
  <c r="S49" i="1"/>
  <c r="T49" i="1" s="1"/>
  <c r="S83" i="1"/>
  <c r="T83" i="1" s="1"/>
  <c r="S37" i="1"/>
  <c r="T37" i="1" s="1"/>
  <c r="N21" i="4"/>
  <c r="J34" i="1" s="1"/>
  <c r="K34" i="1" s="1"/>
  <c r="R34" i="1" s="1"/>
  <c r="N49" i="4"/>
  <c r="J62" i="1" s="1"/>
  <c r="K62" i="1" s="1"/>
  <c r="R62" i="1" s="1"/>
  <c r="N91" i="4"/>
  <c r="J104" i="1" s="1"/>
  <c r="K104" i="1" s="1"/>
  <c r="N22" i="4"/>
  <c r="J35" i="1" s="1"/>
  <c r="K35" i="1" s="1"/>
  <c r="R35" i="1" s="1"/>
  <c r="N26" i="4"/>
  <c r="J39" i="1" s="1"/>
  <c r="K39" i="1" s="1"/>
  <c r="R39" i="1" s="1"/>
  <c r="N27" i="4"/>
  <c r="J40" i="1" s="1"/>
  <c r="K40" i="1" s="1"/>
  <c r="R40" i="1" s="1"/>
  <c r="N18" i="4"/>
  <c r="J31" i="1" s="1"/>
  <c r="K31" i="1" s="1"/>
  <c r="R31" i="1" s="1"/>
  <c r="N16" i="4"/>
  <c r="J29" i="1" s="1"/>
  <c r="K29" i="1" s="1"/>
  <c r="R29" i="1" s="1"/>
  <c r="N10" i="4"/>
  <c r="J23" i="1" s="1"/>
  <c r="K23" i="1" s="1"/>
  <c r="N14" i="4"/>
  <c r="J27" i="1" s="1"/>
  <c r="K27" i="1" s="1"/>
  <c r="R27" i="1" s="1"/>
  <c r="N20" i="4"/>
  <c r="J33" i="1" s="1"/>
  <c r="K33" i="1" s="1"/>
  <c r="R33" i="1" s="1"/>
  <c r="N15" i="4"/>
  <c r="J28" i="1" s="1"/>
  <c r="K28" i="1" s="1"/>
  <c r="R28" i="1" s="1"/>
  <c r="N11" i="4"/>
  <c r="J24" i="1" s="1"/>
  <c r="K24" i="1" s="1"/>
  <c r="R24" i="1" s="1"/>
  <c r="N19" i="4"/>
  <c r="J32" i="1" s="1"/>
  <c r="K32" i="1" s="1"/>
  <c r="R32" i="1" s="1"/>
  <c r="D80" i="37" l="1"/>
  <c r="D79" i="38" s="1"/>
  <c r="C79" i="38"/>
  <c r="E81" i="37"/>
  <c r="E80" i="38" s="1"/>
  <c r="C81" i="37"/>
  <c r="U81" i="37"/>
  <c r="R63" i="25"/>
  <c r="R47" i="25"/>
  <c r="S47" i="25" s="1"/>
  <c r="T47" i="25" s="1"/>
  <c r="R45" i="25"/>
  <c r="S45" i="25" s="1"/>
  <c r="T45" i="25" s="1"/>
  <c r="R31" i="25"/>
  <c r="S31" i="25" s="1"/>
  <c r="T31" i="25" s="1"/>
  <c r="R56" i="25"/>
  <c r="S56" i="25" s="1"/>
  <c r="T56" i="25" s="1"/>
  <c r="R64" i="25"/>
  <c r="S64" i="25" s="1"/>
  <c r="T64" i="25" s="1"/>
  <c r="R52" i="25"/>
  <c r="S52" i="25" s="1"/>
  <c r="T52" i="25" s="1"/>
  <c r="R59" i="25"/>
  <c r="S59" i="25" s="1"/>
  <c r="T59" i="25" s="1"/>
  <c r="S62" i="25"/>
  <c r="T62" i="25" s="1"/>
  <c r="S55" i="25"/>
  <c r="T55" i="25" s="1"/>
  <c r="S66" i="25"/>
  <c r="T66" i="25" s="1"/>
  <c r="S54" i="25"/>
  <c r="T54" i="25" s="1"/>
  <c r="S63" i="25"/>
  <c r="T63" i="25" s="1"/>
  <c r="S58" i="25"/>
  <c r="T58" i="25" s="1"/>
  <c r="S57" i="25"/>
  <c r="T57" i="25" s="1"/>
  <c r="S53" i="25"/>
  <c r="T53" i="25" s="1"/>
  <c r="S60" i="25"/>
  <c r="T60" i="25" s="1"/>
  <c r="S65" i="25"/>
  <c r="T65" i="25" s="1"/>
  <c r="S69" i="25"/>
  <c r="T69" i="25" s="1"/>
  <c r="S67" i="25"/>
  <c r="T67" i="25" s="1"/>
  <c r="R61" i="25"/>
  <c r="S36" i="22"/>
  <c r="T36" i="22" s="1"/>
  <c r="T67" i="19"/>
  <c r="R50" i="19"/>
  <c r="S50" i="19" s="1"/>
  <c r="T50" i="19" s="1"/>
  <c r="S59" i="19"/>
  <c r="T59" i="19" s="1"/>
  <c r="R61" i="19"/>
  <c r="S66" i="19"/>
  <c r="T66" i="19" s="1"/>
  <c r="S65" i="19"/>
  <c r="T65" i="19" s="1"/>
  <c r="S62" i="19"/>
  <c r="T62" i="19" s="1"/>
  <c r="S60" i="19"/>
  <c r="T60" i="19" s="1"/>
  <c r="R57" i="12"/>
  <c r="R46" i="12"/>
  <c r="R71" i="12"/>
  <c r="S71" i="12" s="1"/>
  <c r="T71" i="12" s="1"/>
  <c r="R73" i="12"/>
  <c r="S73" i="12" s="1"/>
  <c r="T73" i="12" s="1"/>
  <c r="R65" i="12"/>
  <c r="S65" i="12" s="1"/>
  <c r="T65" i="12" s="1"/>
  <c r="T33" i="12"/>
  <c r="R52" i="12"/>
  <c r="S52" i="12" s="1"/>
  <c r="T52" i="12" s="1"/>
  <c r="R67" i="12"/>
  <c r="S67" i="12" s="1"/>
  <c r="T67" i="12" s="1"/>
  <c r="R63" i="12"/>
  <c r="S76" i="12"/>
  <c r="T76" i="12" s="1"/>
  <c r="S75" i="12"/>
  <c r="T75" i="12" s="1"/>
  <c r="S69" i="12"/>
  <c r="T69" i="12" s="1"/>
  <c r="R45" i="12"/>
  <c r="S45" i="12" s="1"/>
  <c r="T45" i="12" s="1"/>
  <c r="S62" i="12"/>
  <c r="T62" i="12" s="1"/>
  <c r="S70" i="12"/>
  <c r="T70" i="12" s="1"/>
  <c r="S66" i="12"/>
  <c r="T66" i="12" s="1"/>
  <c r="S81" i="12"/>
  <c r="T81" i="12" s="1"/>
  <c r="S78" i="12"/>
  <c r="T78" i="12" s="1"/>
  <c r="R64" i="12"/>
  <c r="S80" i="12"/>
  <c r="T80" i="12" s="1"/>
  <c r="S77" i="12"/>
  <c r="T77" i="12" s="1"/>
  <c r="S63" i="12"/>
  <c r="T63" i="12" s="1"/>
  <c r="S72" i="12"/>
  <c r="T72" i="12" s="1"/>
  <c r="S68" i="12"/>
  <c r="T68" i="12" s="1"/>
  <c r="S74" i="12"/>
  <c r="T74" i="12" s="1"/>
  <c r="R45" i="9"/>
  <c r="S45" i="9" s="1"/>
  <c r="T45" i="9" s="1"/>
  <c r="B39" i="10"/>
  <c r="B29" i="10"/>
  <c r="S37" i="9"/>
  <c r="T37" i="9" s="1"/>
  <c r="S44" i="9"/>
  <c r="T44" i="9" s="1"/>
  <c r="S46" i="9"/>
  <c r="T46" i="9" s="1"/>
  <c r="C37" i="9"/>
  <c r="U37" i="9"/>
  <c r="E37" i="9"/>
  <c r="E36" i="10" s="1"/>
  <c r="Y30" i="9"/>
  <c r="Y40" i="9"/>
  <c r="B28" i="9"/>
  <c r="B38" i="9"/>
  <c r="U27" i="9"/>
  <c r="C27" i="9"/>
  <c r="E27" i="9"/>
  <c r="E26" i="10" s="1"/>
  <c r="S41" i="9"/>
  <c r="T41" i="9" s="1"/>
  <c r="S42" i="9"/>
  <c r="T42" i="9" s="1"/>
  <c r="W30" i="9"/>
  <c r="W40" i="9"/>
  <c r="S38" i="9"/>
  <c r="T38" i="9" s="1"/>
  <c r="C25" i="10"/>
  <c r="D26" i="9"/>
  <c r="D25" i="10" s="1"/>
  <c r="B17" i="8"/>
  <c r="B27" i="8"/>
  <c r="T68" i="1"/>
  <c r="R104" i="1"/>
  <c r="S104" i="1" s="1"/>
  <c r="T104" i="1" s="1"/>
  <c r="S87" i="1"/>
  <c r="T87" i="1" s="1"/>
  <c r="R113" i="1"/>
  <c r="S113" i="1" s="1"/>
  <c r="T113" i="1" s="1"/>
  <c r="T94" i="1"/>
  <c r="T102" i="1"/>
  <c r="T160" i="1"/>
  <c r="S126" i="1"/>
  <c r="T126" i="1" s="1"/>
  <c r="S136" i="1"/>
  <c r="T136" i="1" s="1"/>
  <c r="S120" i="1"/>
  <c r="T120" i="1" s="1"/>
  <c r="S127" i="1"/>
  <c r="T127" i="1" s="1"/>
  <c r="S145" i="1"/>
  <c r="T145" i="1" s="1"/>
  <c r="S154" i="1"/>
  <c r="T154" i="1" s="1"/>
  <c r="S147" i="1"/>
  <c r="T147" i="1" s="1"/>
  <c r="S146" i="1"/>
  <c r="T146" i="1" s="1"/>
  <c r="S114" i="1"/>
  <c r="T114" i="1" s="1"/>
  <c r="S135" i="1"/>
  <c r="T135" i="1" s="1"/>
  <c r="S155" i="1"/>
  <c r="T155" i="1" s="1"/>
  <c r="S159" i="1"/>
  <c r="T159" i="1" s="1"/>
  <c r="S129" i="1"/>
  <c r="T129" i="1" s="1"/>
  <c r="S123" i="1"/>
  <c r="T123" i="1" s="1"/>
  <c r="S119" i="1"/>
  <c r="T119" i="1" s="1"/>
  <c r="S144" i="1"/>
  <c r="T144" i="1" s="1"/>
  <c r="S116" i="1"/>
  <c r="T116" i="1" s="1"/>
  <c r="S150" i="1"/>
  <c r="T150" i="1" s="1"/>
  <c r="S151" i="1"/>
  <c r="T151" i="1" s="1"/>
  <c r="S117" i="1"/>
  <c r="T117" i="1" s="1"/>
  <c r="S137" i="1"/>
  <c r="T137" i="1" s="1"/>
  <c r="S158" i="1"/>
  <c r="T158" i="1" s="1"/>
  <c r="S153" i="1"/>
  <c r="T153" i="1" s="1"/>
  <c r="S134" i="1"/>
  <c r="T134" i="1" s="1"/>
  <c r="S34" i="12"/>
  <c r="T34" i="12" s="1"/>
  <c r="S48" i="12"/>
  <c r="T48" i="12" s="1"/>
  <c r="S46" i="12"/>
  <c r="T46" i="12" s="1"/>
  <c r="J43" i="12"/>
  <c r="K43" i="12" s="1"/>
  <c r="R43" i="12" s="1"/>
  <c r="S43" i="12" s="1"/>
  <c r="T43" i="12" s="1"/>
  <c r="J49" i="12"/>
  <c r="K49" i="12" s="1"/>
  <c r="R49" i="12" s="1"/>
  <c r="S49" i="12" s="1"/>
  <c r="T49" i="12" s="1"/>
  <c r="J47" i="12"/>
  <c r="K47" i="12" s="1"/>
  <c r="R47" i="12" s="1"/>
  <c r="S47" i="12" s="1"/>
  <c r="T47" i="12" s="1"/>
  <c r="J36" i="12"/>
  <c r="K36" i="12" s="1"/>
  <c r="R36" i="12" s="1"/>
  <c r="S36" i="12" s="1"/>
  <c r="T36" i="12" s="1"/>
  <c r="J37" i="12"/>
  <c r="K37" i="12" s="1"/>
  <c r="R37" i="12" s="1"/>
  <c r="S37" i="12" s="1"/>
  <c r="T37" i="12" s="1"/>
  <c r="J31" i="12"/>
  <c r="K31" i="12" s="1"/>
  <c r="R31" i="12" s="1"/>
  <c r="S31" i="12" s="1"/>
  <c r="T31" i="12" s="1"/>
  <c r="C56" i="38"/>
  <c r="D57" i="37"/>
  <c r="D56" i="38" s="1"/>
  <c r="B59" i="37"/>
  <c r="B82" i="37" s="1"/>
  <c r="C58" i="37"/>
  <c r="U58" i="37"/>
  <c r="E58" i="37"/>
  <c r="E57" i="38" s="1"/>
  <c r="S42" i="12"/>
  <c r="T42" i="12" s="1"/>
  <c r="S41" i="12"/>
  <c r="T41" i="12" s="1"/>
  <c r="S51" i="12"/>
  <c r="T51" i="12" s="1"/>
  <c r="T70" i="1"/>
  <c r="S70" i="25"/>
  <c r="T70" i="25" s="1"/>
  <c r="S48" i="25"/>
  <c r="T48" i="25" s="1"/>
  <c r="S49" i="25"/>
  <c r="T49" i="25" s="1"/>
  <c r="S33" i="25"/>
  <c r="T33" i="25" s="1"/>
  <c r="J32" i="25"/>
  <c r="K32" i="25" s="1"/>
  <c r="R32" i="25" s="1"/>
  <c r="S32" i="25" s="1"/>
  <c r="T32" i="25" s="1"/>
  <c r="S57" i="12"/>
  <c r="T57" i="12" s="1"/>
  <c r="S53" i="12"/>
  <c r="T53" i="12" s="1"/>
  <c r="N30" i="9"/>
  <c r="N29" i="9"/>
  <c r="S52" i="1"/>
  <c r="T52" i="1" s="1"/>
  <c r="S35" i="1"/>
  <c r="T35" i="1" s="1"/>
  <c r="S34" i="1"/>
  <c r="T34" i="1" s="1"/>
  <c r="S40" i="1"/>
  <c r="T40" i="1" s="1"/>
  <c r="S39" i="1"/>
  <c r="T39" i="1" s="1"/>
  <c r="S56" i="1"/>
  <c r="T56" i="1" s="1"/>
  <c r="S72" i="1"/>
  <c r="T72" i="1" s="1"/>
  <c r="S112" i="1"/>
  <c r="T112" i="1" s="1"/>
  <c r="S33" i="1"/>
  <c r="T33" i="1" s="1"/>
  <c r="S28" i="1"/>
  <c r="T28" i="1" s="1"/>
  <c r="S27" i="1"/>
  <c r="T27" i="1" s="1"/>
  <c r="S32" i="1"/>
  <c r="T32" i="1" s="1"/>
  <c r="S24" i="1"/>
  <c r="T24" i="1" s="1"/>
  <c r="S51" i="1"/>
  <c r="T51" i="1" s="1"/>
  <c r="S31" i="1"/>
  <c r="T31" i="1" s="1"/>
  <c r="S86" i="1"/>
  <c r="T86" i="1" s="1"/>
  <c r="S50" i="1"/>
  <c r="T50" i="1" s="1"/>
  <c r="S44" i="1"/>
  <c r="T44" i="1" s="1"/>
  <c r="S74" i="1"/>
  <c r="T74" i="1" s="1"/>
  <c r="S29" i="1"/>
  <c r="T29" i="1" s="1"/>
  <c r="S62" i="1"/>
  <c r="T62" i="1" s="1"/>
  <c r="D81" i="37" l="1"/>
  <c r="D80" i="38" s="1"/>
  <c r="C80" i="38"/>
  <c r="U82" i="37"/>
  <c r="E82" i="37"/>
  <c r="E81" i="38" s="1"/>
  <c r="C82" i="37"/>
  <c r="S61" i="25"/>
  <c r="T61" i="25" s="1"/>
  <c r="S61" i="19"/>
  <c r="T61" i="19" s="1"/>
  <c r="S64" i="12"/>
  <c r="T64" i="12" s="1"/>
  <c r="D37" i="9"/>
  <c r="D36" i="10" s="1"/>
  <c r="C36" i="10"/>
  <c r="B30" i="10"/>
  <c r="B40" i="10"/>
  <c r="D27" i="9"/>
  <c r="D26" i="10" s="1"/>
  <c r="C26" i="10"/>
  <c r="W31" i="9"/>
  <c r="W41" i="9"/>
  <c r="E38" i="9"/>
  <c r="E37" i="10" s="1"/>
  <c r="C38" i="9"/>
  <c r="U38" i="9"/>
  <c r="B29" i="9"/>
  <c r="B39" i="9"/>
  <c r="U28" i="9"/>
  <c r="E28" i="9"/>
  <c r="E27" i="10" s="1"/>
  <c r="C28" i="9"/>
  <c r="Y31" i="9"/>
  <c r="Y41" i="9"/>
  <c r="B18" i="8"/>
  <c r="B28" i="8"/>
  <c r="C57" i="38"/>
  <c r="D58" i="37"/>
  <c r="D57" i="38" s="1"/>
  <c r="C59" i="37"/>
  <c r="E59" i="37"/>
  <c r="E58" i="38" s="1"/>
  <c r="U59" i="37"/>
  <c r="B60" i="37"/>
  <c r="B83" i="37" s="1"/>
  <c r="N31" i="9"/>
  <c r="N32" i="9"/>
  <c r="D82" i="37" l="1"/>
  <c r="D81" i="38" s="1"/>
  <c r="C81" i="38"/>
  <c r="E83" i="37"/>
  <c r="E82" i="38" s="1"/>
  <c r="C83" i="37"/>
  <c r="U83" i="37"/>
  <c r="D38" i="9"/>
  <c r="D37" i="10" s="1"/>
  <c r="C37" i="10"/>
  <c r="B31" i="10"/>
  <c r="B41" i="10"/>
  <c r="B30" i="9"/>
  <c r="B40" i="9"/>
  <c r="U29" i="9"/>
  <c r="E29" i="9"/>
  <c r="E28" i="10" s="1"/>
  <c r="C29" i="9"/>
  <c r="C27" i="10"/>
  <c r="D28" i="9"/>
  <c r="D27" i="10" s="1"/>
  <c r="W32" i="9"/>
  <c r="W42" i="9"/>
  <c r="Y32" i="9"/>
  <c r="Y42" i="9"/>
  <c r="E39" i="9"/>
  <c r="E38" i="10" s="1"/>
  <c r="U39" i="9"/>
  <c r="C39" i="9"/>
  <c r="B19" i="8"/>
  <c r="B29" i="8"/>
  <c r="C60" i="37"/>
  <c r="U60" i="37"/>
  <c r="E60" i="37"/>
  <c r="E59" i="38" s="1"/>
  <c r="B61" i="37"/>
  <c r="B84" i="37" s="1"/>
  <c r="D59" i="37"/>
  <c r="D58" i="38" s="1"/>
  <c r="C58" i="38"/>
  <c r="N34" i="9"/>
  <c r="N36" i="9"/>
  <c r="N33" i="9"/>
  <c r="D83" i="37" l="1"/>
  <c r="D82" i="38" s="1"/>
  <c r="C82" i="38"/>
  <c r="C84" i="37"/>
  <c r="U84" i="37"/>
  <c r="E84" i="37"/>
  <c r="E83" i="38" s="1"/>
  <c r="D39" i="9"/>
  <c r="D38" i="10" s="1"/>
  <c r="C38" i="10"/>
  <c r="B32" i="10"/>
  <c r="B42" i="10"/>
  <c r="C28" i="10"/>
  <c r="D29" i="9"/>
  <c r="D28" i="10" s="1"/>
  <c r="W33" i="9"/>
  <c r="W43" i="9"/>
  <c r="Y33" i="9"/>
  <c r="Y43" i="9"/>
  <c r="C40" i="9"/>
  <c r="E40" i="9"/>
  <c r="E39" i="10" s="1"/>
  <c r="U40" i="9"/>
  <c r="B31" i="9"/>
  <c r="B41" i="9"/>
  <c r="U30" i="9"/>
  <c r="E30" i="9"/>
  <c r="E29" i="10" s="1"/>
  <c r="C30" i="9"/>
  <c r="B20" i="8"/>
  <c r="B30" i="8"/>
  <c r="C61" i="37"/>
  <c r="E61" i="37"/>
  <c r="E60" i="38" s="1"/>
  <c r="U61" i="37"/>
  <c r="B62" i="37"/>
  <c r="C59" i="38"/>
  <c r="D60" i="37"/>
  <c r="D59" i="38" s="1"/>
  <c r="N47" i="9"/>
  <c r="N35" i="9"/>
  <c r="D84" i="37" l="1"/>
  <c r="D83" i="38" s="1"/>
  <c r="C83" i="38"/>
  <c r="D40" i="9"/>
  <c r="D39" i="10" s="1"/>
  <c r="C39" i="10"/>
  <c r="B33" i="10"/>
  <c r="B43" i="10"/>
  <c r="Y34" i="9"/>
  <c r="Y44" i="9"/>
  <c r="C29" i="10"/>
  <c r="D30" i="9"/>
  <c r="D29" i="10" s="1"/>
  <c r="E41" i="9"/>
  <c r="E40" i="10" s="1"/>
  <c r="C41" i="9"/>
  <c r="U41" i="9"/>
  <c r="W34" i="9"/>
  <c r="W44" i="9"/>
  <c r="B32" i="9"/>
  <c r="B42" i="9"/>
  <c r="U31" i="9"/>
  <c r="C31" i="9"/>
  <c r="E31" i="9"/>
  <c r="E30" i="10" s="1"/>
  <c r="B21" i="8"/>
  <c r="B31" i="8"/>
  <c r="U62" i="37"/>
  <c r="B85" i="37"/>
  <c r="E62" i="37"/>
  <c r="E61" i="38" s="1"/>
  <c r="C62" i="37"/>
  <c r="D61" i="37"/>
  <c r="D60" i="38" s="1"/>
  <c r="C60" i="38"/>
  <c r="I22" i="1"/>
  <c r="L22" i="1"/>
  <c r="F21" i="2" s="1"/>
  <c r="B22" i="1"/>
  <c r="X21" i="2"/>
  <c r="N22" i="1" s="1"/>
  <c r="AE21" i="2"/>
  <c r="P22" i="1" s="1"/>
  <c r="B21" i="2"/>
  <c r="B9" i="4"/>
  <c r="D41" i="9" l="1"/>
  <c r="D40" i="10" s="1"/>
  <c r="C40" i="10"/>
  <c r="B34" i="10"/>
  <c r="B44" i="10"/>
  <c r="W35" i="9"/>
  <c r="W45" i="9"/>
  <c r="D31" i="9"/>
  <c r="D30" i="10" s="1"/>
  <c r="C30" i="10"/>
  <c r="U42" i="9"/>
  <c r="C42" i="9"/>
  <c r="E42" i="9"/>
  <c r="E41" i="10" s="1"/>
  <c r="B33" i="9"/>
  <c r="B43" i="9"/>
  <c r="U32" i="9"/>
  <c r="E32" i="9"/>
  <c r="E31" i="10" s="1"/>
  <c r="Y35" i="9"/>
  <c r="Y45" i="9"/>
  <c r="B22" i="8"/>
  <c r="B32" i="8"/>
  <c r="D62" i="37"/>
  <c r="D61" i="38" s="1"/>
  <c r="C61" i="38"/>
  <c r="C85" i="37"/>
  <c r="E85" i="37"/>
  <c r="E84" i="38" s="1"/>
  <c r="U85" i="37"/>
  <c r="G9" i="4"/>
  <c r="K9" i="4" s="1"/>
  <c r="V22" i="1"/>
  <c r="B22" i="2"/>
  <c r="B23" i="2" s="1"/>
  <c r="B24" i="2" s="1"/>
  <c r="B25" i="2" s="1"/>
  <c r="B26" i="2" s="1"/>
  <c r="B27" i="2" s="1"/>
  <c r="B28" i="2" s="1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U22" i="1"/>
  <c r="B23" i="1"/>
  <c r="U23" i="1" s="1"/>
  <c r="Y21" i="2"/>
  <c r="X22" i="1" s="1"/>
  <c r="G21" i="2"/>
  <c r="R21" i="2" s="1"/>
  <c r="M22" i="1" s="1"/>
  <c r="C22" i="1"/>
  <c r="D22" i="1" s="1"/>
  <c r="B10" i="4"/>
  <c r="E22" i="1"/>
  <c r="E21" i="2" s="1"/>
  <c r="D42" i="9" l="1"/>
  <c r="D41" i="10" s="1"/>
  <c r="C41" i="10"/>
  <c r="B35" i="10"/>
  <c r="B46" i="10" s="1"/>
  <c r="B45" i="10"/>
  <c r="B34" i="9"/>
  <c r="B44" i="9"/>
  <c r="U33" i="9"/>
  <c r="E33" i="9"/>
  <c r="E32" i="10" s="1"/>
  <c r="Y36" i="9"/>
  <c r="Y47" i="9" s="1"/>
  <c r="Y46" i="9"/>
  <c r="E43" i="9"/>
  <c r="E42" i="10" s="1"/>
  <c r="C43" i="9"/>
  <c r="U43" i="9"/>
  <c r="W36" i="9"/>
  <c r="W47" i="9" s="1"/>
  <c r="W46" i="9"/>
  <c r="B23" i="8"/>
  <c r="B34" i="8" s="1"/>
  <c r="B33" i="8"/>
  <c r="D85" i="37"/>
  <c r="D84" i="38" s="1"/>
  <c r="C84" i="38"/>
  <c r="B46" i="2"/>
  <c r="B47" i="2" s="1"/>
  <c r="B48" i="2" s="1"/>
  <c r="B49" i="2" s="1"/>
  <c r="B50" i="2" s="1"/>
  <c r="O22" i="1"/>
  <c r="Q22" i="1" s="1"/>
  <c r="AF21" i="2"/>
  <c r="C23" i="1"/>
  <c r="D23" i="1" s="1"/>
  <c r="E23" i="1"/>
  <c r="E22" i="2" s="1"/>
  <c r="B24" i="1"/>
  <c r="U24" i="1" s="1"/>
  <c r="M9" i="4"/>
  <c r="I9" i="4"/>
  <c r="B11" i="4"/>
  <c r="D21" i="2"/>
  <c r="C21" i="2"/>
  <c r="D43" i="9" l="1"/>
  <c r="D42" i="10" s="1"/>
  <c r="C42" i="10"/>
  <c r="E44" i="9"/>
  <c r="E43" i="10" s="1"/>
  <c r="C44" i="9"/>
  <c r="U44" i="9"/>
  <c r="B35" i="9"/>
  <c r="B45" i="9"/>
  <c r="U34" i="9"/>
  <c r="E34" i="9"/>
  <c r="E33" i="10" s="1"/>
  <c r="B51" i="2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N9" i="4"/>
  <c r="J22" i="1" s="1"/>
  <c r="K22" i="1" s="1"/>
  <c r="R22" i="1" s="1"/>
  <c r="C22" i="2"/>
  <c r="C24" i="1"/>
  <c r="E24" i="1"/>
  <c r="E23" i="2" s="1"/>
  <c r="B25" i="1"/>
  <c r="U25" i="1" s="1"/>
  <c r="D22" i="2"/>
  <c r="B12" i="4"/>
  <c r="D44" i="9" l="1"/>
  <c r="D43" i="10" s="1"/>
  <c r="C43" i="10"/>
  <c r="B36" i="9"/>
  <c r="B46" i="9"/>
  <c r="U35" i="9"/>
  <c r="C45" i="9"/>
  <c r="U45" i="9"/>
  <c r="E45" i="9"/>
  <c r="E44" i="10" s="1"/>
  <c r="B65" i="2"/>
  <c r="S22" i="1"/>
  <c r="T22" i="1" s="1"/>
  <c r="B26" i="1"/>
  <c r="U26" i="1" s="1"/>
  <c r="C25" i="1"/>
  <c r="D25" i="1" s="1"/>
  <c r="D24" i="2" s="1"/>
  <c r="E25" i="1"/>
  <c r="E24" i="2" s="1"/>
  <c r="D24" i="1"/>
  <c r="D23" i="2" s="1"/>
  <c r="C23" i="2"/>
  <c r="B13" i="4"/>
  <c r="D45" i="9" l="1"/>
  <c r="D44" i="10" s="1"/>
  <c r="C44" i="10"/>
  <c r="E46" i="9"/>
  <c r="E45" i="10" s="1"/>
  <c r="C46" i="9"/>
  <c r="U46" i="9"/>
  <c r="B47" i="9"/>
  <c r="U47" i="9" s="1"/>
  <c r="U36" i="9"/>
  <c r="B66" i="2"/>
  <c r="B113" i="2"/>
  <c r="C24" i="2"/>
  <c r="B14" i="4"/>
  <c r="C26" i="1"/>
  <c r="D26" i="1" s="1"/>
  <c r="D25" i="2" s="1"/>
  <c r="B27" i="1"/>
  <c r="U27" i="1" s="1"/>
  <c r="E26" i="1"/>
  <c r="E25" i="2" s="1"/>
  <c r="D46" i="9" l="1"/>
  <c r="D45" i="10" s="1"/>
  <c r="C45" i="10"/>
  <c r="B67" i="2"/>
  <c r="B114" i="2"/>
  <c r="B15" i="4"/>
  <c r="C25" i="2"/>
  <c r="C27" i="1"/>
  <c r="D27" i="1" s="1"/>
  <c r="E27" i="1"/>
  <c r="E26" i="2" s="1"/>
  <c r="B28" i="1"/>
  <c r="U28" i="1" s="1"/>
  <c r="B68" i="2" l="1"/>
  <c r="B115" i="2"/>
  <c r="B16" i="4"/>
  <c r="C28" i="1"/>
  <c r="B29" i="1"/>
  <c r="U29" i="1" s="1"/>
  <c r="E28" i="1"/>
  <c r="E27" i="2" s="1"/>
  <c r="D26" i="2"/>
  <c r="C26" i="2"/>
  <c r="B69" i="2" l="1"/>
  <c r="B116" i="2"/>
  <c r="B17" i="4"/>
  <c r="C29" i="1"/>
  <c r="B30" i="1"/>
  <c r="U30" i="1" s="1"/>
  <c r="E29" i="1"/>
  <c r="E28" i="2" s="1"/>
  <c r="C27" i="2"/>
  <c r="D28" i="1"/>
  <c r="D27" i="2" s="1"/>
  <c r="B70" i="2" l="1"/>
  <c r="B117" i="2"/>
  <c r="B18" i="4"/>
  <c r="B31" i="1"/>
  <c r="U31" i="1" s="1"/>
  <c r="C30" i="1"/>
  <c r="E30" i="1"/>
  <c r="E29" i="2" s="1"/>
  <c r="D29" i="1"/>
  <c r="D28" i="2" s="1"/>
  <c r="C28" i="2"/>
  <c r="B71" i="2" l="1"/>
  <c r="B118" i="2"/>
  <c r="B32" i="1"/>
  <c r="U32" i="1" s="1"/>
  <c r="B19" i="4"/>
  <c r="D30" i="1"/>
  <c r="D29" i="2" s="1"/>
  <c r="C29" i="2"/>
  <c r="E31" i="1"/>
  <c r="E30" i="2" s="1"/>
  <c r="C31" i="1"/>
  <c r="B72" i="2" l="1"/>
  <c r="B119" i="2"/>
  <c r="B33" i="1"/>
  <c r="U33" i="1" s="1"/>
  <c r="B20" i="4"/>
  <c r="D31" i="1"/>
  <c r="D30" i="2" s="1"/>
  <c r="C30" i="2"/>
  <c r="B73" i="2" l="1"/>
  <c r="B120" i="2"/>
  <c r="B34" i="1"/>
  <c r="U34" i="1" s="1"/>
  <c r="B21" i="4"/>
  <c r="E34" i="1"/>
  <c r="E33" i="2" s="1"/>
  <c r="C34" i="1"/>
  <c r="B74" i="2" l="1"/>
  <c r="B121" i="2"/>
  <c r="B22" i="4"/>
  <c r="B23" i="4" s="1"/>
  <c r="B24" i="4" s="1"/>
  <c r="B35" i="1"/>
  <c r="U35" i="1" s="1"/>
  <c r="D34" i="1"/>
  <c r="D33" i="2" s="1"/>
  <c r="C33" i="2"/>
  <c r="B75" i="2" l="1"/>
  <c r="B122" i="2"/>
  <c r="B36" i="1"/>
  <c r="U36" i="1" s="1"/>
  <c r="B25" i="4"/>
  <c r="C35" i="1"/>
  <c r="D35" i="1" s="1"/>
  <c r="E35" i="1"/>
  <c r="B76" i="2" l="1"/>
  <c r="B123" i="2"/>
  <c r="B37" i="1"/>
  <c r="U37" i="1" s="1"/>
  <c r="B26" i="4"/>
  <c r="B27" i="4" s="1"/>
  <c r="B28" i="4" s="1"/>
  <c r="B29" i="4" s="1"/>
  <c r="B30" i="4" s="1"/>
  <c r="B31" i="4" s="1"/>
  <c r="B32" i="4" s="1"/>
  <c r="B33" i="4" s="1"/>
  <c r="B34" i="4" s="1"/>
  <c r="B35" i="4" s="1"/>
  <c r="B36" i="4" s="1"/>
  <c r="B37" i="4" s="1"/>
  <c r="B38" i="4" s="1"/>
  <c r="B39" i="4" s="1"/>
  <c r="B40" i="4" s="1"/>
  <c r="B41" i="4" s="1"/>
  <c r="B77" i="2" l="1"/>
  <c r="B124" i="2"/>
  <c r="B42" i="4"/>
  <c r="B43" i="4" s="1"/>
  <c r="B38" i="1"/>
  <c r="U38" i="1" s="1"/>
  <c r="B125" i="2" l="1"/>
  <c r="B78" i="2"/>
  <c r="B44" i="4"/>
  <c r="B45" i="4" s="1"/>
  <c r="B46" i="4" s="1"/>
  <c r="B39" i="1"/>
  <c r="U39" i="1" s="1"/>
  <c r="B79" i="2" l="1"/>
  <c r="B126" i="2"/>
  <c r="B47" i="4"/>
  <c r="B48" i="4" s="1"/>
  <c r="B49" i="4" s="1"/>
  <c r="B50" i="4" s="1"/>
  <c r="B51" i="4" s="1"/>
  <c r="B52" i="4" s="1"/>
  <c r="B53" i="4" s="1"/>
  <c r="B40" i="1"/>
  <c r="U40" i="1" s="1"/>
  <c r="B80" i="2" l="1"/>
  <c r="B127" i="2"/>
  <c r="B54" i="4"/>
  <c r="B102" i="4" s="1"/>
  <c r="B101" i="4"/>
  <c r="B55" i="4"/>
  <c r="B41" i="1"/>
  <c r="U41" i="1" s="1"/>
  <c r="B81" i="2" l="1"/>
  <c r="B128" i="2"/>
  <c r="B56" i="4"/>
  <c r="B103" i="4"/>
  <c r="B42" i="1"/>
  <c r="U42" i="1" s="1"/>
  <c r="B82" i="2" l="1"/>
  <c r="B129" i="2"/>
  <c r="B57" i="4"/>
  <c r="B104" i="4"/>
  <c r="B43" i="1"/>
  <c r="U43" i="1" s="1"/>
  <c r="B83" i="2" l="1"/>
  <c r="B130" i="2"/>
  <c r="B58" i="4"/>
  <c r="B105" i="4"/>
  <c r="B44" i="1"/>
  <c r="U44" i="1" s="1"/>
  <c r="B45" i="1"/>
  <c r="U45" i="1" s="1"/>
  <c r="B84" i="2" l="1"/>
  <c r="B131" i="2"/>
  <c r="B59" i="4"/>
  <c r="B106" i="4"/>
  <c r="B46" i="1"/>
  <c r="U46" i="1" s="1"/>
  <c r="B85" i="2" l="1"/>
  <c r="B132" i="2"/>
  <c r="B60" i="4"/>
  <c r="B107" i="4"/>
  <c r="B47" i="1"/>
  <c r="U47" i="1" s="1"/>
  <c r="B86" i="2" l="1"/>
  <c r="B133" i="2"/>
  <c r="B61" i="4"/>
  <c r="B108" i="4"/>
  <c r="B48" i="1"/>
  <c r="U48" i="1" s="1"/>
  <c r="B87" i="2" l="1"/>
  <c r="B134" i="2"/>
  <c r="B62" i="4"/>
  <c r="B109" i="4"/>
  <c r="B49" i="1"/>
  <c r="U49" i="1" s="1"/>
  <c r="B88" i="2" l="1"/>
  <c r="B135" i="2"/>
  <c r="B110" i="4"/>
  <c r="B63" i="4"/>
  <c r="B50" i="1"/>
  <c r="U50" i="1" s="1"/>
  <c r="B89" i="2" l="1"/>
  <c r="B136" i="2"/>
  <c r="B64" i="4"/>
  <c r="B111" i="4"/>
  <c r="C50" i="1"/>
  <c r="E50" i="1"/>
  <c r="E49" i="2" s="1"/>
  <c r="B51" i="1"/>
  <c r="U51" i="1" s="1"/>
  <c r="B90" i="2" l="1"/>
  <c r="B137" i="2"/>
  <c r="B65" i="4"/>
  <c r="B112" i="4"/>
  <c r="B52" i="1"/>
  <c r="U52" i="1" s="1"/>
  <c r="C51" i="1"/>
  <c r="E51" i="1"/>
  <c r="E50" i="2" s="1"/>
  <c r="C49" i="2"/>
  <c r="D50" i="1"/>
  <c r="D49" i="2" s="1"/>
  <c r="B91" i="2" l="1"/>
  <c r="B138" i="2"/>
  <c r="B113" i="4"/>
  <c r="B66" i="4"/>
  <c r="D51" i="1"/>
  <c r="D50" i="2" s="1"/>
  <c r="C50" i="2"/>
  <c r="C52" i="1"/>
  <c r="E52" i="1"/>
  <c r="E51" i="2" s="1"/>
  <c r="B53" i="1"/>
  <c r="U53" i="1" s="1"/>
  <c r="B92" i="2" l="1"/>
  <c r="B139" i="2"/>
  <c r="B67" i="4"/>
  <c r="B114" i="4"/>
  <c r="C53" i="1"/>
  <c r="B54" i="1"/>
  <c r="U54" i="1" s="1"/>
  <c r="E53" i="1"/>
  <c r="E52" i="2" s="1"/>
  <c r="C51" i="2"/>
  <c r="D52" i="1"/>
  <c r="D51" i="2" s="1"/>
  <c r="B93" i="2" l="1"/>
  <c r="B140" i="2"/>
  <c r="B68" i="4"/>
  <c r="B115" i="4"/>
  <c r="B55" i="1"/>
  <c r="U55" i="1" s="1"/>
  <c r="C54" i="1"/>
  <c r="E54" i="1"/>
  <c r="E53" i="2" s="1"/>
  <c r="D53" i="1"/>
  <c r="D52" i="2" s="1"/>
  <c r="C52" i="2"/>
  <c r="B94" i="2" l="1"/>
  <c r="B141" i="2"/>
  <c r="B69" i="4"/>
  <c r="B116" i="4"/>
  <c r="D54" i="1"/>
  <c r="D53" i="2" s="1"/>
  <c r="C53" i="2"/>
  <c r="B56" i="1"/>
  <c r="B95" i="2" l="1"/>
  <c r="B142" i="2"/>
  <c r="B57" i="1"/>
  <c r="U56" i="1"/>
  <c r="B70" i="4"/>
  <c r="B117" i="4"/>
  <c r="B96" i="2" l="1"/>
  <c r="B143" i="2"/>
  <c r="B58" i="1"/>
  <c r="U57" i="1"/>
  <c r="B71" i="4"/>
  <c r="B118" i="4"/>
  <c r="B97" i="2" l="1"/>
  <c r="B144" i="2"/>
  <c r="B59" i="1"/>
  <c r="U58" i="1"/>
  <c r="B72" i="4"/>
  <c r="B119" i="4"/>
  <c r="B98" i="2" l="1"/>
  <c r="B145" i="2"/>
  <c r="B60" i="1"/>
  <c r="U59" i="1"/>
  <c r="B73" i="4"/>
  <c r="B120" i="4"/>
  <c r="B99" i="2" l="1"/>
  <c r="B146" i="2"/>
  <c r="B61" i="1"/>
  <c r="U60" i="1"/>
  <c r="B74" i="4"/>
  <c r="B121" i="4"/>
  <c r="B100" i="2" l="1"/>
  <c r="B147" i="2"/>
  <c r="B62" i="1"/>
  <c r="U61" i="1"/>
  <c r="B75" i="4"/>
  <c r="B122" i="4"/>
  <c r="B101" i="2" l="1"/>
  <c r="B148" i="2"/>
  <c r="B63" i="1"/>
  <c r="U62" i="1"/>
  <c r="B76" i="4"/>
  <c r="B123" i="4"/>
  <c r="B102" i="2" l="1"/>
  <c r="B149" i="2"/>
  <c r="B64" i="1"/>
  <c r="U63" i="1"/>
  <c r="B77" i="4"/>
  <c r="B124" i="4"/>
  <c r="B103" i="2" l="1"/>
  <c r="B150" i="2"/>
  <c r="B65" i="1"/>
  <c r="U64" i="1"/>
  <c r="B78" i="4"/>
  <c r="B125" i="4"/>
  <c r="B104" i="2" l="1"/>
  <c r="B151" i="2"/>
  <c r="B66" i="1"/>
  <c r="U65" i="1"/>
  <c r="B79" i="4"/>
  <c r="B126" i="4"/>
  <c r="B105" i="2" l="1"/>
  <c r="B152" i="2"/>
  <c r="B114" i="1"/>
  <c r="U66" i="1"/>
  <c r="B67" i="1"/>
  <c r="B80" i="4"/>
  <c r="B127" i="4"/>
  <c r="B106" i="2" l="1"/>
  <c r="B153" i="2"/>
  <c r="B115" i="1"/>
  <c r="U67" i="1"/>
  <c r="B68" i="1"/>
  <c r="E67" i="1"/>
  <c r="E114" i="1"/>
  <c r="E113" i="2" s="1"/>
  <c r="C114" i="1"/>
  <c r="U114" i="1"/>
  <c r="B81" i="4"/>
  <c r="B128" i="4"/>
  <c r="D114" i="1" l="1"/>
  <c r="D113" i="2" s="1"/>
  <c r="C113" i="2"/>
  <c r="B107" i="2"/>
  <c r="B154" i="2"/>
  <c r="B116" i="1"/>
  <c r="U68" i="1"/>
  <c r="B69" i="1"/>
  <c r="C115" i="1"/>
  <c r="U115" i="1"/>
  <c r="E115" i="1"/>
  <c r="E114" i="2" s="1"/>
  <c r="B82" i="4"/>
  <c r="B129" i="4"/>
  <c r="D115" i="1" l="1"/>
  <c r="D114" i="2" s="1"/>
  <c r="C114" i="2"/>
  <c r="B108" i="2"/>
  <c r="B155" i="2"/>
  <c r="B117" i="1"/>
  <c r="U69" i="1"/>
  <c r="B70" i="1"/>
  <c r="U116" i="1"/>
  <c r="E116" i="1"/>
  <c r="E115" i="2" s="1"/>
  <c r="C116" i="1"/>
  <c r="B83" i="4"/>
  <c r="B130" i="4"/>
  <c r="D116" i="1" l="1"/>
  <c r="D115" i="2" s="1"/>
  <c r="C115" i="2"/>
  <c r="B109" i="2"/>
  <c r="B156" i="2"/>
  <c r="B118" i="1"/>
  <c r="U70" i="1"/>
  <c r="B71" i="1"/>
  <c r="E117" i="1"/>
  <c r="E116" i="2" s="1"/>
  <c r="C117" i="1"/>
  <c r="U117" i="1"/>
  <c r="B84" i="4"/>
  <c r="B131" i="4"/>
  <c r="Y22" i="34"/>
  <c r="W22" i="34"/>
  <c r="U21" i="34"/>
  <c r="F66" i="34"/>
  <c r="M66" i="34"/>
  <c r="F40" i="31"/>
  <c r="M40" i="31"/>
  <c r="U21" i="31"/>
  <c r="U21" i="28"/>
  <c r="F40" i="28"/>
  <c r="M40" i="28"/>
  <c r="U21" i="25"/>
  <c r="F77" i="25"/>
  <c r="M77" i="25"/>
  <c r="M51" i="22"/>
  <c r="F51" i="22"/>
  <c r="U21" i="22"/>
  <c r="M74" i="19"/>
  <c r="F74" i="19"/>
  <c r="U21" i="19"/>
  <c r="M98" i="16"/>
  <c r="F98" i="16"/>
  <c r="M89" i="12"/>
  <c r="F89" i="12"/>
  <c r="M54" i="9"/>
  <c r="F54" i="9"/>
  <c r="M46" i="6"/>
  <c r="F46" i="6"/>
  <c r="U21" i="16"/>
  <c r="W13" i="1"/>
  <c r="U21" i="12"/>
  <c r="U21" i="9"/>
  <c r="U21" i="6"/>
  <c r="U21" i="1"/>
  <c r="F168" i="1"/>
  <c r="D117" i="1" l="1"/>
  <c r="D116" i="2" s="1"/>
  <c r="C116" i="2"/>
  <c r="B157" i="2"/>
  <c r="B110" i="2"/>
  <c r="B119" i="1"/>
  <c r="U71" i="1"/>
  <c r="B72" i="1"/>
  <c r="U118" i="1"/>
  <c r="E118" i="1"/>
  <c r="E117" i="2" s="1"/>
  <c r="C118" i="1"/>
  <c r="B85" i="4"/>
  <c r="B132" i="4"/>
  <c r="B21" i="35"/>
  <c r="B22" i="34"/>
  <c r="U22" i="34" s="1"/>
  <c r="B9" i="33"/>
  <c r="B21" i="32"/>
  <c r="B32" i="32" s="1"/>
  <c r="B22" i="31"/>
  <c r="B9" i="30"/>
  <c r="B20" i="30" s="1"/>
  <c r="D118" i="1" l="1"/>
  <c r="D117" i="2" s="1"/>
  <c r="C117" i="2"/>
  <c r="B158" i="2"/>
  <c r="B111" i="2"/>
  <c r="B73" i="1"/>
  <c r="B120" i="1"/>
  <c r="U72" i="1"/>
  <c r="E119" i="1"/>
  <c r="E118" i="2" s="1"/>
  <c r="C119" i="1"/>
  <c r="U119" i="1"/>
  <c r="B86" i="4"/>
  <c r="B133" i="4"/>
  <c r="B10" i="33"/>
  <c r="B11" i="33" s="1"/>
  <c r="B12" i="33" s="1"/>
  <c r="B13" i="33" s="1"/>
  <c r="B14" i="33" s="1"/>
  <c r="B15" i="33" s="1"/>
  <c r="B16" i="33" s="1"/>
  <c r="B17" i="33" s="1"/>
  <c r="B18" i="33" s="1"/>
  <c r="B19" i="33" s="1"/>
  <c r="C22" i="31"/>
  <c r="D22" i="31" s="1"/>
  <c r="D21" i="32" s="1"/>
  <c r="U22" i="31"/>
  <c r="B33" i="31"/>
  <c r="U33" i="31" s="1"/>
  <c r="E22" i="31"/>
  <c r="E21" i="32" s="1"/>
  <c r="L22" i="19"/>
  <c r="L23" i="19"/>
  <c r="L24" i="19"/>
  <c r="L25" i="19"/>
  <c r="L26" i="19"/>
  <c r="L27" i="19"/>
  <c r="L28" i="19"/>
  <c r="L29" i="19"/>
  <c r="L30" i="19"/>
  <c r="L31" i="19"/>
  <c r="AF91" i="17"/>
  <c r="X21" i="17"/>
  <c r="N22" i="16" s="1"/>
  <c r="X22" i="17"/>
  <c r="N23" i="16" s="1"/>
  <c r="X23" i="17"/>
  <c r="N24" i="16" s="1"/>
  <c r="X24" i="17"/>
  <c r="N25" i="16" s="1"/>
  <c r="X25" i="17"/>
  <c r="X26" i="17"/>
  <c r="N27" i="16" s="1"/>
  <c r="X27" i="17"/>
  <c r="X28" i="17"/>
  <c r="X29" i="17"/>
  <c r="X30" i="17"/>
  <c r="N31" i="16" s="1"/>
  <c r="X31" i="17"/>
  <c r="N32" i="16" s="1"/>
  <c r="X32" i="17"/>
  <c r="N33" i="16" s="1"/>
  <c r="X33" i="17"/>
  <c r="X34" i="17"/>
  <c r="N35" i="16" s="1"/>
  <c r="X35" i="17"/>
  <c r="X36" i="17"/>
  <c r="X37" i="17"/>
  <c r="N38" i="16" s="1"/>
  <c r="X38" i="17"/>
  <c r="N39" i="16" s="1"/>
  <c r="X39" i="17"/>
  <c r="N40" i="16" s="1"/>
  <c r="X40" i="17"/>
  <c r="N41" i="16" s="1"/>
  <c r="X41" i="17"/>
  <c r="X42" i="17"/>
  <c r="X43" i="17"/>
  <c r="X44" i="17"/>
  <c r="N69" i="16" s="1"/>
  <c r="X45" i="17"/>
  <c r="N70" i="16" s="1"/>
  <c r="X46" i="17"/>
  <c r="N71" i="16" s="1"/>
  <c r="X47" i="17"/>
  <c r="N72" i="16" s="1"/>
  <c r="X48" i="17"/>
  <c r="X49" i="17"/>
  <c r="X50" i="17"/>
  <c r="X51" i="17"/>
  <c r="X52" i="17"/>
  <c r="X53" i="17"/>
  <c r="X54" i="17"/>
  <c r="X55" i="17"/>
  <c r="X56" i="17"/>
  <c r="X57" i="17"/>
  <c r="N82" i="16" s="1"/>
  <c r="X58" i="17"/>
  <c r="N83" i="16" s="1"/>
  <c r="X59" i="17"/>
  <c r="N84" i="16" s="1"/>
  <c r="X60" i="17"/>
  <c r="N85" i="16" s="1"/>
  <c r="X61" i="17"/>
  <c r="X62" i="17"/>
  <c r="X63" i="17"/>
  <c r="X64" i="17"/>
  <c r="X65" i="17"/>
  <c r="X90" i="17"/>
  <c r="N91" i="16" s="1"/>
  <c r="N26" i="16"/>
  <c r="N28" i="16"/>
  <c r="N29" i="16"/>
  <c r="N30" i="16"/>
  <c r="N34" i="16"/>
  <c r="N36" i="16"/>
  <c r="N37" i="16"/>
  <c r="N42" i="16"/>
  <c r="N45" i="16"/>
  <c r="N58" i="16"/>
  <c r="N59" i="16"/>
  <c r="N60" i="16"/>
  <c r="N61" i="16"/>
  <c r="L22" i="16"/>
  <c r="F21" i="17" s="1"/>
  <c r="L23" i="16"/>
  <c r="F22" i="17" s="1"/>
  <c r="L24" i="16"/>
  <c r="F23" i="17" s="1"/>
  <c r="L25" i="16"/>
  <c r="F24" i="17" s="1"/>
  <c r="L26" i="16"/>
  <c r="F25" i="17" s="1"/>
  <c r="L27" i="16"/>
  <c r="F26" i="17" s="1"/>
  <c r="L28" i="16"/>
  <c r="F27" i="17" s="1"/>
  <c r="L29" i="16"/>
  <c r="F28" i="17" s="1"/>
  <c r="L30" i="16"/>
  <c r="F29" i="17" s="1"/>
  <c r="L31" i="16"/>
  <c r="F30" i="17" s="1"/>
  <c r="L32" i="16"/>
  <c r="F31" i="17" s="1"/>
  <c r="L33" i="16"/>
  <c r="F32" i="17" s="1"/>
  <c r="L34" i="16"/>
  <c r="F33" i="17" s="1"/>
  <c r="L35" i="16"/>
  <c r="F34" i="17" s="1"/>
  <c r="L36" i="16"/>
  <c r="F35" i="17" s="1"/>
  <c r="L37" i="16"/>
  <c r="F36" i="17" s="1"/>
  <c r="L38" i="16"/>
  <c r="F37" i="17" s="1"/>
  <c r="L39" i="16"/>
  <c r="F38" i="17" s="1"/>
  <c r="L40" i="16"/>
  <c r="F39" i="17" s="1"/>
  <c r="L41" i="16"/>
  <c r="F40" i="17" s="1"/>
  <c r="L42" i="16"/>
  <c r="F41" i="17" s="1"/>
  <c r="L43" i="16"/>
  <c r="F42" i="17" s="1"/>
  <c r="L44" i="16"/>
  <c r="F43" i="17" s="1"/>
  <c r="L45" i="16"/>
  <c r="F44" i="17" s="1"/>
  <c r="L46" i="16"/>
  <c r="F45" i="17" s="1"/>
  <c r="L47" i="16"/>
  <c r="F46" i="17" s="1"/>
  <c r="L48" i="16"/>
  <c r="F47" i="17" s="1"/>
  <c r="L49" i="16"/>
  <c r="F48" i="17" s="1"/>
  <c r="L50" i="16"/>
  <c r="F49" i="17" s="1"/>
  <c r="L51" i="16"/>
  <c r="F50" i="17" s="1"/>
  <c r="L52" i="16"/>
  <c r="F51" i="17" s="1"/>
  <c r="L53" i="16"/>
  <c r="F52" i="17" s="1"/>
  <c r="L54" i="16"/>
  <c r="F53" i="17" s="1"/>
  <c r="L55" i="16"/>
  <c r="F54" i="17" s="1"/>
  <c r="L56" i="16"/>
  <c r="F55" i="17" s="1"/>
  <c r="L57" i="16"/>
  <c r="F56" i="17" s="1"/>
  <c r="L58" i="16"/>
  <c r="F57" i="17" s="1"/>
  <c r="L59" i="16"/>
  <c r="F58" i="17" s="1"/>
  <c r="L60" i="16"/>
  <c r="F59" i="17" s="1"/>
  <c r="L61" i="16"/>
  <c r="F60" i="17" s="1"/>
  <c r="L62" i="16"/>
  <c r="F61" i="17" s="1"/>
  <c r="L63" i="16"/>
  <c r="F62" i="17" s="1"/>
  <c r="L64" i="16"/>
  <c r="F63" i="17" s="1"/>
  <c r="L65" i="16"/>
  <c r="F64" i="17" s="1"/>
  <c r="L66" i="16"/>
  <c r="F65" i="17" s="1"/>
  <c r="L91" i="16"/>
  <c r="F90" i="17" s="1"/>
  <c r="F21" i="13"/>
  <c r="F22" i="13"/>
  <c r="F23" i="13"/>
  <c r="F24" i="13"/>
  <c r="I22" i="12"/>
  <c r="G9" i="11" s="1"/>
  <c r="I23" i="12"/>
  <c r="G10" i="11" s="1"/>
  <c r="I24" i="12"/>
  <c r="I25" i="12"/>
  <c r="G12" i="11" s="1"/>
  <c r="G11" i="11"/>
  <c r="AF47" i="10"/>
  <c r="AF161" i="2"/>
  <c r="L21" i="1"/>
  <c r="F20" i="2" s="1"/>
  <c r="B22" i="17"/>
  <c r="B23" i="17" s="1"/>
  <c r="B24" i="17" s="1"/>
  <c r="B25" i="17" s="1"/>
  <c r="B26" i="17" s="1"/>
  <c r="B27" i="17" s="1"/>
  <c r="B28" i="17" s="1"/>
  <c r="B29" i="17" s="1"/>
  <c r="B30" i="17" s="1"/>
  <c r="B31" i="17" s="1"/>
  <c r="B32" i="17" s="1"/>
  <c r="B33" i="17" s="1"/>
  <c r="B34" i="17" s="1"/>
  <c r="B35" i="17" s="1"/>
  <c r="B36" i="17" s="1"/>
  <c r="B37" i="17" s="1"/>
  <c r="B38" i="17" s="1"/>
  <c r="B39" i="17" s="1"/>
  <c r="B40" i="17" s="1"/>
  <c r="B41" i="17" s="1"/>
  <c r="B21" i="17"/>
  <c r="B23" i="16"/>
  <c r="U23" i="16" s="1"/>
  <c r="B22" i="16"/>
  <c r="U22" i="16" s="1"/>
  <c r="B9" i="15"/>
  <c r="AE21" i="32"/>
  <c r="X21" i="32"/>
  <c r="L22" i="31"/>
  <c r="F21" i="32" s="1"/>
  <c r="I22" i="31"/>
  <c r="G19" i="30" s="1"/>
  <c r="I21" i="1"/>
  <c r="U162" i="2"/>
  <c r="M168" i="1"/>
  <c r="F163" i="1"/>
  <c r="B20" i="33" l="1"/>
  <c r="B33" i="33"/>
  <c r="N22" i="31"/>
  <c r="N32" i="31"/>
  <c r="P22" i="31"/>
  <c r="P32" i="31"/>
  <c r="M19" i="30"/>
  <c r="I19" i="30"/>
  <c r="K19" i="30"/>
  <c r="G21" i="32"/>
  <c r="R21" i="32" s="1"/>
  <c r="N48" i="16"/>
  <c r="N47" i="16"/>
  <c r="N46" i="16"/>
  <c r="B42" i="17"/>
  <c r="B66" i="17"/>
  <c r="N49" i="16"/>
  <c r="N73" i="16"/>
  <c r="N64" i="16"/>
  <c r="N88" i="16"/>
  <c r="N56" i="16"/>
  <c r="N80" i="16"/>
  <c r="N62" i="16"/>
  <c r="N86" i="16"/>
  <c r="N54" i="16"/>
  <c r="N78" i="16"/>
  <c r="N65" i="16"/>
  <c r="N89" i="16"/>
  <c r="N53" i="16"/>
  <c r="N77" i="16"/>
  <c r="N52" i="16"/>
  <c r="N76" i="16"/>
  <c r="N44" i="16"/>
  <c r="N68" i="16"/>
  <c r="N55" i="16"/>
  <c r="N79" i="16"/>
  <c r="N51" i="16"/>
  <c r="N75" i="16"/>
  <c r="N43" i="16"/>
  <c r="N67" i="16"/>
  <c r="N57" i="16"/>
  <c r="N81" i="16"/>
  <c r="N63" i="16"/>
  <c r="N87" i="16"/>
  <c r="N66" i="16"/>
  <c r="N90" i="16"/>
  <c r="N50" i="16"/>
  <c r="N74" i="16"/>
  <c r="B24" i="16"/>
  <c r="E22" i="16"/>
  <c r="C22" i="16"/>
  <c r="D22" i="16" s="1"/>
  <c r="B10" i="15"/>
  <c r="D119" i="1"/>
  <c r="D118" i="2" s="1"/>
  <c r="C118" i="2"/>
  <c r="B112" i="2"/>
  <c r="B160" i="2" s="1"/>
  <c r="B159" i="2"/>
  <c r="V21" i="1"/>
  <c r="G20" i="2"/>
  <c r="U120" i="1"/>
  <c r="E120" i="1"/>
  <c r="E119" i="2" s="1"/>
  <c r="C120" i="1"/>
  <c r="B121" i="1"/>
  <c r="U73" i="1"/>
  <c r="B74" i="1"/>
  <c r="B87" i="4"/>
  <c r="B134" i="4"/>
  <c r="G9" i="30"/>
  <c r="V22" i="31"/>
  <c r="Y21" i="32"/>
  <c r="C21" i="32"/>
  <c r="G23" i="13"/>
  <c r="G24" i="13"/>
  <c r="Y22" i="13"/>
  <c r="O23" i="12" s="1"/>
  <c r="G22" i="13"/>
  <c r="Y21" i="13"/>
  <c r="O22" i="12" s="1"/>
  <c r="G21" i="13"/>
  <c r="V25" i="12"/>
  <c r="V24" i="12"/>
  <c r="V23" i="12"/>
  <c r="V22" i="12"/>
  <c r="Y24" i="13"/>
  <c r="O25" i="12" s="1"/>
  <c r="Y23" i="13"/>
  <c r="O24" i="12" s="1"/>
  <c r="M23" i="1"/>
  <c r="O23" i="1"/>
  <c r="C33" i="31"/>
  <c r="E33" i="31"/>
  <c r="E32" i="32" s="1"/>
  <c r="Y20" i="2"/>
  <c r="O21" i="1" s="1"/>
  <c r="R20" i="2"/>
  <c r="G8" i="4"/>
  <c r="E21" i="1"/>
  <c r="E20" i="2" s="1"/>
  <c r="D22" i="28"/>
  <c r="D33" i="28"/>
  <c r="E21" i="28"/>
  <c r="D21" i="28"/>
  <c r="E21" i="25"/>
  <c r="C21" i="25"/>
  <c r="D21" i="25" s="1"/>
  <c r="E21" i="22"/>
  <c r="C21" i="22"/>
  <c r="D21" i="22" s="1"/>
  <c r="E21" i="19"/>
  <c r="C21" i="19"/>
  <c r="D21" i="19" s="1"/>
  <c r="E21" i="16"/>
  <c r="C21" i="16"/>
  <c r="D21" i="16" s="1"/>
  <c r="B21" i="33" l="1"/>
  <c r="B34" i="33"/>
  <c r="AF21" i="32"/>
  <c r="O22" i="31"/>
  <c r="X32" i="31"/>
  <c r="O32" i="31"/>
  <c r="M22" i="31"/>
  <c r="M32" i="31"/>
  <c r="Q32" i="31" s="1"/>
  <c r="N19" i="30"/>
  <c r="J32" i="31" s="1"/>
  <c r="K32" i="31" s="1"/>
  <c r="B43" i="17"/>
  <c r="B67" i="17"/>
  <c r="B25" i="16"/>
  <c r="U24" i="16"/>
  <c r="B11" i="15"/>
  <c r="C23" i="16"/>
  <c r="E23" i="16"/>
  <c r="E22" i="17" s="1"/>
  <c r="E24" i="16"/>
  <c r="E23" i="17" s="1"/>
  <c r="D120" i="1"/>
  <c r="D119" i="2" s="1"/>
  <c r="C119" i="2"/>
  <c r="B122" i="1"/>
  <c r="U74" i="1"/>
  <c r="B75" i="1"/>
  <c r="E121" i="1"/>
  <c r="E120" i="2" s="1"/>
  <c r="C121" i="1"/>
  <c r="U121" i="1"/>
  <c r="B88" i="4"/>
  <c r="B135" i="4"/>
  <c r="K9" i="30"/>
  <c r="I9" i="30"/>
  <c r="M9" i="30"/>
  <c r="X22" i="31"/>
  <c r="X23" i="12"/>
  <c r="X25" i="12"/>
  <c r="X22" i="12"/>
  <c r="X24" i="12"/>
  <c r="Q23" i="1"/>
  <c r="R23" i="1" s="1"/>
  <c r="D33" i="31"/>
  <c r="D32" i="32" s="1"/>
  <c r="C32" i="32"/>
  <c r="X21" i="1"/>
  <c r="C21" i="1"/>
  <c r="D21" i="1" s="1"/>
  <c r="D20" i="2" s="1"/>
  <c r="M8" i="4"/>
  <c r="K8" i="4"/>
  <c r="I8" i="4"/>
  <c r="E21" i="9"/>
  <c r="C21" i="9"/>
  <c r="E21" i="6"/>
  <c r="C21" i="6"/>
  <c r="D21" i="6" s="1"/>
  <c r="B22" i="33" l="1"/>
  <c r="B35" i="33"/>
  <c r="R32" i="31"/>
  <c r="S32" i="31" s="1"/>
  <c r="T32" i="31" s="1"/>
  <c r="Q22" i="31"/>
  <c r="B44" i="17"/>
  <c r="B68" i="17"/>
  <c r="B26" i="16"/>
  <c r="U25" i="16"/>
  <c r="D23" i="16"/>
  <c r="D22" i="17" s="1"/>
  <c r="C22" i="17"/>
  <c r="B12" i="15"/>
  <c r="C24" i="16"/>
  <c r="D121" i="1"/>
  <c r="D120" i="2" s="1"/>
  <c r="C120" i="2"/>
  <c r="B76" i="1"/>
  <c r="B123" i="1"/>
  <c r="U75" i="1"/>
  <c r="C122" i="1"/>
  <c r="U122" i="1"/>
  <c r="E122" i="1"/>
  <c r="E121" i="2" s="1"/>
  <c r="B89" i="4"/>
  <c r="B136" i="4"/>
  <c r="N9" i="30"/>
  <c r="D21" i="9"/>
  <c r="S23" i="1"/>
  <c r="T23" i="1" s="1"/>
  <c r="C20" i="2"/>
  <c r="N8" i="4"/>
  <c r="J21" i="1" s="1"/>
  <c r="K21" i="1" s="1"/>
  <c r="B23" i="33" l="1"/>
  <c r="B36" i="33"/>
  <c r="B45" i="17"/>
  <c r="B69" i="17"/>
  <c r="B27" i="16"/>
  <c r="U26" i="16"/>
  <c r="B13" i="15"/>
  <c r="E25" i="16"/>
  <c r="E24" i="17" s="1"/>
  <c r="C23" i="17"/>
  <c r="D24" i="16"/>
  <c r="D23" i="17" s="1"/>
  <c r="C25" i="16"/>
  <c r="E26" i="16"/>
  <c r="E25" i="17" s="1"/>
  <c r="D122" i="1"/>
  <c r="D121" i="2" s="1"/>
  <c r="C121" i="2"/>
  <c r="C123" i="1"/>
  <c r="E123" i="1"/>
  <c r="E122" i="2" s="1"/>
  <c r="U123" i="1"/>
  <c r="B124" i="1"/>
  <c r="U76" i="1"/>
  <c r="B77" i="1"/>
  <c r="B90" i="4"/>
  <c r="B137" i="4"/>
  <c r="B24" i="33" l="1"/>
  <c r="B37" i="33"/>
  <c r="B46" i="17"/>
  <c r="B70" i="17"/>
  <c r="B28" i="16"/>
  <c r="U27" i="16"/>
  <c r="D25" i="16"/>
  <c r="D24" i="17" s="1"/>
  <c r="C24" i="17"/>
  <c r="B14" i="15"/>
  <c r="C26" i="16"/>
  <c r="C27" i="16"/>
  <c r="D123" i="1"/>
  <c r="D122" i="2" s="1"/>
  <c r="C122" i="2"/>
  <c r="E124" i="1"/>
  <c r="E123" i="2" s="1"/>
  <c r="C124" i="1"/>
  <c r="U124" i="1"/>
  <c r="B125" i="1"/>
  <c r="U77" i="1"/>
  <c r="B78" i="1"/>
  <c r="B91" i="4"/>
  <c r="B138" i="4"/>
  <c r="B25" i="33" l="1"/>
  <c r="B38" i="33"/>
  <c r="B47" i="17"/>
  <c r="B71" i="17"/>
  <c r="B29" i="16"/>
  <c r="U28" i="16"/>
  <c r="D26" i="16"/>
  <c r="D25" i="17" s="1"/>
  <c r="C25" i="17"/>
  <c r="B15" i="15"/>
  <c r="E27" i="16"/>
  <c r="E26" i="17" s="1"/>
  <c r="C26" i="17"/>
  <c r="D27" i="16"/>
  <c r="D26" i="17" s="1"/>
  <c r="D124" i="1"/>
  <c r="D123" i="2" s="1"/>
  <c r="C123" i="2"/>
  <c r="E125" i="1"/>
  <c r="E124" i="2" s="1"/>
  <c r="C125" i="1"/>
  <c r="U125" i="1"/>
  <c r="B79" i="1"/>
  <c r="B126" i="1"/>
  <c r="U78" i="1"/>
  <c r="B92" i="4"/>
  <c r="B139" i="4"/>
  <c r="X31" i="35"/>
  <c r="N32" i="34" s="1"/>
  <c r="X32" i="35"/>
  <c r="X34" i="35"/>
  <c r="X35" i="35"/>
  <c r="X29" i="35"/>
  <c r="N30" i="34" s="1"/>
  <c r="AD60" i="35"/>
  <c r="AL18" i="14" s="1"/>
  <c r="AC60" i="35"/>
  <c r="AK18" i="14" s="1"/>
  <c r="AB60" i="35"/>
  <c r="AJ18" i="14" s="1"/>
  <c r="AA60" i="35"/>
  <c r="AI18" i="14" s="1"/>
  <c r="Z60" i="35"/>
  <c r="AH18" i="14" s="1"/>
  <c r="W60" i="35"/>
  <c r="AC18" i="14" s="1"/>
  <c r="V60" i="35"/>
  <c r="AB18" i="14" s="1"/>
  <c r="U60" i="35"/>
  <c r="AA18" i="14" s="1"/>
  <c r="T60" i="35"/>
  <c r="Z18" i="14" s="1"/>
  <c r="Q60" i="35"/>
  <c r="U18" i="14" s="1"/>
  <c r="P60" i="35"/>
  <c r="T18" i="14" s="1"/>
  <c r="O60" i="35"/>
  <c r="S18" i="14" s="1"/>
  <c r="N60" i="35"/>
  <c r="R18" i="14" s="1"/>
  <c r="M60" i="35"/>
  <c r="Q18" i="14" s="1"/>
  <c r="L60" i="35"/>
  <c r="P18" i="14" s="1"/>
  <c r="K60" i="35"/>
  <c r="O18" i="14" s="1"/>
  <c r="J60" i="35"/>
  <c r="N18" i="14" s="1"/>
  <c r="I60" i="35"/>
  <c r="M18" i="14" s="1"/>
  <c r="H60" i="35"/>
  <c r="K18" i="14" s="1"/>
  <c r="AF59" i="35"/>
  <c r="AE35" i="35"/>
  <c r="AE34" i="35"/>
  <c r="AE33" i="35"/>
  <c r="X33" i="35"/>
  <c r="AE32" i="35"/>
  <c r="AE31" i="35"/>
  <c r="P32" i="34" s="1"/>
  <c r="AE30" i="35"/>
  <c r="P31" i="34" s="1"/>
  <c r="X30" i="35"/>
  <c r="N31" i="34" s="1"/>
  <c r="AE29" i="35"/>
  <c r="P30" i="34" s="1"/>
  <c r="AE28" i="35"/>
  <c r="P29" i="34" s="1"/>
  <c r="X28" i="35"/>
  <c r="N29" i="34" s="1"/>
  <c r="AE27" i="35"/>
  <c r="P28" i="34" s="1"/>
  <c r="AE26" i="35"/>
  <c r="P27" i="34" s="1"/>
  <c r="AE25" i="35"/>
  <c r="P26" i="34" s="1"/>
  <c r="AE24" i="35"/>
  <c r="P25" i="34" s="1"/>
  <c r="X24" i="35"/>
  <c r="N25" i="34" s="1"/>
  <c r="AE23" i="35"/>
  <c r="P24" i="34" s="1"/>
  <c r="AE22" i="35"/>
  <c r="P23" i="34" s="1"/>
  <c r="AE21" i="35"/>
  <c r="P22" i="34" s="1"/>
  <c r="AE20" i="35"/>
  <c r="P21" i="34" s="1"/>
  <c r="X20" i="35"/>
  <c r="N21" i="34" s="1"/>
  <c r="B22" i="35"/>
  <c r="B23" i="35" s="1"/>
  <c r="B24" i="35" s="1"/>
  <c r="B25" i="35" s="1"/>
  <c r="B26" i="35" s="1"/>
  <c r="B27" i="35" s="1"/>
  <c r="B28" i="35" s="1"/>
  <c r="B29" i="35" s="1"/>
  <c r="B30" i="35" s="1"/>
  <c r="B31" i="35" s="1"/>
  <c r="D11" i="35"/>
  <c r="B10" i="35"/>
  <c r="B9" i="35"/>
  <c r="H61" i="34"/>
  <c r="L36" i="34"/>
  <c r="F35" i="35" s="1"/>
  <c r="I36" i="34"/>
  <c r="L35" i="34"/>
  <c r="F34" i="35" s="1"/>
  <c r="I35" i="34"/>
  <c r="L34" i="34"/>
  <c r="F33" i="35" s="1"/>
  <c r="I34" i="34"/>
  <c r="L33" i="34"/>
  <c r="F32" i="35" s="1"/>
  <c r="I33" i="34"/>
  <c r="L32" i="34"/>
  <c r="F31" i="35" s="1"/>
  <c r="I32" i="34"/>
  <c r="G31" i="35" s="1"/>
  <c r="L31" i="34"/>
  <c r="F30" i="35" s="1"/>
  <c r="I31" i="34"/>
  <c r="L30" i="34"/>
  <c r="F29" i="35" s="1"/>
  <c r="I30" i="34"/>
  <c r="G29" i="35" s="1"/>
  <c r="L29" i="34"/>
  <c r="F28" i="35" s="1"/>
  <c r="I29" i="34"/>
  <c r="G28" i="35" s="1"/>
  <c r="L28" i="34"/>
  <c r="I28" i="34"/>
  <c r="G27" i="35" s="1"/>
  <c r="L27" i="34"/>
  <c r="I27" i="34"/>
  <c r="G26" i="35" s="1"/>
  <c r="L26" i="34"/>
  <c r="F25" i="35" s="1"/>
  <c r="I26" i="34"/>
  <c r="G25" i="35" s="1"/>
  <c r="L25" i="34"/>
  <c r="F24" i="35" s="1"/>
  <c r="I25" i="34"/>
  <c r="G24" i="35" s="1"/>
  <c r="L24" i="34"/>
  <c r="F23" i="35" s="1"/>
  <c r="I24" i="34"/>
  <c r="G23" i="35" s="1"/>
  <c r="L23" i="34"/>
  <c r="F22" i="35" s="1"/>
  <c r="I23" i="34"/>
  <c r="G22" i="35" s="1"/>
  <c r="L22" i="34"/>
  <c r="F21" i="35" s="1"/>
  <c r="I22" i="34"/>
  <c r="G21" i="35" s="1"/>
  <c r="Y23" i="34"/>
  <c r="Y24" i="34" s="1"/>
  <c r="Y25" i="34" s="1"/>
  <c r="Y26" i="34" s="1"/>
  <c r="Y27" i="34" s="1"/>
  <c r="Y28" i="34" s="1"/>
  <c r="Y29" i="34" s="1"/>
  <c r="Y30" i="34" s="1"/>
  <c r="Y31" i="34" s="1"/>
  <c r="Y32" i="34" s="1"/>
  <c r="W23" i="34"/>
  <c r="W24" i="34" s="1"/>
  <c r="W25" i="34" s="1"/>
  <c r="W26" i="34" s="1"/>
  <c r="W27" i="34" s="1"/>
  <c r="W28" i="34" s="1"/>
  <c r="W29" i="34" s="1"/>
  <c r="W30" i="34" s="1"/>
  <c r="W31" i="34" s="1"/>
  <c r="W32" i="34" s="1"/>
  <c r="L21" i="34"/>
  <c r="F20" i="35" s="1"/>
  <c r="I21" i="34"/>
  <c r="G20" i="35" s="1"/>
  <c r="B23" i="34"/>
  <c r="F47" i="33"/>
  <c r="X25" i="35"/>
  <c r="N26" i="34" s="1"/>
  <c r="X23" i="35"/>
  <c r="N24" i="34" s="1"/>
  <c r="X21" i="35"/>
  <c r="N22" i="34" s="1"/>
  <c r="F61" i="34"/>
  <c r="X22" i="35"/>
  <c r="N23" i="34" s="1"/>
  <c r="M38" i="34"/>
  <c r="X26" i="35"/>
  <c r="N27" i="34" s="1"/>
  <c r="X27" i="35"/>
  <c r="N28" i="34" s="1"/>
  <c r="S60" i="35"/>
  <c r="X18" i="14" s="1"/>
  <c r="AD34" i="32"/>
  <c r="AL17" i="14" s="1"/>
  <c r="AC34" i="32"/>
  <c r="AK17" i="14" s="1"/>
  <c r="AB34" i="32"/>
  <c r="AJ17" i="14" s="1"/>
  <c r="AA34" i="32"/>
  <c r="AI17" i="14" s="1"/>
  <c r="Z34" i="32"/>
  <c r="AH17" i="14" s="1"/>
  <c r="W34" i="32"/>
  <c r="AC17" i="14" s="1"/>
  <c r="V34" i="32"/>
  <c r="AB17" i="14" s="1"/>
  <c r="U34" i="32"/>
  <c r="AA17" i="14" s="1"/>
  <c r="T34" i="32"/>
  <c r="Z17" i="14" s="1"/>
  <c r="S34" i="32"/>
  <c r="X17" i="14" s="1"/>
  <c r="Q34" i="32"/>
  <c r="U17" i="14" s="1"/>
  <c r="P34" i="32"/>
  <c r="T17" i="14" s="1"/>
  <c r="O34" i="32"/>
  <c r="S17" i="14" s="1"/>
  <c r="N34" i="32"/>
  <c r="R17" i="14" s="1"/>
  <c r="M34" i="32"/>
  <c r="Q17" i="14" s="1"/>
  <c r="L34" i="32"/>
  <c r="P17" i="14" s="1"/>
  <c r="K34" i="32"/>
  <c r="O17" i="14" s="1"/>
  <c r="J34" i="32"/>
  <c r="N17" i="14" s="1"/>
  <c r="I34" i="32"/>
  <c r="M17" i="14" s="1"/>
  <c r="H34" i="32"/>
  <c r="K17" i="14" s="1"/>
  <c r="AF33" i="32"/>
  <c r="AE32" i="32"/>
  <c r="P33" i="31" s="1"/>
  <c r="X32" i="32"/>
  <c r="N33" i="31" s="1"/>
  <c r="AE20" i="32"/>
  <c r="X20" i="32"/>
  <c r="D11" i="32"/>
  <c r="B10" i="32"/>
  <c r="B9" i="32"/>
  <c r="H35" i="31"/>
  <c r="L33" i="31"/>
  <c r="I33" i="31"/>
  <c r="Y32" i="32" s="1"/>
  <c r="O33" i="31" s="1"/>
  <c r="Y22" i="31"/>
  <c r="Y33" i="31" s="1"/>
  <c r="W22" i="31"/>
  <c r="W33" i="31" s="1"/>
  <c r="L21" i="31"/>
  <c r="F20" i="32" s="1"/>
  <c r="I21" i="31"/>
  <c r="G18" i="30" s="1"/>
  <c r="F21" i="30"/>
  <c r="AD34" i="29"/>
  <c r="AL16" i="14" s="1"/>
  <c r="AC34" i="29"/>
  <c r="AK16" i="14" s="1"/>
  <c r="AB34" i="29"/>
  <c r="AJ16" i="14" s="1"/>
  <c r="AA34" i="29"/>
  <c r="AI16" i="14" s="1"/>
  <c r="Z34" i="29"/>
  <c r="AH16" i="14" s="1"/>
  <c r="W34" i="29"/>
  <c r="AC16" i="14" s="1"/>
  <c r="V34" i="29"/>
  <c r="AB16" i="14" s="1"/>
  <c r="U34" i="29"/>
  <c r="AA16" i="14" s="1"/>
  <c r="T34" i="29"/>
  <c r="Z16" i="14" s="1"/>
  <c r="S34" i="29"/>
  <c r="X16" i="14" s="1"/>
  <c r="Q34" i="29"/>
  <c r="U16" i="14" s="1"/>
  <c r="P34" i="29"/>
  <c r="T16" i="14" s="1"/>
  <c r="O34" i="29"/>
  <c r="S16" i="14" s="1"/>
  <c r="N34" i="29"/>
  <c r="R16" i="14" s="1"/>
  <c r="M34" i="29"/>
  <c r="Q16" i="14" s="1"/>
  <c r="L34" i="29"/>
  <c r="P16" i="14" s="1"/>
  <c r="K34" i="29"/>
  <c r="O16" i="14" s="1"/>
  <c r="J34" i="29"/>
  <c r="N16" i="14" s="1"/>
  <c r="I34" i="29"/>
  <c r="M16" i="14" s="1"/>
  <c r="H34" i="29"/>
  <c r="K16" i="14" s="1"/>
  <c r="AF33" i="29"/>
  <c r="AE32" i="29"/>
  <c r="P33" i="28" s="1"/>
  <c r="X32" i="29"/>
  <c r="N33" i="28" s="1"/>
  <c r="D32" i="29"/>
  <c r="C32" i="29"/>
  <c r="AE21" i="29"/>
  <c r="X21" i="29"/>
  <c r="N32" i="28" s="1"/>
  <c r="D21" i="29"/>
  <c r="C21" i="29"/>
  <c r="B21" i="29"/>
  <c r="B32" i="29" s="1"/>
  <c r="AE20" i="29"/>
  <c r="P31" i="28" s="1"/>
  <c r="X20" i="29"/>
  <c r="E20" i="29"/>
  <c r="D20" i="29"/>
  <c r="C20" i="29"/>
  <c r="D11" i="29"/>
  <c r="B10" i="29"/>
  <c r="B9" i="29"/>
  <c r="H35" i="28"/>
  <c r="L33" i="28"/>
  <c r="F32" i="29" s="1"/>
  <c r="I33" i="28"/>
  <c r="G20" i="27" s="1"/>
  <c r="Y22" i="28"/>
  <c r="Y33" i="28" s="1"/>
  <c r="W22" i="28"/>
  <c r="W33" i="28" s="1"/>
  <c r="L22" i="28"/>
  <c r="I22" i="28"/>
  <c r="B22" i="28"/>
  <c r="L21" i="28"/>
  <c r="F20" i="29" s="1"/>
  <c r="I21" i="28"/>
  <c r="F21" i="27"/>
  <c r="B9" i="27"/>
  <c r="G20" i="29"/>
  <c r="R20" i="29" s="1"/>
  <c r="M31" i="28" s="1"/>
  <c r="F35" i="28"/>
  <c r="G21" i="29"/>
  <c r="R21" i="29" s="1"/>
  <c r="F72" i="25"/>
  <c r="AD71" i="26"/>
  <c r="AL15" i="14" s="1"/>
  <c r="AC71" i="26"/>
  <c r="AK15" i="14" s="1"/>
  <c r="AB71" i="26"/>
  <c r="AJ15" i="14" s="1"/>
  <c r="AA71" i="26"/>
  <c r="AI15" i="14" s="1"/>
  <c r="Z71" i="26"/>
  <c r="AH15" i="14" s="1"/>
  <c r="W71" i="26"/>
  <c r="AC15" i="14" s="1"/>
  <c r="V71" i="26"/>
  <c r="AB15" i="14" s="1"/>
  <c r="U71" i="26"/>
  <c r="AA15" i="14" s="1"/>
  <c r="T71" i="26"/>
  <c r="Z15" i="14" s="1"/>
  <c r="S71" i="26"/>
  <c r="X15" i="14" s="1"/>
  <c r="Q71" i="26"/>
  <c r="U15" i="14" s="1"/>
  <c r="P71" i="26"/>
  <c r="T15" i="14" s="1"/>
  <c r="O71" i="26"/>
  <c r="S15" i="14" s="1"/>
  <c r="N71" i="26"/>
  <c r="R15" i="14" s="1"/>
  <c r="M71" i="26"/>
  <c r="Q15" i="14" s="1"/>
  <c r="L71" i="26"/>
  <c r="P15" i="14" s="1"/>
  <c r="K71" i="26"/>
  <c r="O15" i="14" s="1"/>
  <c r="J71" i="26"/>
  <c r="N15" i="14" s="1"/>
  <c r="I71" i="26"/>
  <c r="M15" i="14" s="1"/>
  <c r="H71" i="26"/>
  <c r="K15" i="14" s="1"/>
  <c r="AF70" i="26"/>
  <c r="AE29" i="26"/>
  <c r="P30" i="25" s="1"/>
  <c r="N30" i="25"/>
  <c r="AE28" i="26"/>
  <c r="P29" i="25" s="1"/>
  <c r="N29" i="25"/>
  <c r="AE27" i="26"/>
  <c r="P28" i="25" s="1"/>
  <c r="N28" i="25"/>
  <c r="AE26" i="26"/>
  <c r="P27" i="25" s="1"/>
  <c r="N27" i="25"/>
  <c r="AE25" i="26"/>
  <c r="P26" i="25" s="1"/>
  <c r="X25" i="26"/>
  <c r="N26" i="25" s="1"/>
  <c r="AE24" i="26"/>
  <c r="P25" i="25" s="1"/>
  <c r="X24" i="26"/>
  <c r="N25" i="25" s="1"/>
  <c r="AE23" i="26"/>
  <c r="P24" i="25" s="1"/>
  <c r="X23" i="26"/>
  <c r="N24" i="25" s="1"/>
  <c r="AE22" i="26"/>
  <c r="P23" i="25" s="1"/>
  <c r="X22" i="26"/>
  <c r="N23" i="25" s="1"/>
  <c r="AE21" i="26"/>
  <c r="X21" i="26"/>
  <c r="N22" i="25" s="1"/>
  <c r="B21" i="26"/>
  <c r="B22" i="26" s="1"/>
  <c r="B23" i="26" s="1"/>
  <c r="B24" i="26" s="1"/>
  <c r="B25" i="26" s="1"/>
  <c r="B26" i="26" s="1"/>
  <c r="B27" i="26" s="1"/>
  <c r="B28" i="26" s="1"/>
  <c r="B29" i="26" s="1"/>
  <c r="B30" i="26" s="1"/>
  <c r="B31" i="26" s="1"/>
  <c r="B32" i="26" s="1"/>
  <c r="B33" i="26" s="1"/>
  <c r="B34" i="26" s="1"/>
  <c r="AE20" i="26"/>
  <c r="P21" i="25" s="1"/>
  <c r="X20" i="26"/>
  <c r="N21" i="25" s="1"/>
  <c r="E20" i="26"/>
  <c r="D20" i="26"/>
  <c r="C20" i="26"/>
  <c r="D11" i="26"/>
  <c r="B10" i="26"/>
  <c r="B9" i="26"/>
  <c r="H72" i="25"/>
  <c r="I30" i="25"/>
  <c r="F28" i="26"/>
  <c r="I29" i="25"/>
  <c r="F27" i="26"/>
  <c r="I28" i="25"/>
  <c r="F26" i="26"/>
  <c r="I27" i="25"/>
  <c r="F25" i="26"/>
  <c r="I26" i="25"/>
  <c r="Y25" i="26" s="1"/>
  <c r="O26" i="25" s="1"/>
  <c r="F24" i="26"/>
  <c r="I25" i="25"/>
  <c r="F23" i="26"/>
  <c r="I24" i="25"/>
  <c r="I23" i="25"/>
  <c r="G22" i="26" s="1"/>
  <c r="R22" i="26" s="1"/>
  <c r="M23" i="25" s="1"/>
  <c r="Y22" i="25"/>
  <c r="Y23" i="25" s="1"/>
  <c r="Y24" i="25" s="1"/>
  <c r="Y25" i="25" s="1"/>
  <c r="Y26" i="25" s="1"/>
  <c r="Y27" i="25" s="1"/>
  <c r="Y28" i="25" s="1"/>
  <c r="Y29" i="25" s="1"/>
  <c r="Y30" i="25" s="1"/>
  <c r="Y31" i="25" s="1"/>
  <c r="Y32" i="25" s="1"/>
  <c r="Y33" i="25" s="1"/>
  <c r="Y34" i="25" s="1"/>
  <c r="Y35" i="25" s="1"/>
  <c r="W22" i="25"/>
  <c r="W23" i="25" s="1"/>
  <c r="W24" i="25" s="1"/>
  <c r="W25" i="25" s="1"/>
  <c r="W26" i="25" s="1"/>
  <c r="W27" i="25" s="1"/>
  <c r="W28" i="25" s="1"/>
  <c r="W29" i="25" s="1"/>
  <c r="W30" i="25" s="1"/>
  <c r="W31" i="25" s="1"/>
  <c r="W32" i="25" s="1"/>
  <c r="W33" i="25" s="1"/>
  <c r="W34" i="25" s="1"/>
  <c r="W35" i="25" s="1"/>
  <c r="F21" i="26"/>
  <c r="I22" i="25"/>
  <c r="B22" i="25"/>
  <c r="B23" i="25" s="1"/>
  <c r="L21" i="25"/>
  <c r="F20" i="26" s="1"/>
  <c r="I21" i="25"/>
  <c r="Y20" i="26" s="1"/>
  <c r="O21" i="25" s="1"/>
  <c r="F58" i="24"/>
  <c r="B9" i="24"/>
  <c r="F22" i="26"/>
  <c r="AD45" i="23"/>
  <c r="AL14" i="14" s="1"/>
  <c r="AC45" i="23"/>
  <c r="AK14" i="14" s="1"/>
  <c r="AB45" i="23"/>
  <c r="AJ14" i="14" s="1"/>
  <c r="AA45" i="23"/>
  <c r="AI14" i="14" s="1"/>
  <c r="Z45" i="23"/>
  <c r="AH14" i="14" s="1"/>
  <c r="W45" i="23"/>
  <c r="AC14" i="14" s="1"/>
  <c r="V45" i="23"/>
  <c r="AB14" i="14" s="1"/>
  <c r="U45" i="23"/>
  <c r="AA14" i="14" s="1"/>
  <c r="T45" i="23"/>
  <c r="Z14" i="14" s="1"/>
  <c r="S45" i="23"/>
  <c r="X14" i="14" s="1"/>
  <c r="Q45" i="23"/>
  <c r="U14" i="14" s="1"/>
  <c r="P45" i="23"/>
  <c r="T14" i="14" s="1"/>
  <c r="O45" i="23"/>
  <c r="S14" i="14" s="1"/>
  <c r="N45" i="23"/>
  <c r="R14" i="14" s="1"/>
  <c r="M45" i="23"/>
  <c r="Q14" i="14" s="1"/>
  <c r="L45" i="23"/>
  <c r="P14" i="14" s="1"/>
  <c r="K45" i="23"/>
  <c r="O14" i="14" s="1"/>
  <c r="J45" i="23"/>
  <c r="N14" i="14" s="1"/>
  <c r="I45" i="23"/>
  <c r="M14" i="14" s="1"/>
  <c r="H45" i="23"/>
  <c r="K14" i="14" s="1"/>
  <c r="AF44" i="23"/>
  <c r="AE24" i="23"/>
  <c r="X24" i="23"/>
  <c r="AE23" i="23"/>
  <c r="X23" i="23"/>
  <c r="AE22" i="23"/>
  <c r="P23" i="22" s="1"/>
  <c r="X22" i="23"/>
  <c r="N23" i="22" s="1"/>
  <c r="AE21" i="23"/>
  <c r="X21" i="23"/>
  <c r="N22" i="22" s="1"/>
  <c r="B21" i="23"/>
  <c r="B22" i="23" s="1"/>
  <c r="AE20" i="23"/>
  <c r="P21" i="22" s="1"/>
  <c r="X20" i="23"/>
  <c r="N21" i="22" s="1"/>
  <c r="E20" i="23"/>
  <c r="D20" i="23"/>
  <c r="C20" i="23"/>
  <c r="D11" i="23"/>
  <c r="B10" i="23"/>
  <c r="B9" i="23"/>
  <c r="H46" i="22"/>
  <c r="F46" i="22"/>
  <c r="I44" i="22"/>
  <c r="I33" i="22"/>
  <c r="I32" i="22"/>
  <c r="I31" i="22"/>
  <c r="I30" i="22"/>
  <c r="I29" i="22"/>
  <c r="I28" i="22"/>
  <c r="I27" i="22"/>
  <c r="G24" i="21" s="1"/>
  <c r="F24" i="23"/>
  <c r="I25" i="22"/>
  <c r="F23" i="23"/>
  <c r="I24" i="22"/>
  <c r="G21" i="21" s="1"/>
  <c r="F22" i="23"/>
  <c r="I23" i="22"/>
  <c r="Y22" i="22"/>
  <c r="Y23" i="22" s="1"/>
  <c r="W22" i="22"/>
  <c r="W23" i="22" s="1"/>
  <c r="F21" i="23"/>
  <c r="I22" i="22"/>
  <c r="B22" i="22"/>
  <c r="L21" i="22"/>
  <c r="F20" i="23" s="1"/>
  <c r="I21" i="22"/>
  <c r="F32" i="21"/>
  <c r="B9" i="21"/>
  <c r="AD68" i="20"/>
  <c r="AL13" i="14" s="1"/>
  <c r="AC68" i="20"/>
  <c r="AK13" i="14" s="1"/>
  <c r="AB68" i="20"/>
  <c r="AJ13" i="14" s="1"/>
  <c r="AA68" i="20"/>
  <c r="AI13" i="14" s="1"/>
  <c r="Z68" i="20"/>
  <c r="AH13" i="14" s="1"/>
  <c r="W68" i="20"/>
  <c r="AC13" i="14" s="1"/>
  <c r="V68" i="20"/>
  <c r="AB13" i="14" s="1"/>
  <c r="U68" i="20"/>
  <c r="AA13" i="14" s="1"/>
  <c r="T68" i="20"/>
  <c r="Z13" i="14" s="1"/>
  <c r="S68" i="20"/>
  <c r="X13" i="14" s="1"/>
  <c r="Q68" i="20"/>
  <c r="U13" i="14" s="1"/>
  <c r="P68" i="20"/>
  <c r="T13" i="14" s="1"/>
  <c r="O68" i="20"/>
  <c r="S13" i="14" s="1"/>
  <c r="N68" i="20"/>
  <c r="R13" i="14" s="1"/>
  <c r="M68" i="20"/>
  <c r="Q13" i="14" s="1"/>
  <c r="L68" i="20"/>
  <c r="P13" i="14" s="1"/>
  <c r="K68" i="20"/>
  <c r="O13" i="14" s="1"/>
  <c r="J68" i="20"/>
  <c r="N13" i="14" s="1"/>
  <c r="I68" i="20"/>
  <c r="M13" i="14" s="1"/>
  <c r="H68" i="20"/>
  <c r="K13" i="14" s="1"/>
  <c r="AF67" i="20"/>
  <c r="AE41" i="20"/>
  <c r="X41" i="20"/>
  <c r="AE40" i="20"/>
  <c r="X40" i="20"/>
  <c r="AE39" i="20"/>
  <c r="X39" i="20"/>
  <c r="AE38" i="20"/>
  <c r="X38" i="20"/>
  <c r="AE37" i="20"/>
  <c r="X37" i="20"/>
  <c r="AE36" i="20"/>
  <c r="X36" i="20"/>
  <c r="AE35" i="20"/>
  <c r="X35" i="20"/>
  <c r="AE34" i="20"/>
  <c r="X34" i="20"/>
  <c r="AE33" i="20"/>
  <c r="P34" i="19" s="1"/>
  <c r="X33" i="20"/>
  <c r="N34" i="19" s="1"/>
  <c r="AE32" i="20"/>
  <c r="P33" i="19" s="1"/>
  <c r="X32" i="20"/>
  <c r="N33" i="19" s="1"/>
  <c r="AE30" i="20"/>
  <c r="P31" i="19" s="1"/>
  <c r="X30" i="20"/>
  <c r="N31" i="19" s="1"/>
  <c r="AE29" i="20"/>
  <c r="P30" i="19" s="1"/>
  <c r="X29" i="20"/>
  <c r="N30" i="19" s="1"/>
  <c r="AE28" i="20"/>
  <c r="P29" i="19" s="1"/>
  <c r="X28" i="20"/>
  <c r="N29" i="19" s="1"/>
  <c r="AE27" i="20"/>
  <c r="P28" i="19" s="1"/>
  <c r="X27" i="20"/>
  <c r="N28" i="19" s="1"/>
  <c r="AE26" i="20"/>
  <c r="P27" i="19" s="1"/>
  <c r="X26" i="20"/>
  <c r="N27" i="19" s="1"/>
  <c r="AE25" i="20"/>
  <c r="P26" i="19" s="1"/>
  <c r="X25" i="20"/>
  <c r="N26" i="19" s="1"/>
  <c r="AE24" i="20"/>
  <c r="P25" i="19" s="1"/>
  <c r="X24" i="20"/>
  <c r="N25" i="19" s="1"/>
  <c r="AE23" i="20"/>
  <c r="P24" i="19" s="1"/>
  <c r="X23" i="20"/>
  <c r="N24" i="19" s="1"/>
  <c r="AE22" i="20"/>
  <c r="P23" i="19" s="1"/>
  <c r="X22" i="20"/>
  <c r="N23" i="19" s="1"/>
  <c r="AE21" i="20"/>
  <c r="P22" i="19" s="1"/>
  <c r="X21" i="20"/>
  <c r="N22" i="19" s="1"/>
  <c r="B21" i="20"/>
  <c r="B22" i="20" s="1"/>
  <c r="B23" i="20" s="1"/>
  <c r="B24" i="20" s="1"/>
  <c r="B25" i="20" s="1"/>
  <c r="B26" i="20" s="1"/>
  <c r="B27" i="20" s="1"/>
  <c r="B28" i="20" s="1"/>
  <c r="B29" i="20" s="1"/>
  <c r="B30" i="20" s="1"/>
  <c r="B31" i="20" s="1"/>
  <c r="B32" i="20" s="1"/>
  <c r="B33" i="20" s="1"/>
  <c r="AE20" i="20"/>
  <c r="P21" i="19" s="1"/>
  <c r="X20" i="20"/>
  <c r="N21" i="19" s="1"/>
  <c r="E20" i="20"/>
  <c r="D20" i="20"/>
  <c r="C20" i="20"/>
  <c r="D11" i="20"/>
  <c r="B10" i="20"/>
  <c r="B9" i="20"/>
  <c r="H69" i="19"/>
  <c r="F69" i="19"/>
  <c r="F41" i="20"/>
  <c r="I42" i="19"/>
  <c r="F40" i="20"/>
  <c r="I41" i="19"/>
  <c r="F39" i="20"/>
  <c r="I40" i="19"/>
  <c r="F38" i="20"/>
  <c r="I39" i="19"/>
  <c r="F37" i="20"/>
  <c r="I38" i="19"/>
  <c r="F36" i="20"/>
  <c r="I37" i="19"/>
  <c r="I36" i="19"/>
  <c r="I35" i="19"/>
  <c r="F33" i="20"/>
  <c r="I34" i="19"/>
  <c r="V34" i="19" s="1"/>
  <c r="F32" i="20"/>
  <c r="I33" i="19"/>
  <c r="V33" i="19" s="1"/>
  <c r="F30" i="20"/>
  <c r="I31" i="19"/>
  <c r="V31" i="19" s="1"/>
  <c r="F29" i="20"/>
  <c r="I30" i="19"/>
  <c r="V30" i="19" s="1"/>
  <c r="F28" i="20"/>
  <c r="I29" i="19"/>
  <c r="V29" i="19" s="1"/>
  <c r="F27" i="20"/>
  <c r="I28" i="19"/>
  <c r="V28" i="19" s="1"/>
  <c r="F26" i="20"/>
  <c r="I27" i="19"/>
  <c r="V27" i="19" s="1"/>
  <c r="F25" i="20"/>
  <c r="I26" i="19"/>
  <c r="V26" i="19" s="1"/>
  <c r="F24" i="20"/>
  <c r="I25" i="19"/>
  <c r="V25" i="19" s="1"/>
  <c r="F23" i="20"/>
  <c r="I24" i="19"/>
  <c r="V24" i="19" s="1"/>
  <c r="F22" i="20"/>
  <c r="I23" i="19"/>
  <c r="V23" i="19" s="1"/>
  <c r="Y22" i="19"/>
  <c r="Y23" i="19" s="1"/>
  <c r="Y24" i="19" s="1"/>
  <c r="W22" i="19"/>
  <c r="W23" i="19" s="1"/>
  <c r="W24" i="19" s="1"/>
  <c r="W25" i="19" s="1"/>
  <c r="W26" i="19" s="1"/>
  <c r="W27" i="19" s="1"/>
  <c r="W28" i="19" s="1"/>
  <c r="W29" i="19" s="1"/>
  <c r="W30" i="19" s="1"/>
  <c r="W31" i="19" s="1"/>
  <c r="W32" i="19" s="1"/>
  <c r="W33" i="19" s="1"/>
  <c r="W34" i="19" s="1"/>
  <c r="F21" i="20"/>
  <c r="I22" i="19"/>
  <c r="V22" i="19" s="1"/>
  <c r="B22" i="19"/>
  <c r="L21" i="19"/>
  <c r="F20" i="20" s="1"/>
  <c r="I21" i="19"/>
  <c r="G8" i="18" s="1"/>
  <c r="F55" i="18"/>
  <c r="B9" i="18"/>
  <c r="AD92" i="17"/>
  <c r="AL12" i="14" s="1"/>
  <c r="AC92" i="17"/>
  <c r="AK12" i="14" s="1"/>
  <c r="AB92" i="17"/>
  <c r="AJ12" i="14" s="1"/>
  <c r="AA92" i="17"/>
  <c r="AI12" i="14" s="1"/>
  <c r="Z92" i="17"/>
  <c r="AH12" i="14" s="1"/>
  <c r="W92" i="17"/>
  <c r="AC12" i="14" s="1"/>
  <c r="V92" i="17"/>
  <c r="AB12" i="14" s="1"/>
  <c r="U92" i="17"/>
  <c r="AA12" i="14" s="1"/>
  <c r="T92" i="17"/>
  <c r="Z12" i="14" s="1"/>
  <c r="Q92" i="17"/>
  <c r="U12" i="14" s="1"/>
  <c r="P92" i="17"/>
  <c r="T12" i="14" s="1"/>
  <c r="O92" i="17"/>
  <c r="S12" i="14" s="1"/>
  <c r="N92" i="17"/>
  <c r="R12" i="14" s="1"/>
  <c r="M92" i="17"/>
  <c r="Q12" i="14" s="1"/>
  <c r="L92" i="17"/>
  <c r="P12" i="14" s="1"/>
  <c r="K92" i="17"/>
  <c r="O12" i="14" s="1"/>
  <c r="J92" i="17"/>
  <c r="N12" i="14" s="1"/>
  <c r="I92" i="17"/>
  <c r="M12" i="14" s="1"/>
  <c r="H92" i="17"/>
  <c r="K12" i="14" s="1"/>
  <c r="AE90" i="17"/>
  <c r="AE65" i="17"/>
  <c r="AE64" i="17"/>
  <c r="AE63" i="17"/>
  <c r="AE62" i="17"/>
  <c r="AE61" i="17"/>
  <c r="P86" i="16" s="1"/>
  <c r="AE60" i="17"/>
  <c r="AE59" i="17"/>
  <c r="P84" i="16" s="1"/>
  <c r="AE58" i="17"/>
  <c r="AE57" i="17"/>
  <c r="AE56" i="17"/>
  <c r="P81" i="16" s="1"/>
  <c r="AE55" i="17"/>
  <c r="AE54" i="17"/>
  <c r="P79" i="16" s="1"/>
  <c r="AE53" i="17"/>
  <c r="P78" i="16" s="1"/>
  <c r="AE52" i="17"/>
  <c r="P77" i="16" s="1"/>
  <c r="AE51" i="17"/>
  <c r="AE50" i="17"/>
  <c r="AE49" i="17"/>
  <c r="P74" i="16" s="1"/>
  <c r="AE48" i="17"/>
  <c r="P73" i="16" s="1"/>
  <c r="AE47" i="17"/>
  <c r="P72" i="16" s="1"/>
  <c r="AE46" i="17"/>
  <c r="P71" i="16" s="1"/>
  <c r="AE45" i="17"/>
  <c r="P70" i="16" s="1"/>
  <c r="AE44" i="17"/>
  <c r="P69" i="16" s="1"/>
  <c r="AE43" i="17"/>
  <c r="P68" i="16" s="1"/>
  <c r="AE42" i="17"/>
  <c r="AE41" i="17"/>
  <c r="P42" i="16" s="1"/>
  <c r="AE40" i="17"/>
  <c r="P41" i="16" s="1"/>
  <c r="AE39" i="17"/>
  <c r="AE38" i="17"/>
  <c r="AE37" i="17"/>
  <c r="P38" i="16" s="1"/>
  <c r="AE36" i="17"/>
  <c r="P37" i="16" s="1"/>
  <c r="AE35" i="17"/>
  <c r="AE34" i="17"/>
  <c r="AE33" i="17"/>
  <c r="P34" i="16" s="1"/>
  <c r="AE32" i="17"/>
  <c r="P33" i="16" s="1"/>
  <c r="AE31" i="17"/>
  <c r="P32" i="16" s="1"/>
  <c r="AE30" i="17"/>
  <c r="P31" i="16" s="1"/>
  <c r="AE29" i="17"/>
  <c r="AE28" i="17"/>
  <c r="AE27" i="17"/>
  <c r="AE26" i="17"/>
  <c r="AE25" i="17"/>
  <c r="AE24" i="17"/>
  <c r="P25" i="16" s="1"/>
  <c r="AE23" i="17"/>
  <c r="AE22" i="17"/>
  <c r="AE21" i="17"/>
  <c r="AE20" i="17"/>
  <c r="P21" i="16" s="1"/>
  <c r="X20" i="17"/>
  <c r="N21" i="16" s="1"/>
  <c r="E20" i="17"/>
  <c r="D20" i="17"/>
  <c r="C20" i="17"/>
  <c r="D11" i="17"/>
  <c r="B10" i="17"/>
  <c r="B9" i="17"/>
  <c r="H93" i="16"/>
  <c r="I91" i="16"/>
  <c r="I66" i="16"/>
  <c r="I65" i="16"/>
  <c r="I64" i="16"/>
  <c r="I63" i="16"/>
  <c r="I62" i="16"/>
  <c r="I61" i="16"/>
  <c r="I60" i="16"/>
  <c r="I59" i="16"/>
  <c r="I58" i="16"/>
  <c r="I57" i="16"/>
  <c r="I56" i="16"/>
  <c r="I55" i="16"/>
  <c r="I54" i="16"/>
  <c r="I53" i="16"/>
  <c r="I52" i="16"/>
  <c r="I51" i="16"/>
  <c r="I50" i="16"/>
  <c r="I49" i="16"/>
  <c r="I48" i="16"/>
  <c r="I47" i="16"/>
  <c r="I46" i="16"/>
  <c r="I45" i="16"/>
  <c r="I44" i="16"/>
  <c r="I43" i="16"/>
  <c r="I42" i="16"/>
  <c r="I41" i="16"/>
  <c r="I40" i="16"/>
  <c r="I39" i="16"/>
  <c r="I38" i="16"/>
  <c r="I37" i="16"/>
  <c r="I36" i="16"/>
  <c r="I35" i="16"/>
  <c r="I34" i="16"/>
  <c r="I33" i="16"/>
  <c r="I32" i="16"/>
  <c r="I31" i="16"/>
  <c r="I30" i="16"/>
  <c r="I29" i="16"/>
  <c r="I28" i="16"/>
  <c r="I27" i="16"/>
  <c r="I26" i="16"/>
  <c r="I25" i="16"/>
  <c r="I24" i="16"/>
  <c r="I23" i="16"/>
  <c r="I22" i="16"/>
  <c r="Y22" i="16"/>
  <c r="Y23" i="16" s="1"/>
  <c r="Y24" i="16" s="1"/>
  <c r="Y25" i="16" s="1"/>
  <c r="Y26" i="16" s="1"/>
  <c r="Y27" i="16" s="1"/>
  <c r="Y28" i="16" s="1"/>
  <c r="Y29" i="16" s="1"/>
  <c r="Y30" i="16" s="1"/>
  <c r="Y31" i="16" s="1"/>
  <c r="Y32" i="16" s="1"/>
  <c r="Y33" i="16" s="1"/>
  <c r="Y34" i="16" s="1"/>
  <c r="Y35" i="16" s="1"/>
  <c r="Y36" i="16" s="1"/>
  <c r="Y37" i="16" s="1"/>
  <c r="Y38" i="16" s="1"/>
  <c r="Y39" i="16" s="1"/>
  <c r="Y40" i="16" s="1"/>
  <c r="Y41" i="16" s="1"/>
  <c r="Y42" i="16" s="1"/>
  <c r="L21" i="16"/>
  <c r="F20" i="17" s="1"/>
  <c r="I21" i="16"/>
  <c r="G8" i="15" s="1"/>
  <c r="F79" i="15"/>
  <c r="B11" i="12"/>
  <c r="B11" i="9"/>
  <c r="B11" i="6"/>
  <c r="S92" i="17"/>
  <c r="X12" i="14" s="1"/>
  <c r="B9" i="14"/>
  <c r="L21" i="12"/>
  <c r="F20" i="13" s="1"/>
  <c r="F70" i="11"/>
  <c r="F35" i="8"/>
  <c r="F27" i="5"/>
  <c r="F149" i="4"/>
  <c r="X24" i="13"/>
  <c r="N25" i="12" s="1"/>
  <c r="AD83" i="13"/>
  <c r="AL11" i="14" s="1"/>
  <c r="AC83" i="13"/>
  <c r="AK11" i="14" s="1"/>
  <c r="AB83" i="13"/>
  <c r="AJ11" i="14" s="1"/>
  <c r="AA83" i="13"/>
  <c r="AI11" i="14" s="1"/>
  <c r="Z83" i="13"/>
  <c r="AH11" i="14" s="1"/>
  <c r="W83" i="13"/>
  <c r="AC11" i="14" s="1"/>
  <c r="V83" i="13"/>
  <c r="AB11" i="14" s="1"/>
  <c r="U83" i="13"/>
  <c r="AA11" i="14" s="1"/>
  <c r="T83" i="13"/>
  <c r="Z11" i="14" s="1"/>
  <c r="Q83" i="13"/>
  <c r="U11" i="14" s="1"/>
  <c r="P83" i="13"/>
  <c r="T11" i="14" s="1"/>
  <c r="O83" i="13"/>
  <c r="S11" i="14" s="1"/>
  <c r="N83" i="13"/>
  <c r="R11" i="14" s="1"/>
  <c r="M83" i="13"/>
  <c r="Q11" i="14" s="1"/>
  <c r="L83" i="13"/>
  <c r="P11" i="14" s="1"/>
  <c r="K83" i="13"/>
  <c r="O11" i="14" s="1"/>
  <c r="J83" i="13"/>
  <c r="N11" i="14" s="1"/>
  <c r="I83" i="13"/>
  <c r="M11" i="14" s="1"/>
  <c r="H83" i="13"/>
  <c r="K11" i="14" s="1"/>
  <c r="AF82" i="13"/>
  <c r="AE24" i="13"/>
  <c r="P25" i="12" s="1"/>
  <c r="AE23" i="13"/>
  <c r="P24" i="12" s="1"/>
  <c r="AE22" i="13"/>
  <c r="P23" i="12" s="1"/>
  <c r="AE21" i="13"/>
  <c r="P22" i="12" s="1"/>
  <c r="AE20" i="13"/>
  <c r="P21" i="12" s="1"/>
  <c r="X20" i="13"/>
  <c r="N21" i="12" s="1"/>
  <c r="B21" i="13"/>
  <c r="B22" i="13" s="1"/>
  <c r="B23" i="13" s="1"/>
  <c r="B24" i="13" s="1"/>
  <c r="B25" i="13" s="1"/>
  <c r="B26" i="13" s="1"/>
  <c r="B27" i="13" s="1"/>
  <c r="B28" i="13" s="1"/>
  <c r="B29" i="13" s="1"/>
  <c r="B30" i="13" s="1"/>
  <c r="B31" i="13" s="1"/>
  <c r="B32" i="13" s="1"/>
  <c r="B33" i="13" s="1"/>
  <c r="B34" i="13" s="1"/>
  <c r="B35" i="13" s="1"/>
  <c r="B36" i="13" s="1"/>
  <c r="B37" i="13" s="1"/>
  <c r="B38" i="13" s="1"/>
  <c r="D11" i="13"/>
  <c r="B10" i="13"/>
  <c r="B9" i="13"/>
  <c r="H84" i="12"/>
  <c r="Y21" i="12"/>
  <c r="Y22" i="12" s="1"/>
  <c r="Y23" i="12" s="1"/>
  <c r="Y24" i="12" s="1"/>
  <c r="Y25" i="12" s="1"/>
  <c r="Y26" i="12" s="1"/>
  <c r="Y27" i="12" s="1"/>
  <c r="Y28" i="12" s="1"/>
  <c r="Y29" i="12" s="1"/>
  <c r="Y30" i="12" s="1"/>
  <c r="Y31" i="12" s="1"/>
  <c r="Y32" i="12" s="1"/>
  <c r="Y33" i="12" s="1"/>
  <c r="Y34" i="12" s="1"/>
  <c r="Y35" i="12" s="1"/>
  <c r="Y36" i="12" s="1"/>
  <c r="Y37" i="12" s="1"/>
  <c r="Y38" i="12" s="1"/>
  <c r="Y39" i="12" s="1"/>
  <c r="W21" i="12"/>
  <c r="W22" i="12" s="1"/>
  <c r="W23" i="12" s="1"/>
  <c r="I21" i="12"/>
  <c r="B22" i="12"/>
  <c r="B9" i="11"/>
  <c r="AD48" i="10"/>
  <c r="AL10" i="14" s="1"/>
  <c r="AC48" i="10"/>
  <c r="AK10" i="14" s="1"/>
  <c r="AB48" i="10"/>
  <c r="AJ10" i="14" s="1"/>
  <c r="AA48" i="10"/>
  <c r="AI10" i="14" s="1"/>
  <c r="Z48" i="10"/>
  <c r="AH10" i="14" s="1"/>
  <c r="W48" i="10"/>
  <c r="AC10" i="14" s="1"/>
  <c r="V48" i="10"/>
  <c r="AB10" i="14" s="1"/>
  <c r="U48" i="10"/>
  <c r="AA10" i="14" s="1"/>
  <c r="T48" i="10"/>
  <c r="Z10" i="14" s="1"/>
  <c r="Q48" i="10"/>
  <c r="U10" i="14" s="1"/>
  <c r="P48" i="10"/>
  <c r="T10" i="14" s="1"/>
  <c r="O48" i="10"/>
  <c r="S10" i="14" s="1"/>
  <c r="N48" i="10"/>
  <c r="R10" i="14" s="1"/>
  <c r="M48" i="10"/>
  <c r="Q10" i="14" s="1"/>
  <c r="L48" i="10"/>
  <c r="P10" i="14" s="1"/>
  <c r="K48" i="10"/>
  <c r="O10" i="14" s="1"/>
  <c r="J48" i="10"/>
  <c r="N10" i="14" s="1"/>
  <c r="I48" i="10"/>
  <c r="M10" i="14" s="1"/>
  <c r="H48" i="10"/>
  <c r="K10" i="14" s="1"/>
  <c r="AE20" i="10"/>
  <c r="P21" i="9" s="1"/>
  <c r="X20" i="10"/>
  <c r="E20" i="10"/>
  <c r="D20" i="10"/>
  <c r="C20" i="10"/>
  <c r="D11" i="10"/>
  <c r="B10" i="10"/>
  <c r="B9" i="10"/>
  <c r="H49" i="9"/>
  <c r="L21" i="9"/>
  <c r="I21" i="9"/>
  <c r="R23" i="13"/>
  <c r="M24" i="12" s="1"/>
  <c r="F49" i="9"/>
  <c r="X21" i="13"/>
  <c r="N22" i="12" s="1"/>
  <c r="H40" i="7"/>
  <c r="K9" i="14" s="1"/>
  <c r="P40" i="7"/>
  <c r="T9" i="14" s="1"/>
  <c r="P162" i="2"/>
  <c r="T8" i="14" s="1"/>
  <c r="H162" i="2"/>
  <c r="K8" i="14" s="1"/>
  <c r="I27" i="6"/>
  <c r="G24" i="5" s="1"/>
  <c r="AD40" i="7"/>
  <c r="AL9" i="14" s="1"/>
  <c r="AC40" i="7"/>
  <c r="AK9" i="14" s="1"/>
  <c r="AB40" i="7"/>
  <c r="AJ9" i="14" s="1"/>
  <c r="AA40" i="7"/>
  <c r="AI9" i="14" s="1"/>
  <c r="Z40" i="7"/>
  <c r="AH9" i="14" s="1"/>
  <c r="W40" i="7"/>
  <c r="AC9" i="14" s="1"/>
  <c r="V40" i="7"/>
  <c r="AB9" i="14" s="1"/>
  <c r="U40" i="7"/>
  <c r="AA9" i="14" s="1"/>
  <c r="T40" i="7"/>
  <c r="Z9" i="14" s="1"/>
  <c r="Q40" i="7"/>
  <c r="U9" i="14" s="1"/>
  <c r="O40" i="7"/>
  <c r="S9" i="14" s="1"/>
  <c r="N40" i="7"/>
  <c r="R9" i="14" s="1"/>
  <c r="M40" i="7"/>
  <c r="Q9" i="14" s="1"/>
  <c r="L40" i="7"/>
  <c r="P9" i="14" s="1"/>
  <c r="K40" i="7"/>
  <c r="O9" i="14" s="1"/>
  <c r="J40" i="7"/>
  <c r="N9" i="14" s="1"/>
  <c r="I40" i="7"/>
  <c r="M9" i="14" s="1"/>
  <c r="AF39" i="7"/>
  <c r="AE38" i="7"/>
  <c r="P39" i="6" s="1"/>
  <c r="X38" i="7"/>
  <c r="N39" i="6" s="1"/>
  <c r="AE27" i="7"/>
  <c r="AE26" i="7"/>
  <c r="AE25" i="7"/>
  <c r="P36" i="6" s="1"/>
  <c r="AE24" i="7"/>
  <c r="AE23" i="7"/>
  <c r="AE22" i="7"/>
  <c r="P33" i="6" s="1"/>
  <c r="AE21" i="7"/>
  <c r="P32" i="6" s="1"/>
  <c r="B21" i="7"/>
  <c r="B32" i="7" s="1"/>
  <c r="B22" i="7"/>
  <c r="B33" i="7" s="1"/>
  <c r="B23" i="7"/>
  <c r="AE20" i="7"/>
  <c r="P31" i="6" s="1"/>
  <c r="X20" i="7"/>
  <c r="N31" i="6" s="1"/>
  <c r="E20" i="7"/>
  <c r="D20" i="7"/>
  <c r="C20" i="7"/>
  <c r="D11" i="7"/>
  <c r="B10" i="7"/>
  <c r="B9" i="7"/>
  <c r="H41" i="6"/>
  <c r="L39" i="6"/>
  <c r="F38" i="7" s="1"/>
  <c r="L28" i="6"/>
  <c r="F27" i="7" s="1"/>
  <c r="I28" i="6"/>
  <c r="G25" i="5" s="1"/>
  <c r="L27" i="6"/>
  <c r="F26" i="7" s="1"/>
  <c r="L26" i="6"/>
  <c r="F25" i="7" s="1"/>
  <c r="I26" i="6"/>
  <c r="G23" i="5" s="1"/>
  <c r="L25" i="6"/>
  <c r="F24" i="7" s="1"/>
  <c r="I25" i="6"/>
  <c r="L24" i="6"/>
  <c r="F23" i="7" s="1"/>
  <c r="I24" i="6"/>
  <c r="G21" i="5" s="1"/>
  <c r="L23" i="6"/>
  <c r="F22" i="7" s="1"/>
  <c r="I23" i="6"/>
  <c r="G20" i="5" s="1"/>
  <c r="Y22" i="6"/>
  <c r="Y33" i="6" s="1"/>
  <c r="Y23" i="6"/>
  <c r="W22" i="6"/>
  <c r="W33" i="6" s="1"/>
  <c r="L22" i="6"/>
  <c r="F21" i="7" s="1"/>
  <c r="I22" i="6"/>
  <c r="G19" i="5" s="1"/>
  <c r="B22" i="6"/>
  <c r="L21" i="6"/>
  <c r="I21" i="6"/>
  <c r="B9" i="5"/>
  <c r="V24" i="6"/>
  <c r="V27" i="6"/>
  <c r="F41" i="6"/>
  <c r="I39" i="6"/>
  <c r="Y38" i="7" s="1"/>
  <c r="O39" i="6" s="1"/>
  <c r="X24" i="7"/>
  <c r="N35" i="6" s="1"/>
  <c r="B10" i="2"/>
  <c r="B9" i="2"/>
  <c r="AD12" i="2"/>
  <c r="D11" i="2"/>
  <c r="AC162" i="2"/>
  <c r="AK8" i="14" s="1"/>
  <c r="AD162" i="2"/>
  <c r="AL8" i="14" s="1"/>
  <c r="AB162" i="2"/>
  <c r="AJ8" i="14" s="1"/>
  <c r="AA162" i="2"/>
  <c r="AI8" i="14" s="1"/>
  <c r="Z162" i="2"/>
  <c r="AH8" i="14" s="1"/>
  <c r="W162" i="2"/>
  <c r="AC8" i="14" s="1"/>
  <c r="V162" i="2"/>
  <c r="AB8" i="14" s="1"/>
  <c r="AA8" i="14"/>
  <c r="T162" i="2"/>
  <c r="Z8" i="14" s="1"/>
  <c r="J162" i="2"/>
  <c r="N8" i="14" s="1"/>
  <c r="K162" i="2"/>
  <c r="O8" i="14" s="1"/>
  <c r="L162" i="2"/>
  <c r="P8" i="14" s="1"/>
  <c r="M162" i="2"/>
  <c r="Q8" i="14" s="1"/>
  <c r="N162" i="2"/>
  <c r="R8" i="14" s="1"/>
  <c r="O162" i="2"/>
  <c r="S8" i="14" s="1"/>
  <c r="Q162" i="2"/>
  <c r="U8" i="14" s="1"/>
  <c r="I162" i="2"/>
  <c r="M8" i="14" s="1"/>
  <c r="H163" i="1"/>
  <c r="AE20" i="2"/>
  <c r="P21" i="1" s="1"/>
  <c r="X20" i="2"/>
  <c r="N33" i="34" l="1"/>
  <c r="N46" i="34"/>
  <c r="B32" i="35"/>
  <c r="B45" i="35"/>
  <c r="P33" i="34"/>
  <c r="P46" i="34"/>
  <c r="N34" i="34"/>
  <c r="N47" i="34"/>
  <c r="N61" i="34" s="1"/>
  <c r="P34" i="34"/>
  <c r="P47" i="34"/>
  <c r="N36" i="34"/>
  <c r="N49" i="34"/>
  <c r="P36" i="34"/>
  <c r="P49" i="34"/>
  <c r="P35" i="34"/>
  <c r="P48" i="34"/>
  <c r="N35" i="34"/>
  <c r="N48" i="34"/>
  <c r="G30" i="35"/>
  <c r="R30" i="35" s="1"/>
  <c r="M31" i="34" s="1"/>
  <c r="G35" i="33"/>
  <c r="G34" i="35"/>
  <c r="R34" i="35" s="1"/>
  <c r="M48" i="34" s="1"/>
  <c r="G34" i="33"/>
  <c r="G33" i="35"/>
  <c r="G36" i="33"/>
  <c r="G35" i="35"/>
  <c r="W33" i="34"/>
  <c r="W46" i="34"/>
  <c r="G33" i="33"/>
  <c r="G32" i="35"/>
  <c r="R32" i="35" s="1"/>
  <c r="Y33" i="34"/>
  <c r="Y46" i="34"/>
  <c r="B39" i="33"/>
  <c r="B26" i="33"/>
  <c r="N21" i="31"/>
  <c r="N31" i="31"/>
  <c r="P21" i="31"/>
  <c r="P31" i="31"/>
  <c r="I18" i="30"/>
  <c r="M18" i="30"/>
  <c r="K18" i="30"/>
  <c r="G20" i="32"/>
  <c r="R20" i="32" s="1"/>
  <c r="N22" i="28"/>
  <c r="P22" i="28"/>
  <c r="P32" i="28"/>
  <c r="N21" i="28"/>
  <c r="N31" i="28"/>
  <c r="M22" i="28"/>
  <c r="M32" i="28"/>
  <c r="G18" i="27"/>
  <c r="G8" i="27"/>
  <c r="M20" i="27"/>
  <c r="I20" i="27"/>
  <c r="K20" i="27"/>
  <c r="B33" i="28"/>
  <c r="U33" i="28" s="1"/>
  <c r="U22" i="28"/>
  <c r="Y35" i="28"/>
  <c r="Y16" i="14" s="1"/>
  <c r="G19" i="27"/>
  <c r="G9" i="27"/>
  <c r="B20" i="27"/>
  <c r="E22" i="28"/>
  <c r="E21" i="29" s="1"/>
  <c r="E33" i="28"/>
  <c r="E32" i="29" s="1"/>
  <c r="B35" i="26"/>
  <c r="B52" i="26"/>
  <c r="W36" i="25"/>
  <c r="W53" i="25"/>
  <c r="Y36" i="25"/>
  <c r="Y53" i="25"/>
  <c r="B23" i="23"/>
  <c r="B33" i="23"/>
  <c r="P25" i="22"/>
  <c r="P35" i="22"/>
  <c r="N24" i="22"/>
  <c r="N34" i="22"/>
  <c r="P24" i="22"/>
  <c r="P34" i="22"/>
  <c r="N25" i="22"/>
  <c r="N35" i="22"/>
  <c r="G27" i="21"/>
  <c r="G17" i="21"/>
  <c r="V30" i="22"/>
  <c r="G29" i="23"/>
  <c r="R29" i="23" s="1"/>
  <c r="Y29" i="23"/>
  <c r="K21" i="21"/>
  <c r="I21" i="21"/>
  <c r="M21" i="21"/>
  <c r="G28" i="21"/>
  <c r="G30" i="23"/>
  <c r="R30" i="23" s="1"/>
  <c r="Y30" i="23"/>
  <c r="X31" i="22" s="1"/>
  <c r="V31" i="22"/>
  <c r="G18" i="21"/>
  <c r="G29" i="21"/>
  <c r="G31" i="23"/>
  <c r="R31" i="23" s="1"/>
  <c r="V32" i="22"/>
  <c r="Y31" i="23"/>
  <c r="G19" i="21"/>
  <c r="X32" i="22"/>
  <c r="G24" i="23"/>
  <c r="R24" i="23" s="1"/>
  <c r="G22" i="21"/>
  <c r="G30" i="21"/>
  <c r="G32" i="23"/>
  <c r="R32" i="23" s="1"/>
  <c r="G20" i="21"/>
  <c r="V33" i="22"/>
  <c r="Y32" i="23"/>
  <c r="X33" i="22" s="1"/>
  <c r="G26" i="21"/>
  <c r="Y28" i="23"/>
  <c r="G16" i="21"/>
  <c r="V29" i="22"/>
  <c r="G28" i="23"/>
  <c r="R28" i="23" s="1"/>
  <c r="G31" i="21"/>
  <c r="V44" i="22"/>
  <c r="G43" i="23"/>
  <c r="R43" i="23" s="1"/>
  <c r="Y43" i="23"/>
  <c r="O44" i="22" s="1"/>
  <c r="W24" i="22"/>
  <c r="W34" i="22"/>
  <c r="M24" i="21"/>
  <c r="K24" i="21"/>
  <c r="I24" i="21"/>
  <c r="Y24" i="22"/>
  <c r="Y34" i="22"/>
  <c r="G25" i="21"/>
  <c r="G27" i="23"/>
  <c r="R27" i="23" s="1"/>
  <c r="G15" i="21"/>
  <c r="V28" i="22"/>
  <c r="Y27" i="23"/>
  <c r="X28" i="22" s="1"/>
  <c r="B10" i="21"/>
  <c r="B21" i="21" s="1"/>
  <c r="N38" i="19"/>
  <c r="N54" i="19"/>
  <c r="B34" i="20"/>
  <c r="B50" i="20"/>
  <c r="P38" i="19"/>
  <c r="P54" i="19"/>
  <c r="P42" i="19"/>
  <c r="P58" i="19"/>
  <c r="N35" i="19"/>
  <c r="N51" i="19"/>
  <c r="N39" i="19"/>
  <c r="N55" i="19"/>
  <c r="P35" i="19"/>
  <c r="P51" i="19"/>
  <c r="P39" i="19"/>
  <c r="P55" i="19"/>
  <c r="N42" i="19"/>
  <c r="N58" i="19"/>
  <c r="N36" i="19"/>
  <c r="N52" i="19"/>
  <c r="N40" i="19"/>
  <c r="N56" i="19"/>
  <c r="P36" i="19"/>
  <c r="P52" i="19"/>
  <c r="P40" i="19"/>
  <c r="P56" i="19"/>
  <c r="N37" i="19"/>
  <c r="N53" i="19"/>
  <c r="N41" i="19"/>
  <c r="N57" i="19"/>
  <c r="P37" i="19"/>
  <c r="P53" i="19"/>
  <c r="P41" i="19"/>
  <c r="P57" i="19"/>
  <c r="G22" i="20"/>
  <c r="G38" i="18"/>
  <c r="V35" i="19"/>
  <c r="G43" i="18"/>
  <c r="V40" i="19"/>
  <c r="G39" i="18"/>
  <c r="V36" i="19"/>
  <c r="G40" i="18"/>
  <c r="V37" i="19"/>
  <c r="G44" i="18"/>
  <c r="V41" i="19"/>
  <c r="G41" i="18"/>
  <c r="V38" i="19"/>
  <c r="G45" i="18"/>
  <c r="V42" i="19"/>
  <c r="Y24" i="20"/>
  <c r="O25" i="19" s="1"/>
  <c r="W35" i="19"/>
  <c r="W51" i="19"/>
  <c r="G42" i="18"/>
  <c r="V39" i="19"/>
  <c r="P56" i="16"/>
  <c r="P80" i="16"/>
  <c r="P64" i="16"/>
  <c r="P88" i="16"/>
  <c r="P65" i="16"/>
  <c r="P89" i="16"/>
  <c r="P58" i="16"/>
  <c r="P82" i="16"/>
  <c r="P66" i="16"/>
  <c r="P90" i="16"/>
  <c r="P43" i="16"/>
  <c r="P67" i="16"/>
  <c r="P51" i="16"/>
  <c r="P75" i="16"/>
  <c r="P59" i="16"/>
  <c r="P83" i="16"/>
  <c r="P52" i="16"/>
  <c r="P76" i="16"/>
  <c r="P63" i="16"/>
  <c r="P87" i="16"/>
  <c r="P61" i="16"/>
  <c r="P85" i="16"/>
  <c r="B48" i="17"/>
  <c r="B72" i="17"/>
  <c r="Y20" i="17"/>
  <c r="X21" i="16" s="1"/>
  <c r="G9" i="15"/>
  <c r="V22" i="16"/>
  <c r="Y21" i="17"/>
  <c r="G21" i="17"/>
  <c r="G16" i="15"/>
  <c r="V29" i="16"/>
  <c r="Y28" i="17"/>
  <c r="G28" i="17"/>
  <c r="G24" i="15"/>
  <c r="V37" i="16"/>
  <c r="Y36" i="17"/>
  <c r="G36" i="17"/>
  <c r="G56" i="15"/>
  <c r="G32" i="15"/>
  <c r="V45" i="16"/>
  <c r="Y44" i="17"/>
  <c r="G44" i="17"/>
  <c r="R44" i="17" s="1"/>
  <c r="AF44" i="17" s="1"/>
  <c r="G63" i="15"/>
  <c r="G39" i="15"/>
  <c r="V52" i="16"/>
  <c r="Y51" i="17"/>
  <c r="G51" i="17"/>
  <c r="R59" i="17"/>
  <c r="AF59" i="17" s="1"/>
  <c r="G71" i="15"/>
  <c r="G47" i="15"/>
  <c r="V60" i="16"/>
  <c r="Y59" i="17"/>
  <c r="G59" i="17"/>
  <c r="G10" i="15"/>
  <c r="V23" i="16"/>
  <c r="G22" i="17"/>
  <c r="R22" i="17" s="1"/>
  <c r="M23" i="16" s="1"/>
  <c r="Y22" i="17"/>
  <c r="G17" i="15"/>
  <c r="V30" i="16"/>
  <c r="Y29" i="17"/>
  <c r="G29" i="17"/>
  <c r="R29" i="17" s="1"/>
  <c r="M30" i="16" s="1"/>
  <c r="G25" i="15"/>
  <c r="V38" i="16"/>
  <c r="Y37" i="17"/>
  <c r="G37" i="17"/>
  <c r="G57" i="15"/>
  <c r="G33" i="15"/>
  <c r="V46" i="16"/>
  <c r="Y45" i="17"/>
  <c r="G45" i="17"/>
  <c r="G64" i="15"/>
  <c r="G40" i="15"/>
  <c r="V53" i="16"/>
  <c r="Y52" i="17"/>
  <c r="G52" i="17"/>
  <c r="G72" i="15"/>
  <c r="G48" i="15"/>
  <c r="V61" i="16"/>
  <c r="Y60" i="17"/>
  <c r="G60" i="17"/>
  <c r="R60" i="17" s="1"/>
  <c r="M85" i="16" s="1"/>
  <c r="G11" i="15"/>
  <c r="V24" i="16"/>
  <c r="G23" i="17"/>
  <c r="Y23" i="17"/>
  <c r="G18" i="15"/>
  <c r="V31" i="16"/>
  <c r="G30" i="17"/>
  <c r="Y30" i="17"/>
  <c r="G26" i="15"/>
  <c r="V39" i="16"/>
  <c r="G38" i="17"/>
  <c r="Y38" i="17"/>
  <c r="G58" i="15"/>
  <c r="G34" i="15"/>
  <c r="V47" i="16"/>
  <c r="Y46" i="17"/>
  <c r="G46" i="17"/>
  <c r="R46" i="17" s="1"/>
  <c r="G65" i="15"/>
  <c r="G41" i="15"/>
  <c r="V54" i="16"/>
  <c r="Y53" i="17"/>
  <c r="G53" i="17"/>
  <c r="R53" i="17" s="1"/>
  <c r="G73" i="15"/>
  <c r="G49" i="15"/>
  <c r="V62" i="16"/>
  <c r="Y61" i="17"/>
  <c r="G61" i="17"/>
  <c r="G12" i="15"/>
  <c r="V25" i="16"/>
  <c r="G24" i="17"/>
  <c r="Y24" i="17"/>
  <c r="G19" i="15"/>
  <c r="V32" i="16"/>
  <c r="G31" i="17"/>
  <c r="R31" i="17" s="1"/>
  <c r="M32" i="16" s="1"/>
  <c r="Y31" i="17"/>
  <c r="G27" i="15"/>
  <c r="V40" i="16"/>
  <c r="G39" i="17"/>
  <c r="Y39" i="17"/>
  <c r="G59" i="15"/>
  <c r="G35" i="15"/>
  <c r="V48" i="16"/>
  <c r="G47" i="17"/>
  <c r="R47" i="17" s="1"/>
  <c r="Y47" i="17"/>
  <c r="G66" i="15"/>
  <c r="G42" i="15"/>
  <c r="V55" i="16"/>
  <c r="Y54" i="17"/>
  <c r="G54" i="17"/>
  <c r="R54" i="17" s="1"/>
  <c r="G74" i="15"/>
  <c r="G50" i="15"/>
  <c r="V63" i="16"/>
  <c r="Y62" i="17"/>
  <c r="G62" i="17"/>
  <c r="R62" i="17" s="1"/>
  <c r="M87" i="16" s="1"/>
  <c r="V21" i="16"/>
  <c r="G13" i="15"/>
  <c r="I13" i="15" s="1"/>
  <c r="V26" i="16"/>
  <c r="Y25" i="17"/>
  <c r="G25" i="17"/>
  <c r="R25" i="17" s="1"/>
  <c r="M26" i="16" s="1"/>
  <c r="G20" i="15"/>
  <c r="V33" i="16"/>
  <c r="G32" i="17"/>
  <c r="R32" i="17" s="1"/>
  <c r="M33" i="16" s="1"/>
  <c r="Y32" i="17"/>
  <c r="G28" i="15"/>
  <c r="I28" i="15" s="1"/>
  <c r="V41" i="16"/>
  <c r="G40" i="17"/>
  <c r="R40" i="17" s="1"/>
  <c r="M41" i="16" s="1"/>
  <c r="Y40" i="17"/>
  <c r="G60" i="15"/>
  <c r="G36" i="15"/>
  <c r="V49" i="16"/>
  <c r="G48" i="17"/>
  <c r="R48" i="17" s="1"/>
  <c r="Y48" i="17"/>
  <c r="G67" i="15"/>
  <c r="G43" i="15"/>
  <c r="V56" i="16"/>
  <c r="G55" i="17"/>
  <c r="Y55" i="17"/>
  <c r="G75" i="15"/>
  <c r="G51" i="15"/>
  <c r="V64" i="16"/>
  <c r="G63" i="17"/>
  <c r="R63" i="17" s="1"/>
  <c r="M88" i="16" s="1"/>
  <c r="Y63" i="17"/>
  <c r="G14" i="15"/>
  <c r="V27" i="16"/>
  <c r="Y26" i="17"/>
  <c r="G26" i="17"/>
  <c r="R26" i="17" s="1"/>
  <c r="M27" i="16" s="1"/>
  <c r="G21" i="15"/>
  <c r="V34" i="16"/>
  <c r="Y33" i="17"/>
  <c r="G33" i="17"/>
  <c r="G68" i="15"/>
  <c r="G44" i="15"/>
  <c r="V57" i="16"/>
  <c r="G56" i="17"/>
  <c r="Y56" i="17"/>
  <c r="G76" i="15"/>
  <c r="G52" i="15"/>
  <c r="M52" i="15" s="1"/>
  <c r="V65" i="16"/>
  <c r="G64" i="17"/>
  <c r="Y64" i="17"/>
  <c r="G22" i="15"/>
  <c r="V35" i="16"/>
  <c r="Y34" i="17"/>
  <c r="G34" i="17"/>
  <c r="R34" i="17" s="1"/>
  <c r="M35" i="16" s="1"/>
  <c r="G54" i="15"/>
  <c r="G30" i="15"/>
  <c r="V43" i="16"/>
  <c r="Y42" i="17"/>
  <c r="G42" i="17"/>
  <c r="R42" i="17" s="1"/>
  <c r="M67" i="16" s="1"/>
  <c r="G61" i="15"/>
  <c r="G37" i="15"/>
  <c r="V50" i="16"/>
  <c r="G49" i="17"/>
  <c r="R49" i="17" s="1"/>
  <c r="Y49" i="17"/>
  <c r="G69" i="15"/>
  <c r="G45" i="15"/>
  <c r="K45" i="15" s="1"/>
  <c r="V58" i="16"/>
  <c r="G57" i="17"/>
  <c r="R57" i="17" s="1"/>
  <c r="M82" i="16" s="1"/>
  <c r="Y57" i="17"/>
  <c r="G77" i="15"/>
  <c r="G53" i="15"/>
  <c r="V66" i="16"/>
  <c r="G65" i="17"/>
  <c r="Y65" i="17"/>
  <c r="Y43" i="16"/>
  <c r="Y67" i="16"/>
  <c r="G15" i="15"/>
  <c r="V28" i="16"/>
  <c r="Y27" i="17"/>
  <c r="G27" i="17"/>
  <c r="R27" i="17" s="1"/>
  <c r="M28" i="16" s="1"/>
  <c r="G23" i="15"/>
  <c r="V36" i="16"/>
  <c r="Y35" i="17"/>
  <c r="G35" i="17"/>
  <c r="R35" i="17" s="1"/>
  <c r="M36" i="16" s="1"/>
  <c r="G55" i="15"/>
  <c r="G31" i="15"/>
  <c r="M31" i="15" s="1"/>
  <c r="V44" i="16"/>
  <c r="Y43" i="17"/>
  <c r="G43" i="17"/>
  <c r="G62" i="15"/>
  <c r="G38" i="15"/>
  <c r="V51" i="16"/>
  <c r="Y50" i="17"/>
  <c r="G50" i="17"/>
  <c r="R50" i="17" s="1"/>
  <c r="M75" i="16" s="1"/>
  <c r="G70" i="15"/>
  <c r="G46" i="15"/>
  <c r="V59" i="16"/>
  <c r="Y58" i="17"/>
  <c r="G58" i="17"/>
  <c r="R58" i="17" s="1"/>
  <c r="G78" i="15"/>
  <c r="V91" i="16"/>
  <c r="Y90" i="17"/>
  <c r="G90" i="17"/>
  <c r="R90" i="17" s="1"/>
  <c r="M91" i="16" s="1"/>
  <c r="B30" i="16"/>
  <c r="U29" i="16"/>
  <c r="B16" i="15"/>
  <c r="E29" i="16"/>
  <c r="E28" i="17" s="1"/>
  <c r="E28" i="16"/>
  <c r="E27" i="17" s="1"/>
  <c r="B39" i="13"/>
  <c r="B60" i="13"/>
  <c r="Y40" i="12"/>
  <c r="Y61" i="12"/>
  <c r="N25" i="6"/>
  <c r="G23" i="7"/>
  <c r="R23" i="7" s="1"/>
  <c r="M34" i="6" s="1"/>
  <c r="Y22" i="7"/>
  <c r="G38" i="7"/>
  <c r="R38" i="7" s="1"/>
  <c r="M39" i="6" s="1"/>
  <c r="P24" i="6"/>
  <c r="P34" i="6"/>
  <c r="P21" i="6"/>
  <c r="P23" i="6"/>
  <c r="P25" i="6"/>
  <c r="P35" i="6"/>
  <c r="P26" i="6"/>
  <c r="P22" i="6"/>
  <c r="P27" i="6"/>
  <c r="P37" i="6"/>
  <c r="B24" i="7"/>
  <c r="B34" i="7"/>
  <c r="P28" i="6"/>
  <c r="P38" i="6"/>
  <c r="V25" i="6"/>
  <c r="G22" i="5"/>
  <c r="Y23" i="7"/>
  <c r="Y24" i="6"/>
  <c r="Y34" i="6"/>
  <c r="K23" i="5"/>
  <c r="I23" i="5"/>
  <c r="M23" i="5"/>
  <c r="G8" i="5"/>
  <c r="I8" i="5" s="1"/>
  <c r="G18" i="5"/>
  <c r="K20" i="5"/>
  <c r="M20" i="5"/>
  <c r="I20" i="5"/>
  <c r="I25" i="5"/>
  <c r="M25" i="5"/>
  <c r="K25" i="5"/>
  <c r="K24" i="5"/>
  <c r="M24" i="5"/>
  <c r="I24" i="5"/>
  <c r="O23" i="6"/>
  <c r="X33" i="6"/>
  <c r="O33" i="6"/>
  <c r="B23" i="6"/>
  <c r="B33" i="6"/>
  <c r="U22" i="6"/>
  <c r="I21" i="5"/>
  <c r="M21" i="5"/>
  <c r="K21" i="5"/>
  <c r="M24" i="6"/>
  <c r="M19" i="5"/>
  <c r="K19" i="5"/>
  <c r="I19" i="5"/>
  <c r="B10" i="5"/>
  <c r="B20" i="5"/>
  <c r="C22" i="6"/>
  <c r="E22" i="6"/>
  <c r="E21" i="7" s="1"/>
  <c r="C23" i="6"/>
  <c r="E23" i="6"/>
  <c r="E22" i="7" s="1"/>
  <c r="D125" i="1"/>
  <c r="D124" i="2" s="1"/>
  <c r="C124" i="2"/>
  <c r="U126" i="1"/>
  <c r="E126" i="1"/>
  <c r="E125" i="2" s="1"/>
  <c r="C126" i="1"/>
  <c r="B127" i="1"/>
  <c r="U79" i="1"/>
  <c r="B80" i="1"/>
  <c r="B93" i="4"/>
  <c r="B140" i="4"/>
  <c r="AD16" i="14"/>
  <c r="AM16" i="14"/>
  <c r="B10" i="14"/>
  <c r="W13" i="6"/>
  <c r="AD12" i="7" s="1"/>
  <c r="AE34" i="29"/>
  <c r="P21" i="28"/>
  <c r="P35" i="28" s="1"/>
  <c r="AE35" i="29" s="1"/>
  <c r="V27" i="22"/>
  <c r="Y26" i="23"/>
  <c r="X27" i="22" s="1"/>
  <c r="G26" i="23"/>
  <c r="R26" i="23" s="1"/>
  <c r="M37" i="22" s="1"/>
  <c r="G14" i="21"/>
  <c r="P91" i="16"/>
  <c r="P46" i="16"/>
  <c r="P54" i="16"/>
  <c r="P44" i="16"/>
  <c r="P23" i="16"/>
  <c r="P35" i="16"/>
  <c r="P47" i="16"/>
  <c r="P27" i="16"/>
  <c r="P40" i="16"/>
  <c r="P29" i="16"/>
  <c r="P30" i="16"/>
  <c r="P57" i="16"/>
  <c r="P24" i="16"/>
  <c r="P36" i="16"/>
  <c r="P48" i="16"/>
  <c r="AF47" i="17"/>
  <c r="P60" i="16"/>
  <c r="P39" i="16"/>
  <c r="P28" i="16"/>
  <c r="P55" i="16"/>
  <c r="P49" i="16"/>
  <c r="P53" i="16"/>
  <c r="P45" i="16"/>
  <c r="P22" i="16"/>
  <c r="P26" i="16"/>
  <c r="AF25" i="17"/>
  <c r="P50" i="16"/>
  <c r="P62" i="16"/>
  <c r="G29" i="15"/>
  <c r="M29" i="15" s="1"/>
  <c r="V42" i="16"/>
  <c r="Y41" i="17"/>
  <c r="G41" i="17"/>
  <c r="R41" i="17" s="1"/>
  <c r="V26" i="34"/>
  <c r="B24" i="34"/>
  <c r="U23" i="34"/>
  <c r="R26" i="35"/>
  <c r="M27" i="34" s="1"/>
  <c r="V27" i="34"/>
  <c r="G20" i="33"/>
  <c r="K20" i="33" s="1"/>
  <c r="V33" i="34"/>
  <c r="G19" i="33"/>
  <c r="M19" i="33" s="1"/>
  <c r="V32" i="34"/>
  <c r="G9" i="33"/>
  <c r="I9" i="33" s="1"/>
  <c r="V22" i="34"/>
  <c r="Y27" i="35"/>
  <c r="X28" i="34" s="1"/>
  <c r="V28" i="34"/>
  <c r="G21" i="33"/>
  <c r="M21" i="33" s="1"/>
  <c r="V34" i="34"/>
  <c r="G10" i="33"/>
  <c r="M10" i="33" s="1"/>
  <c r="V23" i="34"/>
  <c r="G16" i="33"/>
  <c r="M16" i="33" s="1"/>
  <c r="V29" i="34"/>
  <c r="G22" i="33"/>
  <c r="M22" i="33" s="1"/>
  <c r="V35" i="34"/>
  <c r="Y26" i="35"/>
  <c r="O27" i="34" s="1"/>
  <c r="V24" i="34"/>
  <c r="G17" i="33"/>
  <c r="V30" i="34"/>
  <c r="G23" i="33"/>
  <c r="M23" i="33" s="1"/>
  <c r="V36" i="34"/>
  <c r="G12" i="33"/>
  <c r="I12" i="33" s="1"/>
  <c r="V25" i="34"/>
  <c r="G18" i="33"/>
  <c r="K18" i="33" s="1"/>
  <c r="V31" i="34"/>
  <c r="AM17" i="14"/>
  <c r="V21" i="31"/>
  <c r="G8" i="30"/>
  <c r="M8" i="30" s="1"/>
  <c r="X33" i="31"/>
  <c r="G20" i="30"/>
  <c r="V33" i="31"/>
  <c r="Y20" i="32"/>
  <c r="Y34" i="32" s="1"/>
  <c r="V16" i="14"/>
  <c r="B10" i="24"/>
  <c r="B11" i="24" s="1"/>
  <c r="B12" i="24" s="1"/>
  <c r="B13" i="24" s="1"/>
  <c r="B14" i="24" s="1"/>
  <c r="B15" i="24" s="1"/>
  <c r="B16" i="24" s="1"/>
  <c r="B17" i="24" s="1"/>
  <c r="B18" i="24" s="1"/>
  <c r="B19" i="24" s="1"/>
  <c r="B20" i="24" s="1"/>
  <c r="B21" i="24" s="1"/>
  <c r="B22" i="24" s="1"/>
  <c r="AE71" i="26"/>
  <c r="V15" i="14"/>
  <c r="AM15" i="14"/>
  <c r="U23" i="25"/>
  <c r="B24" i="25"/>
  <c r="V27" i="25"/>
  <c r="G14" i="24"/>
  <c r="I14" i="24" s="1"/>
  <c r="V24" i="25"/>
  <c r="G11" i="24"/>
  <c r="M11" i="24" s="1"/>
  <c r="V29" i="25"/>
  <c r="G16" i="24"/>
  <c r="I16" i="24" s="1"/>
  <c r="V25" i="25"/>
  <c r="G12" i="24"/>
  <c r="I12" i="24" s="1"/>
  <c r="V30" i="25"/>
  <c r="G17" i="24"/>
  <c r="M17" i="24" s="1"/>
  <c r="M39" i="25"/>
  <c r="U22" i="25"/>
  <c r="C22" i="25"/>
  <c r="E22" i="25"/>
  <c r="E21" i="26" s="1"/>
  <c r="V23" i="25"/>
  <c r="G10" i="24"/>
  <c r="I10" i="24" s="1"/>
  <c r="G21" i="26"/>
  <c r="R21" i="26" s="1"/>
  <c r="M22" i="25" s="1"/>
  <c r="G9" i="24"/>
  <c r="V22" i="25"/>
  <c r="M36" i="25"/>
  <c r="X26" i="25"/>
  <c r="V26" i="25"/>
  <c r="G13" i="24"/>
  <c r="K13" i="24" s="1"/>
  <c r="V28" i="25"/>
  <c r="G15" i="24"/>
  <c r="I15" i="24" s="1"/>
  <c r="G8" i="24"/>
  <c r="I8" i="24" s="1"/>
  <c r="X21" i="25"/>
  <c r="V21" i="25"/>
  <c r="M41" i="25"/>
  <c r="V24" i="22"/>
  <c r="G12" i="21"/>
  <c r="K12" i="21" s="1"/>
  <c r="V25" i="22"/>
  <c r="B23" i="22"/>
  <c r="B34" i="22" s="1"/>
  <c r="U22" i="22"/>
  <c r="G21" i="23"/>
  <c r="R21" i="23" s="1"/>
  <c r="V22" i="22"/>
  <c r="Y23" i="23"/>
  <c r="G10" i="21"/>
  <c r="K10" i="21" s="1"/>
  <c r="V23" i="22"/>
  <c r="B11" i="21"/>
  <c r="G24" i="18"/>
  <c r="G26" i="18"/>
  <c r="G20" i="18"/>
  <c r="G27" i="18"/>
  <c r="G21" i="18"/>
  <c r="G28" i="18"/>
  <c r="G22" i="18"/>
  <c r="G29" i="18"/>
  <c r="G25" i="18"/>
  <c r="G23" i="18"/>
  <c r="B23" i="19"/>
  <c r="U23" i="19" s="1"/>
  <c r="U22" i="19"/>
  <c r="G12" i="18"/>
  <c r="K12" i="18" s="1"/>
  <c r="G26" i="20"/>
  <c r="R26" i="20" s="1"/>
  <c r="M27" i="19" s="1"/>
  <c r="G24" i="20"/>
  <c r="R24" i="20" s="1"/>
  <c r="M25" i="19" s="1"/>
  <c r="G9" i="18"/>
  <c r="K9" i="18" s="1"/>
  <c r="Y27" i="20"/>
  <c r="G41" i="20"/>
  <c r="R41" i="20" s="1"/>
  <c r="G13" i="18"/>
  <c r="M13" i="18" s="1"/>
  <c r="G10" i="18"/>
  <c r="M10" i="18" s="1"/>
  <c r="G40" i="20"/>
  <c r="R40" i="20" s="1"/>
  <c r="G28" i="20"/>
  <c r="R28" i="20" s="1"/>
  <c r="M29" i="19" s="1"/>
  <c r="G17" i="18"/>
  <c r="M17" i="18" s="1"/>
  <c r="G32" i="20"/>
  <c r="R32" i="20" s="1"/>
  <c r="M33" i="19" s="1"/>
  <c r="B10" i="18"/>
  <c r="W24" i="12"/>
  <c r="W25" i="12" s="1"/>
  <c r="W26" i="12" s="1"/>
  <c r="W27" i="12" s="1"/>
  <c r="W28" i="12" s="1"/>
  <c r="W29" i="12" s="1"/>
  <c r="W30" i="12" s="1"/>
  <c r="W31" i="12" s="1"/>
  <c r="W32" i="12" s="1"/>
  <c r="W33" i="12" s="1"/>
  <c r="W34" i="12" s="1"/>
  <c r="W35" i="12" s="1"/>
  <c r="W36" i="12" s="1"/>
  <c r="W37" i="12" s="1"/>
  <c r="W38" i="12" s="1"/>
  <c r="W39" i="12" s="1"/>
  <c r="B23" i="12"/>
  <c r="U23" i="12" s="1"/>
  <c r="U22" i="12"/>
  <c r="B10" i="1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O23" i="9"/>
  <c r="O33" i="9"/>
  <c r="O35" i="9"/>
  <c r="O25" i="9"/>
  <c r="O47" i="9"/>
  <c r="O34" i="9"/>
  <c r="O26" i="9"/>
  <c r="O27" i="9"/>
  <c r="O36" i="9"/>
  <c r="O28" i="9"/>
  <c r="O32" i="9"/>
  <c r="O29" i="9"/>
  <c r="O24" i="9"/>
  <c r="G8" i="8"/>
  <c r="O30" i="9"/>
  <c r="F20" i="10"/>
  <c r="O31" i="9"/>
  <c r="Y20" i="7"/>
  <c r="X21" i="6" s="1"/>
  <c r="G20" i="7"/>
  <c r="R20" i="7" s="1"/>
  <c r="G9" i="5"/>
  <c r="G13" i="5"/>
  <c r="V21" i="6"/>
  <c r="G21" i="7"/>
  <c r="G14" i="5"/>
  <c r="AF38" i="7"/>
  <c r="X23" i="6"/>
  <c r="G10" i="5"/>
  <c r="X24" i="6"/>
  <c r="G11" i="5"/>
  <c r="G15" i="5"/>
  <c r="Y27" i="7"/>
  <c r="X39" i="6"/>
  <c r="G26" i="5"/>
  <c r="V26" i="6"/>
  <c r="G12" i="5"/>
  <c r="R24" i="35"/>
  <c r="M25" i="34" s="1"/>
  <c r="Y24" i="35"/>
  <c r="O25" i="34" s="1"/>
  <c r="Y31" i="35"/>
  <c r="X32" i="34" s="1"/>
  <c r="Y28" i="35"/>
  <c r="X29" i="34" s="1"/>
  <c r="R28" i="35"/>
  <c r="M29" i="34" s="1"/>
  <c r="R29" i="35"/>
  <c r="M30" i="34" s="1"/>
  <c r="R27" i="35"/>
  <c r="M28" i="34" s="1"/>
  <c r="K21" i="33"/>
  <c r="R20" i="35"/>
  <c r="M21" i="34" s="1"/>
  <c r="G8" i="33"/>
  <c r="Y30" i="35"/>
  <c r="X31" i="34" s="1"/>
  <c r="G14" i="33"/>
  <c r="V21" i="34"/>
  <c r="K17" i="33"/>
  <c r="M17" i="33"/>
  <c r="I17" i="33"/>
  <c r="I23" i="33"/>
  <c r="K23" i="33"/>
  <c r="R31" i="35"/>
  <c r="M32" i="34" s="1"/>
  <c r="Y21" i="35"/>
  <c r="O22" i="34" s="1"/>
  <c r="Y22" i="35"/>
  <c r="O23" i="34" s="1"/>
  <c r="Y35" i="35"/>
  <c r="M12" i="33"/>
  <c r="Y29" i="35"/>
  <c r="O30" i="34" s="1"/>
  <c r="Y23" i="35"/>
  <c r="O24" i="34" s="1"/>
  <c r="G11" i="33"/>
  <c r="Y20" i="35"/>
  <c r="O21" i="34" s="1"/>
  <c r="Y32" i="35"/>
  <c r="M9" i="33"/>
  <c r="K9" i="33"/>
  <c r="G15" i="33"/>
  <c r="R22" i="35"/>
  <c r="M23" i="34" s="1"/>
  <c r="R21" i="35"/>
  <c r="M22" i="34" s="1"/>
  <c r="I61" i="34"/>
  <c r="D18" i="14" s="1"/>
  <c r="G13" i="33"/>
  <c r="AM18" i="14"/>
  <c r="P61" i="34"/>
  <c r="X60" i="35"/>
  <c r="V18" i="14"/>
  <c r="E22" i="34"/>
  <c r="E21" i="35" s="1"/>
  <c r="C24" i="34"/>
  <c r="C23" i="34"/>
  <c r="C21" i="34"/>
  <c r="E24" i="34"/>
  <c r="E23" i="35" s="1"/>
  <c r="C22" i="34"/>
  <c r="C21" i="35" s="1"/>
  <c r="E21" i="34"/>
  <c r="E20" i="35" s="1"/>
  <c r="P22" i="25"/>
  <c r="P72" i="25" s="1"/>
  <c r="M38" i="25"/>
  <c r="G27" i="26"/>
  <c r="R27" i="26" s="1"/>
  <c r="M28" i="25" s="1"/>
  <c r="G28" i="26"/>
  <c r="R28" i="26" s="1"/>
  <c r="M29" i="25" s="1"/>
  <c r="M37" i="25"/>
  <c r="G20" i="26"/>
  <c r="R20" i="26" s="1"/>
  <c r="M21" i="25" s="1"/>
  <c r="Q21" i="25" s="1"/>
  <c r="Y21" i="26"/>
  <c r="O22" i="25" s="1"/>
  <c r="M40" i="25"/>
  <c r="Y27" i="26"/>
  <c r="O28" i="25" s="1"/>
  <c r="G25" i="26"/>
  <c r="R25" i="26" s="1"/>
  <c r="M26" i="25" s="1"/>
  <c r="Q26" i="25" s="1"/>
  <c r="M34" i="25"/>
  <c r="AM14" i="14"/>
  <c r="V14" i="14"/>
  <c r="G22" i="23"/>
  <c r="R22" i="23" s="1"/>
  <c r="M23" i="22" s="1"/>
  <c r="Y22" i="23"/>
  <c r="O23" i="22" s="1"/>
  <c r="AE45" i="23"/>
  <c r="X45" i="23"/>
  <c r="I46" i="22"/>
  <c r="D14" i="14" s="1"/>
  <c r="M12" i="21"/>
  <c r="Y20" i="23"/>
  <c r="O21" i="22" s="1"/>
  <c r="G8" i="21"/>
  <c r="C22" i="22"/>
  <c r="E22" i="22"/>
  <c r="E21" i="23" s="1"/>
  <c r="Y21" i="23"/>
  <c r="AF21" i="23" s="1"/>
  <c r="G9" i="21"/>
  <c r="Y24" i="23"/>
  <c r="G23" i="23"/>
  <c r="R23" i="23" s="1"/>
  <c r="G11" i="21"/>
  <c r="Y33" i="20"/>
  <c r="Y20" i="20"/>
  <c r="O21" i="19" s="1"/>
  <c r="G39" i="20"/>
  <c r="R39" i="20" s="1"/>
  <c r="Y38" i="20"/>
  <c r="G36" i="20"/>
  <c r="R36" i="20" s="1"/>
  <c r="Y21" i="20"/>
  <c r="N21" i="1"/>
  <c r="AF20" i="2"/>
  <c r="X68" i="20"/>
  <c r="AM13" i="14"/>
  <c r="G38" i="20"/>
  <c r="R38" i="20" s="1"/>
  <c r="V21" i="19"/>
  <c r="Y28" i="20"/>
  <c r="Y22" i="20"/>
  <c r="Y25" i="20"/>
  <c r="Y41" i="20"/>
  <c r="G20" i="20"/>
  <c r="R20" i="20" s="1"/>
  <c r="V13" i="14"/>
  <c r="G27" i="20"/>
  <c r="R27" i="20" s="1"/>
  <c r="G37" i="20"/>
  <c r="R37" i="20" s="1"/>
  <c r="I8" i="18"/>
  <c r="M8" i="18"/>
  <c r="K8" i="18"/>
  <c r="G18" i="18"/>
  <c r="G14" i="18"/>
  <c r="Y32" i="20"/>
  <c r="Y40" i="20"/>
  <c r="Y36" i="20"/>
  <c r="Y35" i="20"/>
  <c r="I10" i="18"/>
  <c r="G35" i="20"/>
  <c r="R35" i="20" s="1"/>
  <c r="G15" i="18"/>
  <c r="G34" i="20"/>
  <c r="R34" i="20" s="1"/>
  <c r="G25" i="20"/>
  <c r="R25" i="20" s="1"/>
  <c r="M26" i="19" s="1"/>
  <c r="C22" i="19"/>
  <c r="E22" i="19"/>
  <c r="E21" i="20" s="1"/>
  <c r="G11" i="18"/>
  <c r="G33" i="20"/>
  <c r="R33" i="20" s="1"/>
  <c r="M34" i="19" s="1"/>
  <c r="G16" i="18"/>
  <c r="K17" i="18"/>
  <c r="I17" i="18"/>
  <c r="Y37" i="20"/>
  <c r="Y39" i="20"/>
  <c r="G21" i="20"/>
  <c r="R21" i="20" s="1"/>
  <c r="M22" i="19" s="1"/>
  <c r="M12" i="18"/>
  <c r="Y34" i="20"/>
  <c r="AM12" i="14"/>
  <c r="R24" i="17"/>
  <c r="R28" i="17"/>
  <c r="M29" i="16" s="1"/>
  <c r="R37" i="17"/>
  <c r="G20" i="17"/>
  <c r="R20" i="17" s="1"/>
  <c r="M21" i="16" s="1"/>
  <c r="M43" i="15"/>
  <c r="I43" i="15"/>
  <c r="K43" i="15"/>
  <c r="R56" i="17"/>
  <c r="M14" i="15"/>
  <c r="K14" i="15"/>
  <c r="I14" i="15"/>
  <c r="I26" i="15"/>
  <c r="K26" i="15"/>
  <c r="M26" i="15"/>
  <c r="I48" i="15"/>
  <c r="K48" i="15"/>
  <c r="M48" i="15"/>
  <c r="K52" i="15"/>
  <c r="I52" i="15"/>
  <c r="M39" i="15"/>
  <c r="I39" i="15"/>
  <c r="K39" i="15"/>
  <c r="M10" i="15"/>
  <c r="K10" i="15"/>
  <c r="I10" i="15"/>
  <c r="R38" i="17"/>
  <c r="AF38" i="17" s="1"/>
  <c r="R52" i="17"/>
  <c r="M44" i="15"/>
  <c r="K44" i="15"/>
  <c r="I44" i="15"/>
  <c r="R39" i="17"/>
  <c r="M40" i="16" s="1"/>
  <c r="M8" i="15"/>
  <c r="K8" i="15"/>
  <c r="I8" i="15"/>
  <c r="I12" i="15"/>
  <c r="M12" i="15"/>
  <c r="K12" i="15"/>
  <c r="M15" i="15"/>
  <c r="I15" i="15"/>
  <c r="K15" i="15"/>
  <c r="M32" i="15"/>
  <c r="K32" i="15"/>
  <c r="I32" i="15"/>
  <c r="R61" i="17"/>
  <c r="R23" i="17"/>
  <c r="M24" i="16" s="1"/>
  <c r="R55" i="17"/>
  <c r="K16" i="15"/>
  <c r="M16" i="15"/>
  <c r="I16" i="15"/>
  <c r="K20" i="15"/>
  <c r="I20" i="15"/>
  <c r="M20" i="15"/>
  <c r="M33" i="15"/>
  <c r="I33" i="15"/>
  <c r="K33" i="15"/>
  <c r="I78" i="15"/>
  <c r="K78" i="15"/>
  <c r="M78" i="15"/>
  <c r="I38" i="15"/>
  <c r="K38" i="15"/>
  <c r="M38" i="15"/>
  <c r="K37" i="15"/>
  <c r="I37" i="15"/>
  <c r="M37" i="15"/>
  <c r="I50" i="15"/>
  <c r="K50" i="15"/>
  <c r="M50" i="15"/>
  <c r="R30" i="17"/>
  <c r="R51" i="17"/>
  <c r="M76" i="16" s="1"/>
  <c r="K17" i="15"/>
  <c r="M17" i="15"/>
  <c r="I17" i="15"/>
  <c r="M25" i="15"/>
  <c r="I25" i="15"/>
  <c r="K25" i="15"/>
  <c r="I42" i="15"/>
  <c r="K42" i="15"/>
  <c r="M42" i="15"/>
  <c r="M18" i="15"/>
  <c r="K18" i="15"/>
  <c r="I18" i="15"/>
  <c r="I27" i="15"/>
  <c r="M27" i="15"/>
  <c r="K27" i="15"/>
  <c r="I53" i="15"/>
  <c r="M53" i="15"/>
  <c r="K53" i="15"/>
  <c r="R43" i="17"/>
  <c r="I21" i="15"/>
  <c r="M21" i="15"/>
  <c r="K21" i="15"/>
  <c r="I34" i="15"/>
  <c r="K34" i="15"/>
  <c r="M34" i="15"/>
  <c r="M51" i="15"/>
  <c r="I51" i="15"/>
  <c r="K51" i="15"/>
  <c r="L93" i="16"/>
  <c r="G12" i="14" s="1"/>
  <c r="G8" i="11"/>
  <c r="M8" i="11" s="1"/>
  <c r="K9" i="11"/>
  <c r="X23" i="13"/>
  <c r="N24" i="12" s="1"/>
  <c r="Q24" i="12" s="1"/>
  <c r="X22" i="13"/>
  <c r="N23" i="12" s="1"/>
  <c r="B24" i="12"/>
  <c r="U24" i="12" s="1"/>
  <c r="Y20" i="13"/>
  <c r="X21" i="12" s="1"/>
  <c r="V21" i="12"/>
  <c r="V17" i="14"/>
  <c r="V11" i="14"/>
  <c r="Y35" i="31"/>
  <c r="Y17" i="14" s="1"/>
  <c r="AD17" i="14" s="1"/>
  <c r="R22" i="13"/>
  <c r="M23" i="12" s="1"/>
  <c r="C21" i="31"/>
  <c r="E21" i="31"/>
  <c r="E20" i="32" s="1"/>
  <c r="M20" i="30"/>
  <c r="K20" i="30"/>
  <c r="I20" i="30"/>
  <c r="I8" i="30"/>
  <c r="R21" i="13"/>
  <c r="M22" i="12" s="1"/>
  <c r="Q22" i="12" s="1"/>
  <c r="C22" i="12"/>
  <c r="C21" i="13" s="1"/>
  <c r="E22" i="12"/>
  <c r="E21" i="13" s="1"/>
  <c r="M9" i="11"/>
  <c r="R24" i="13"/>
  <c r="M25" i="12" s="1"/>
  <c r="Q25" i="12" s="1"/>
  <c r="C21" i="12"/>
  <c r="E21" i="12"/>
  <c r="E20" i="13" s="1"/>
  <c r="I11" i="11"/>
  <c r="K11" i="11"/>
  <c r="M11" i="11"/>
  <c r="K10" i="11"/>
  <c r="I10" i="11"/>
  <c r="M10" i="11"/>
  <c r="G20" i="13"/>
  <c r="R20" i="13" s="1"/>
  <c r="M30" i="9"/>
  <c r="Q30" i="9" s="1"/>
  <c r="R30" i="9" s="1"/>
  <c r="M36" i="9"/>
  <c r="M25" i="9"/>
  <c r="M31" i="9"/>
  <c r="M47" i="9"/>
  <c r="Q47" i="9" s="1"/>
  <c r="R47" i="9" s="1"/>
  <c r="M27" i="9"/>
  <c r="M33" i="9"/>
  <c r="Q33" i="9" s="1"/>
  <c r="R33" i="9" s="1"/>
  <c r="M26" i="9"/>
  <c r="M28" i="9"/>
  <c r="M34" i="9"/>
  <c r="Q34" i="9" s="1"/>
  <c r="R34" i="9" s="1"/>
  <c r="M24" i="9"/>
  <c r="M32" i="9"/>
  <c r="M29" i="9"/>
  <c r="M35" i="9"/>
  <c r="R22" i="14"/>
  <c r="T22" i="14"/>
  <c r="S22" i="14"/>
  <c r="AL22" i="14"/>
  <c r="V21" i="9"/>
  <c r="M8" i="8"/>
  <c r="K8" i="8"/>
  <c r="I8" i="8"/>
  <c r="G20" i="10"/>
  <c r="R20" i="10" s="1"/>
  <c r="M21" i="9" s="1"/>
  <c r="Y20" i="10"/>
  <c r="O21" i="9" s="1"/>
  <c r="N22" i="14"/>
  <c r="Z22" i="14"/>
  <c r="AA22" i="14"/>
  <c r="Q22" i="14"/>
  <c r="AM10" i="14"/>
  <c r="AJ22" i="14"/>
  <c r="O22" i="14"/>
  <c r="K22" i="14"/>
  <c r="M21" i="1"/>
  <c r="AI22" i="14"/>
  <c r="AE162" i="2"/>
  <c r="V8" i="14"/>
  <c r="L35" i="31"/>
  <c r="G17" i="14" s="1"/>
  <c r="L72" i="25"/>
  <c r="L41" i="6"/>
  <c r="G9" i="14" s="1"/>
  <c r="Q39" i="6"/>
  <c r="N21" i="9"/>
  <c r="W23" i="6"/>
  <c r="N21" i="6"/>
  <c r="X21" i="7"/>
  <c r="V39" i="6"/>
  <c r="F20" i="7"/>
  <c r="AB22" i="14"/>
  <c r="I41" i="6"/>
  <c r="D9" i="14" s="1"/>
  <c r="V22" i="6"/>
  <c r="Y21" i="7"/>
  <c r="AC22" i="14"/>
  <c r="Y24" i="7"/>
  <c r="G24" i="7"/>
  <c r="R24" i="7" s="1"/>
  <c r="AH22" i="14"/>
  <c r="AM8" i="14"/>
  <c r="R21" i="7"/>
  <c r="M32" i="6" s="1"/>
  <c r="V28" i="6"/>
  <c r="G27" i="7"/>
  <c r="R27" i="7" s="1"/>
  <c r="M38" i="6" s="1"/>
  <c r="V9" i="14"/>
  <c r="AM9" i="14"/>
  <c r="M22" i="14"/>
  <c r="V23" i="6"/>
  <c r="G22" i="7"/>
  <c r="R22" i="7" s="1"/>
  <c r="AE40" i="7"/>
  <c r="G26" i="7"/>
  <c r="R26" i="7" s="1"/>
  <c r="M37" i="6" s="1"/>
  <c r="Y26" i="7"/>
  <c r="G25" i="7"/>
  <c r="R25" i="7" s="1"/>
  <c r="M36" i="6" s="1"/>
  <c r="Y25" i="7"/>
  <c r="X25" i="7"/>
  <c r="AE83" i="13"/>
  <c r="AK22" i="14"/>
  <c r="U22" i="14"/>
  <c r="F84" i="12"/>
  <c r="I49" i="9"/>
  <c r="L49" i="9"/>
  <c r="R45" i="17"/>
  <c r="R64" i="17"/>
  <c r="M89" i="16" s="1"/>
  <c r="Y25" i="19"/>
  <c r="Y26" i="19" s="1"/>
  <c r="Y27" i="19" s="1"/>
  <c r="Y28" i="19" s="1"/>
  <c r="Y29" i="19" s="1"/>
  <c r="Y30" i="19" s="1"/>
  <c r="Y31" i="19" s="1"/>
  <c r="Y32" i="19" s="1"/>
  <c r="Y33" i="19" s="1"/>
  <c r="Y34" i="19" s="1"/>
  <c r="AE48" i="10"/>
  <c r="R33" i="17"/>
  <c r="I93" i="16"/>
  <c r="D12" i="14" s="1"/>
  <c r="R65" i="17"/>
  <c r="M90" i="16" s="1"/>
  <c r="R22" i="20"/>
  <c r="M23" i="19" s="1"/>
  <c r="P49" i="9"/>
  <c r="P22" i="14"/>
  <c r="I84" i="12"/>
  <c r="D11" i="14" s="1"/>
  <c r="M23" i="9"/>
  <c r="L84" i="12"/>
  <c r="X92" i="17"/>
  <c r="AM11" i="14"/>
  <c r="V10" i="14"/>
  <c r="O21" i="16"/>
  <c r="V12" i="14"/>
  <c r="Y29" i="20"/>
  <c r="G29" i="20"/>
  <c r="R29" i="20" s="1"/>
  <c r="M30" i="19" s="1"/>
  <c r="I69" i="19"/>
  <c r="D13" i="14" s="1"/>
  <c r="W22" i="16"/>
  <c r="W23" i="16" s="1"/>
  <c r="W24" i="16" s="1"/>
  <c r="W25" i="16" s="1"/>
  <c r="W26" i="16" s="1"/>
  <c r="W27" i="16" s="1"/>
  <c r="W28" i="16" s="1"/>
  <c r="W29" i="16" s="1"/>
  <c r="W30" i="16" s="1"/>
  <c r="W31" i="16" s="1"/>
  <c r="W32" i="16" s="1"/>
  <c r="W33" i="16" s="1"/>
  <c r="W34" i="16" s="1"/>
  <c r="W35" i="16" s="1"/>
  <c r="W36" i="16" s="1"/>
  <c r="W37" i="16" s="1"/>
  <c r="W38" i="16" s="1"/>
  <c r="W39" i="16" s="1"/>
  <c r="W40" i="16" s="1"/>
  <c r="W41" i="16" s="1"/>
  <c r="W42" i="16" s="1"/>
  <c r="R36" i="17"/>
  <c r="R21" i="17"/>
  <c r="M22" i="16" s="1"/>
  <c r="AE92" i="17"/>
  <c r="AE68" i="20"/>
  <c r="F34" i="20"/>
  <c r="F35" i="20"/>
  <c r="AE34" i="32"/>
  <c r="P35" i="31"/>
  <c r="AE35" i="32" s="1"/>
  <c r="Y30" i="20"/>
  <c r="G23" i="26"/>
  <c r="R23" i="26" s="1"/>
  <c r="M24" i="25" s="1"/>
  <c r="Y23" i="26"/>
  <c r="O24" i="25" s="1"/>
  <c r="M21" i="28"/>
  <c r="Y26" i="20"/>
  <c r="X27" i="19" s="1"/>
  <c r="L69" i="19"/>
  <c r="G29" i="26"/>
  <c r="R29" i="26" s="1"/>
  <c r="M30" i="25" s="1"/>
  <c r="Y29" i="26"/>
  <c r="O30" i="25" s="1"/>
  <c r="G23" i="20"/>
  <c r="R23" i="20" s="1"/>
  <c r="M24" i="19" s="1"/>
  <c r="G30" i="20"/>
  <c r="R30" i="20" s="1"/>
  <c r="M31" i="19" s="1"/>
  <c r="M22" i="22"/>
  <c r="G26" i="26"/>
  <c r="R26" i="26" s="1"/>
  <c r="M27" i="25" s="1"/>
  <c r="Y26" i="26"/>
  <c r="O27" i="25" s="1"/>
  <c r="Y23" i="20"/>
  <c r="L46" i="22"/>
  <c r="G14" i="14" s="1"/>
  <c r="N46" i="22"/>
  <c r="X46" i="23" s="1"/>
  <c r="P22" i="22"/>
  <c r="F29" i="26"/>
  <c r="N35" i="31"/>
  <c r="X34" i="32"/>
  <c r="Y21" i="29"/>
  <c r="V22" i="28"/>
  <c r="Y22" i="26"/>
  <c r="O23" i="25" s="1"/>
  <c r="Q23" i="25" s="1"/>
  <c r="F21" i="29"/>
  <c r="L35" i="28"/>
  <c r="G16" i="14" s="1"/>
  <c r="G20" i="23"/>
  <c r="V21" i="22"/>
  <c r="V46" i="22" s="1"/>
  <c r="J14" i="14" s="1"/>
  <c r="Y24" i="26"/>
  <c r="O25" i="25" s="1"/>
  <c r="G24" i="26"/>
  <c r="R24" i="26" s="1"/>
  <c r="M25" i="25" s="1"/>
  <c r="Y33" i="35"/>
  <c r="Y28" i="26"/>
  <c r="X29" i="25" s="1"/>
  <c r="V33" i="28"/>
  <c r="G32" i="29"/>
  <c r="R32" i="29" s="1"/>
  <c r="M33" i="28" s="1"/>
  <c r="R33" i="35"/>
  <c r="F26" i="35"/>
  <c r="Y32" i="29"/>
  <c r="V35" i="31"/>
  <c r="J17" i="14" s="1"/>
  <c r="AE60" i="35"/>
  <c r="Y34" i="35"/>
  <c r="M35" i="25"/>
  <c r="N72" i="25"/>
  <c r="F27" i="35"/>
  <c r="I72" i="25"/>
  <c r="D15" i="14" s="1"/>
  <c r="X71" i="26"/>
  <c r="L61" i="34"/>
  <c r="G18" i="14" s="1"/>
  <c r="Y25" i="35"/>
  <c r="O26" i="34" s="1"/>
  <c r="G32" i="32"/>
  <c r="R25" i="35"/>
  <c r="O28" i="34"/>
  <c r="F32" i="32"/>
  <c r="I35" i="28"/>
  <c r="D16" i="14" s="1"/>
  <c r="X34" i="29"/>
  <c r="I35" i="31"/>
  <c r="D17" i="14" s="1"/>
  <c r="Y20" i="29"/>
  <c r="V21" i="28"/>
  <c r="R23" i="35"/>
  <c r="X61" i="35" l="1"/>
  <c r="K12" i="33"/>
  <c r="B33" i="35"/>
  <c r="B46" i="35"/>
  <c r="G60" i="35"/>
  <c r="X35" i="34"/>
  <c r="O48" i="34"/>
  <c r="X48" i="34"/>
  <c r="X33" i="34"/>
  <c r="X46" i="34"/>
  <c r="O46" i="34"/>
  <c r="K36" i="33"/>
  <c r="M36" i="33"/>
  <c r="I36" i="33"/>
  <c r="Q48" i="34"/>
  <c r="R35" i="35"/>
  <c r="AF35" i="35" s="1"/>
  <c r="O36" i="34"/>
  <c r="X49" i="34"/>
  <c r="O49" i="34"/>
  <c r="Q27" i="34"/>
  <c r="O34" i="34"/>
  <c r="O47" i="34"/>
  <c r="X47" i="34"/>
  <c r="M33" i="34"/>
  <c r="M46" i="34"/>
  <c r="Q46" i="34" s="1"/>
  <c r="Y34" i="34"/>
  <c r="Y47" i="34"/>
  <c r="M34" i="33"/>
  <c r="K34" i="33"/>
  <c r="I34" i="33"/>
  <c r="M33" i="33"/>
  <c r="K33" i="33"/>
  <c r="I33" i="33"/>
  <c r="M35" i="33"/>
  <c r="K35" i="33"/>
  <c r="I35" i="33"/>
  <c r="M34" i="34"/>
  <c r="Q34" i="34" s="1"/>
  <c r="M47" i="34"/>
  <c r="W34" i="34"/>
  <c r="W47" i="34"/>
  <c r="I20" i="33"/>
  <c r="B27" i="33"/>
  <c r="B40" i="33"/>
  <c r="X35" i="32"/>
  <c r="AF20" i="32"/>
  <c r="G34" i="32"/>
  <c r="K8" i="30"/>
  <c r="O21" i="31"/>
  <c r="O31" i="31"/>
  <c r="X31" i="31"/>
  <c r="M21" i="31"/>
  <c r="Q21" i="31" s="1"/>
  <c r="M31" i="31"/>
  <c r="N18" i="30"/>
  <c r="J31" i="31" s="1"/>
  <c r="K31" i="31" s="1"/>
  <c r="N35" i="28"/>
  <c r="X35" i="29" s="1"/>
  <c r="N20" i="27"/>
  <c r="J33" i="28" s="1"/>
  <c r="K33" i="28" s="1"/>
  <c r="O31" i="28"/>
  <c r="Q31" i="28" s="1"/>
  <c r="X31" i="28"/>
  <c r="M9" i="27"/>
  <c r="I9" i="27"/>
  <c r="K9" i="27"/>
  <c r="I8" i="27"/>
  <c r="M8" i="27"/>
  <c r="M21" i="27" s="1"/>
  <c r="K8" i="27"/>
  <c r="M19" i="27"/>
  <c r="K19" i="27"/>
  <c r="I19" i="27"/>
  <c r="I18" i="27"/>
  <c r="M18" i="27"/>
  <c r="K18" i="27"/>
  <c r="O22" i="28"/>
  <c r="Q22" i="28" s="1"/>
  <c r="X32" i="28"/>
  <c r="O32" i="28"/>
  <c r="Q32" i="28" s="1"/>
  <c r="X72" i="26"/>
  <c r="B36" i="26"/>
  <c r="B53" i="26"/>
  <c r="Y37" i="25"/>
  <c r="Y54" i="25"/>
  <c r="W37" i="25"/>
  <c r="W54" i="25"/>
  <c r="B23" i="24"/>
  <c r="B40" i="24"/>
  <c r="P46" i="22"/>
  <c r="AE46" i="23" s="1"/>
  <c r="I12" i="21"/>
  <c r="X44" i="22"/>
  <c r="N24" i="21"/>
  <c r="J37" i="22" s="1"/>
  <c r="K37" i="22" s="1"/>
  <c r="B24" i="23"/>
  <c r="B34" i="23"/>
  <c r="I18" i="21"/>
  <c r="M18" i="21"/>
  <c r="K18" i="21"/>
  <c r="K26" i="21"/>
  <c r="M26" i="21"/>
  <c r="I26" i="21"/>
  <c r="M25" i="22"/>
  <c r="M35" i="22"/>
  <c r="O24" i="22"/>
  <c r="O34" i="22"/>
  <c r="X34" i="22"/>
  <c r="Y25" i="22"/>
  <c r="Y35" i="22"/>
  <c r="M44" i="22"/>
  <c r="Q44" i="22" s="1"/>
  <c r="AF43" i="23"/>
  <c r="X43" i="22"/>
  <c r="O43" i="22"/>
  <c r="O33" i="22"/>
  <c r="O40" i="22"/>
  <c r="X40" i="22"/>
  <c r="O30" i="22"/>
  <c r="K19" i="21"/>
  <c r="I19" i="21"/>
  <c r="M19" i="21"/>
  <c r="O41" i="22"/>
  <c r="X41" i="22"/>
  <c r="O31" i="22"/>
  <c r="M30" i="22"/>
  <c r="M40" i="22"/>
  <c r="AF29" i="23"/>
  <c r="K22" i="21"/>
  <c r="M22" i="21"/>
  <c r="I22" i="21"/>
  <c r="C34" i="22"/>
  <c r="U34" i="22"/>
  <c r="E34" i="22"/>
  <c r="E33" i="23" s="1"/>
  <c r="O28" i="22"/>
  <c r="O38" i="22"/>
  <c r="X38" i="22"/>
  <c r="I31" i="21"/>
  <c r="M31" i="21"/>
  <c r="K31" i="21"/>
  <c r="N31" i="21" s="1"/>
  <c r="J44" i="22" s="1"/>
  <c r="K44" i="22" s="1"/>
  <c r="O32" i="22"/>
  <c r="O42" i="22"/>
  <c r="X42" i="22"/>
  <c r="M31" i="22"/>
  <c r="M41" i="22"/>
  <c r="Q41" i="22" s="1"/>
  <c r="AF30" i="23"/>
  <c r="X29" i="22"/>
  <c r="X39" i="22"/>
  <c r="O39" i="22"/>
  <c r="O29" i="22"/>
  <c r="M24" i="22"/>
  <c r="Q24" i="22" s="1"/>
  <c r="M34" i="22"/>
  <c r="Q34" i="22" s="1"/>
  <c r="M39" i="22"/>
  <c r="M29" i="22"/>
  <c r="AF28" i="23"/>
  <c r="I20" i="21"/>
  <c r="K20" i="21"/>
  <c r="M20" i="21"/>
  <c r="M28" i="21"/>
  <c r="I28" i="21"/>
  <c r="K28" i="21"/>
  <c r="X30" i="22"/>
  <c r="K25" i="21"/>
  <c r="M25" i="21"/>
  <c r="I25" i="21"/>
  <c r="O25" i="22"/>
  <c r="Q25" i="22" s="1"/>
  <c r="X35" i="22"/>
  <c r="O35" i="22"/>
  <c r="O27" i="22"/>
  <c r="O37" i="22"/>
  <c r="Q37" i="22" s="1"/>
  <c r="R37" i="22" s="1"/>
  <c r="X37" i="22"/>
  <c r="K15" i="21"/>
  <c r="I15" i="21"/>
  <c r="M15" i="21"/>
  <c r="M33" i="22"/>
  <c r="M43" i="22"/>
  <c r="Q43" i="22" s="1"/>
  <c r="AF32" i="23"/>
  <c r="M42" i="22"/>
  <c r="M32" i="22"/>
  <c r="Q32" i="22" s="1"/>
  <c r="AF31" i="23"/>
  <c r="I17" i="21"/>
  <c r="K17" i="21"/>
  <c r="M17" i="21"/>
  <c r="M28" i="22"/>
  <c r="Q28" i="22" s="1"/>
  <c r="M38" i="22"/>
  <c r="AF27" i="23"/>
  <c r="W25" i="22"/>
  <c r="W35" i="22"/>
  <c r="I16" i="21"/>
  <c r="K16" i="21"/>
  <c r="M16" i="21"/>
  <c r="K30" i="21"/>
  <c r="M30" i="21"/>
  <c r="I30" i="21"/>
  <c r="K29" i="21"/>
  <c r="M29" i="21"/>
  <c r="I29" i="21"/>
  <c r="N21" i="21"/>
  <c r="J34" i="22" s="1"/>
  <c r="K34" i="22" s="1"/>
  <c r="M27" i="21"/>
  <c r="K27" i="21"/>
  <c r="I27" i="21"/>
  <c r="B12" i="21"/>
  <c r="B22" i="21"/>
  <c r="P69" i="19"/>
  <c r="AE69" i="20" s="1"/>
  <c r="N69" i="19"/>
  <c r="B35" i="20"/>
  <c r="B51" i="20"/>
  <c r="K40" i="18"/>
  <c r="M40" i="18"/>
  <c r="I40" i="18"/>
  <c r="O56" i="19"/>
  <c r="X56" i="19"/>
  <c r="M42" i="19"/>
  <c r="M58" i="19"/>
  <c r="O54" i="19"/>
  <c r="X54" i="19"/>
  <c r="O52" i="19"/>
  <c r="X52" i="19"/>
  <c r="O58" i="19"/>
  <c r="X58" i="19"/>
  <c r="K45" i="18"/>
  <c r="M45" i="18"/>
  <c r="I45" i="18"/>
  <c r="M39" i="18"/>
  <c r="K39" i="18"/>
  <c r="I39" i="18"/>
  <c r="E23" i="19"/>
  <c r="E22" i="20" s="1"/>
  <c r="O53" i="19"/>
  <c r="X53" i="19"/>
  <c r="Y35" i="19"/>
  <c r="Y51" i="19"/>
  <c r="C23" i="19"/>
  <c r="O57" i="19"/>
  <c r="X57" i="19"/>
  <c r="Q25" i="19"/>
  <c r="K41" i="18"/>
  <c r="M41" i="18"/>
  <c r="I41" i="18"/>
  <c r="M43" i="18"/>
  <c r="K43" i="18"/>
  <c r="I43" i="18"/>
  <c r="B24" i="19"/>
  <c r="U24" i="19" s="1"/>
  <c r="X21" i="19"/>
  <c r="M38" i="19"/>
  <c r="M54" i="19"/>
  <c r="M37" i="19"/>
  <c r="Q37" i="19" s="1"/>
  <c r="M53" i="19"/>
  <c r="M42" i="18"/>
  <c r="K42" i="18"/>
  <c r="I42" i="18"/>
  <c r="M36" i="19"/>
  <c r="M52" i="19"/>
  <c r="Q52" i="19" s="1"/>
  <c r="O51" i="19"/>
  <c r="X51" i="19"/>
  <c r="M35" i="19"/>
  <c r="M51" i="19"/>
  <c r="O55" i="19"/>
  <c r="X55" i="19"/>
  <c r="M41" i="19"/>
  <c r="M57" i="19"/>
  <c r="Q57" i="19" s="1"/>
  <c r="X25" i="19"/>
  <c r="K44" i="18"/>
  <c r="I44" i="18"/>
  <c r="M44" i="18"/>
  <c r="M38" i="18"/>
  <c r="K38" i="18"/>
  <c r="I38" i="18"/>
  <c r="M39" i="19"/>
  <c r="Q39" i="19" s="1"/>
  <c r="M55" i="19"/>
  <c r="M40" i="19"/>
  <c r="M56" i="19"/>
  <c r="Q56" i="19" s="1"/>
  <c r="W36" i="19"/>
  <c r="W52" i="19"/>
  <c r="I12" i="18"/>
  <c r="AF29" i="17"/>
  <c r="AF27" i="17"/>
  <c r="AF31" i="17"/>
  <c r="AF40" i="17"/>
  <c r="M63" i="16"/>
  <c r="AF26" i="17"/>
  <c r="AF32" i="17"/>
  <c r="AF49" i="17"/>
  <c r="M28" i="15"/>
  <c r="M51" i="16"/>
  <c r="AF53" i="17"/>
  <c r="K28" i="15"/>
  <c r="K13" i="15"/>
  <c r="M13" i="15"/>
  <c r="N13" i="15" s="1"/>
  <c r="K31" i="15"/>
  <c r="AF54" i="17"/>
  <c r="M83" i="16"/>
  <c r="Q83" i="16" s="1"/>
  <c r="M59" i="16"/>
  <c r="Q59" i="16" s="1"/>
  <c r="AF58" i="17"/>
  <c r="AF35" i="17"/>
  <c r="B49" i="17"/>
  <c r="B73" i="17"/>
  <c r="AF24" i="17"/>
  <c r="AF62" i="17"/>
  <c r="AF46" i="17"/>
  <c r="M49" i="16"/>
  <c r="M73" i="16"/>
  <c r="AF55" i="17"/>
  <c r="M80" i="16"/>
  <c r="I31" i="15"/>
  <c r="AF90" i="17"/>
  <c r="M61" i="15"/>
  <c r="I61" i="15"/>
  <c r="K61" i="15"/>
  <c r="X35" i="16"/>
  <c r="O35" i="16"/>
  <c r="X57" i="16"/>
  <c r="O81" i="16"/>
  <c r="X81" i="16"/>
  <c r="O57" i="16"/>
  <c r="X33" i="16"/>
  <c r="O33" i="16"/>
  <c r="X40" i="16"/>
  <c r="O40" i="16"/>
  <c r="X25" i="16"/>
  <c r="O25" i="16"/>
  <c r="M73" i="15"/>
  <c r="K73" i="15"/>
  <c r="I73" i="15"/>
  <c r="X47" i="16"/>
  <c r="O71" i="16"/>
  <c r="X71" i="16"/>
  <c r="O47" i="16"/>
  <c r="X31" i="16"/>
  <c r="O31" i="16"/>
  <c r="X38" i="16"/>
  <c r="O38" i="16"/>
  <c r="M60" i="16"/>
  <c r="M84" i="16"/>
  <c r="X29" i="16"/>
  <c r="O29" i="16"/>
  <c r="M53" i="16"/>
  <c r="M77" i="16"/>
  <c r="M46" i="16"/>
  <c r="M70" i="16"/>
  <c r="X59" i="16"/>
  <c r="O83" i="16"/>
  <c r="X83" i="16"/>
  <c r="O59" i="16"/>
  <c r="X36" i="16"/>
  <c r="O36" i="16"/>
  <c r="Q36" i="16" s="1"/>
  <c r="Y44" i="16"/>
  <c r="Y68" i="16"/>
  <c r="M75" i="15"/>
  <c r="K75" i="15"/>
  <c r="I75" i="15"/>
  <c r="X61" i="16"/>
  <c r="O85" i="16"/>
  <c r="Q85" i="16" s="1"/>
  <c r="X85" i="16"/>
  <c r="O61" i="16"/>
  <c r="K64" i="15"/>
  <c r="M64" i="15"/>
  <c r="I64" i="15"/>
  <c r="M62" i="15"/>
  <c r="K62" i="15"/>
  <c r="I62" i="15"/>
  <c r="X66" i="16"/>
  <c r="O90" i="16"/>
  <c r="X90" i="16"/>
  <c r="O66" i="16"/>
  <c r="X43" i="16"/>
  <c r="O67" i="16"/>
  <c r="X67" i="16"/>
  <c r="O43" i="16"/>
  <c r="X27" i="16"/>
  <c r="O27" i="16"/>
  <c r="Q27" i="16" s="1"/>
  <c r="X56" i="16"/>
  <c r="X80" i="16"/>
  <c r="O80" i="16"/>
  <c r="O56" i="16"/>
  <c r="X63" i="16"/>
  <c r="O87" i="16"/>
  <c r="Q87" i="16" s="1"/>
  <c r="X87" i="16"/>
  <c r="O63" i="16"/>
  <c r="M66" i="15"/>
  <c r="K66" i="15"/>
  <c r="I66" i="15"/>
  <c r="X54" i="16"/>
  <c r="X78" i="16"/>
  <c r="O78" i="16"/>
  <c r="O54" i="16"/>
  <c r="X52" i="16"/>
  <c r="O76" i="16"/>
  <c r="Q76" i="16" s="1"/>
  <c r="X76" i="16"/>
  <c r="O52" i="16"/>
  <c r="K56" i="15"/>
  <c r="M56" i="15"/>
  <c r="I56" i="15"/>
  <c r="I45" i="15"/>
  <c r="AF42" i="17"/>
  <c r="B31" i="16"/>
  <c r="U30" i="16"/>
  <c r="M69" i="15"/>
  <c r="K69" i="15"/>
  <c r="I69" i="15"/>
  <c r="X65" i="16"/>
  <c r="O89" i="16"/>
  <c r="Q89" i="16" s="1"/>
  <c r="X89" i="16"/>
  <c r="O65" i="16"/>
  <c r="K60" i="15"/>
  <c r="M60" i="15"/>
  <c r="I60" i="15"/>
  <c r="X48" i="16"/>
  <c r="X72" i="16"/>
  <c r="O72" i="16"/>
  <c r="O48" i="16"/>
  <c r="M58" i="15"/>
  <c r="K58" i="15"/>
  <c r="I58" i="15"/>
  <c r="X46" i="16"/>
  <c r="X70" i="16"/>
  <c r="O70" i="16"/>
  <c r="O46" i="16"/>
  <c r="Q90" i="16"/>
  <c r="W43" i="16"/>
  <c r="W67" i="16"/>
  <c r="M45" i="15"/>
  <c r="M43" i="16"/>
  <c r="M70" i="15"/>
  <c r="K70" i="15"/>
  <c r="I70" i="15"/>
  <c r="X44" i="16"/>
  <c r="O68" i="16"/>
  <c r="X68" i="16"/>
  <c r="O44" i="16"/>
  <c r="X50" i="16"/>
  <c r="O74" i="16"/>
  <c r="X74" i="16"/>
  <c r="O50" i="16"/>
  <c r="K68" i="15"/>
  <c r="M68" i="15"/>
  <c r="I68" i="15"/>
  <c r="X41" i="16"/>
  <c r="O41" i="16"/>
  <c r="M48" i="16"/>
  <c r="M72" i="16"/>
  <c r="X32" i="16"/>
  <c r="O32" i="16"/>
  <c r="Q32" i="16" s="1"/>
  <c r="X39" i="16"/>
  <c r="O39" i="16"/>
  <c r="X24" i="16"/>
  <c r="O24" i="16"/>
  <c r="K72" i="15"/>
  <c r="M72" i="15"/>
  <c r="I72" i="15"/>
  <c r="X30" i="16"/>
  <c r="O30" i="16"/>
  <c r="Q30" i="16" s="1"/>
  <c r="X60" i="16"/>
  <c r="O84" i="16"/>
  <c r="X84" i="16"/>
  <c r="O60" i="16"/>
  <c r="X37" i="16"/>
  <c r="O37" i="16"/>
  <c r="X22" i="16"/>
  <c r="O22" i="16"/>
  <c r="M44" i="16"/>
  <c r="Q44" i="16" s="1"/>
  <c r="M68" i="16"/>
  <c r="AF50" i="17"/>
  <c r="X91" i="16"/>
  <c r="O91" i="16"/>
  <c r="Q91" i="16" s="1"/>
  <c r="X28" i="16"/>
  <c r="O28" i="16"/>
  <c r="M50" i="16"/>
  <c r="M74" i="16"/>
  <c r="M54" i="15"/>
  <c r="K54" i="15"/>
  <c r="I54" i="15"/>
  <c r="X64" i="16"/>
  <c r="O88" i="16"/>
  <c r="Q88" i="16" s="1"/>
  <c r="X88" i="16"/>
  <c r="O64" i="16"/>
  <c r="X26" i="16"/>
  <c r="O26" i="16"/>
  <c r="Q26" i="16" s="1"/>
  <c r="M74" i="15"/>
  <c r="I74" i="15"/>
  <c r="K74" i="15"/>
  <c r="X62" i="16"/>
  <c r="X86" i="16"/>
  <c r="O86" i="16"/>
  <c r="O62" i="16"/>
  <c r="M65" i="15"/>
  <c r="I65" i="15"/>
  <c r="K65" i="15"/>
  <c r="M63" i="15"/>
  <c r="K63" i="15"/>
  <c r="I63" i="15"/>
  <c r="M62" i="16"/>
  <c r="Q62" i="16" s="1"/>
  <c r="M86" i="16"/>
  <c r="M57" i="16"/>
  <c r="M81" i="16"/>
  <c r="M77" i="15"/>
  <c r="K77" i="15"/>
  <c r="I77" i="15"/>
  <c r="Q67" i="16"/>
  <c r="X34" i="16"/>
  <c r="O34" i="16"/>
  <c r="M67" i="15"/>
  <c r="K67" i="15"/>
  <c r="I67" i="15"/>
  <c r="M55" i="16"/>
  <c r="M79" i="16"/>
  <c r="M54" i="16"/>
  <c r="M78" i="16"/>
  <c r="X53" i="16"/>
  <c r="O77" i="16"/>
  <c r="X77" i="16"/>
  <c r="O53" i="16"/>
  <c r="M57" i="15"/>
  <c r="K57" i="15"/>
  <c r="I57" i="15"/>
  <c r="M45" i="16"/>
  <c r="M69" i="16"/>
  <c r="X51" i="16"/>
  <c r="O75" i="16"/>
  <c r="Q75" i="16" s="1"/>
  <c r="X75" i="16"/>
  <c r="O51" i="16"/>
  <c r="M55" i="15"/>
  <c r="K55" i="15"/>
  <c r="I55" i="15"/>
  <c r="X58" i="16"/>
  <c r="O82" i="16"/>
  <c r="Q82" i="16" s="1"/>
  <c r="X82" i="16"/>
  <c r="O58" i="16"/>
  <c r="K76" i="15"/>
  <c r="M76" i="15"/>
  <c r="I76" i="15"/>
  <c r="X49" i="16"/>
  <c r="O73" i="16"/>
  <c r="X73" i="16"/>
  <c r="O49" i="16"/>
  <c r="X55" i="16"/>
  <c r="O79" i="16"/>
  <c r="X79" i="16"/>
  <c r="O55" i="16"/>
  <c r="M59" i="15"/>
  <c r="K59" i="15"/>
  <c r="I59" i="15"/>
  <c r="M47" i="16"/>
  <c r="Q47" i="16" s="1"/>
  <c r="M71" i="16"/>
  <c r="Q71" i="16" s="1"/>
  <c r="X23" i="16"/>
  <c r="O23" i="16"/>
  <c r="Q23" i="16" s="1"/>
  <c r="M71" i="15"/>
  <c r="K71" i="15"/>
  <c r="I71" i="15"/>
  <c r="X45" i="16"/>
  <c r="O69" i="16"/>
  <c r="X69" i="16"/>
  <c r="O45" i="16"/>
  <c r="B17" i="15"/>
  <c r="C29" i="16"/>
  <c r="B40" i="13"/>
  <c r="B61" i="13"/>
  <c r="W40" i="12"/>
  <c r="W61" i="12"/>
  <c r="Y41" i="12"/>
  <c r="Y62" i="12"/>
  <c r="B27" i="11"/>
  <c r="B48" i="11"/>
  <c r="AE49" i="10"/>
  <c r="Q25" i="9"/>
  <c r="R25" i="9" s="1"/>
  <c r="Q35" i="9"/>
  <c r="R35" i="9" s="1"/>
  <c r="P41" i="6"/>
  <c r="AE41" i="7"/>
  <c r="K8" i="5"/>
  <c r="M8" i="5"/>
  <c r="N20" i="5"/>
  <c r="J33" i="6" s="1"/>
  <c r="K33" i="6" s="1"/>
  <c r="N24" i="5"/>
  <c r="J37" i="6" s="1"/>
  <c r="K37" i="6" s="1"/>
  <c r="N26" i="6"/>
  <c r="N36" i="6"/>
  <c r="N22" i="6"/>
  <c r="N32" i="6"/>
  <c r="B25" i="7"/>
  <c r="B35" i="7"/>
  <c r="O28" i="6"/>
  <c r="X38" i="6"/>
  <c r="O38" i="6"/>
  <c r="X27" i="6"/>
  <c r="O37" i="6"/>
  <c r="X37" i="6"/>
  <c r="X22" i="6"/>
  <c r="O32" i="6"/>
  <c r="X32" i="6"/>
  <c r="O21" i="6"/>
  <c r="O31" i="6"/>
  <c r="X31" i="6"/>
  <c r="B24" i="6"/>
  <c r="B34" i="6"/>
  <c r="U23" i="6"/>
  <c r="N23" i="5"/>
  <c r="J36" i="6" s="1"/>
  <c r="K36" i="6" s="1"/>
  <c r="N25" i="5"/>
  <c r="J38" i="6" s="1"/>
  <c r="K38" i="6" s="1"/>
  <c r="W24" i="6"/>
  <c r="W34" i="6"/>
  <c r="M23" i="6"/>
  <c r="M33" i="6"/>
  <c r="Y25" i="6"/>
  <c r="Y35" i="6"/>
  <c r="O24" i="6"/>
  <c r="O34" i="6"/>
  <c r="X34" i="6"/>
  <c r="M21" i="6"/>
  <c r="M31" i="6"/>
  <c r="Q31" i="6" s="1"/>
  <c r="M25" i="6"/>
  <c r="M35" i="6"/>
  <c r="N21" i="5"/>
  <c r="J34" i="6" s="1"/>
  <c r="K34" i="6" s="1"/>
  <c r="M18" i="5"/>
  <c r="I18" i="5"/>
  <c r="K18" i="5"/>
  <c r="M22" i="5"/>
  <c r="I22" i="5"/>
  <c r="K22" i="5"/>
  <c r="E33" i="6"/>
  <c r="E32" i="7" s="1"/>
  <c r="C33" i="6"/>
  <c r="U33" i="6"/>
  <c r="O26" i="6"/>
  <c r="O36" i="6"/>
  <c r="X36" i="6"/>
  <c r="X25" i="6"/>
  <c r="O35" i="6"/>
  <c r="X35" i="6"/>
  <c r="N19" i="5"/>
  <c r="J32" i="6" s="1"/>
  <c r="K32" i="6" s="1"/>
  <c r="D22" i="6"/>
  <c r="D21" i="7" s="1"/>
  <c r="C21" i="7"/>
  <c r="F28" i="5"/>
  <c r="D23" i="6"/>
  <c r="D22" i="7" s="1"/>
  <c r="C22" i="7"/>
  <c r="B11" i="5"/>
  <c r="B21" i="5"/>
  <c r="D126" i="1"/>
  <c r="D125" i="2" s="1"/>
  <c r="C125" i="2"/>
  <c r="B128" i="1"/>
  <c r="U80" i="1"/>
  <c r="B81" i="1"/>
  <c r="E127" i="1"/>
  <c r="E126" i="2" s="1"/>
  <c r="C127" i="1"/>
  <c r="U127" i="1"/>
  <c r="B94" i="4"/>
  <c r="B141" i="4"/>
  <c r="Q23" i="9"/>
  <c r="R23" i="9" s="1"/>
  <c r="S23" i="9" s="1"/>
  <c r="T23" i="9" s="1"/>
  <c r="X69" i="20"/>
  <c r="O28" i="19"/>
  <c r="X28" i="19"/>
  <c r="AF52" i="17"/>
  <c r="AF39" i="17"/>
  <c r="O24" i="19"/>
  <c r="X24" i="19"/>
  <c r="Q24" i="9"/>
  <c r="R24" i="9" s="1"/>
  <c r="S24" i="9" s="1"/>
  <c r="T24" i="9" s="1"/>
  <c r="O36" i="19"/>
  <c r="X36" i="19"/>
  <c r="AE72" i="26"/>
  <c r="O37" i="19"/>
  <c r="X37" i="19"/>
  <c r="AF61" i="17"/>
  <c r="AF48" i="17"/>
  <c r="AF45" i="17"/>
  <c r="O41" i="19"/>
  <c r="X41" i="19"/>
  <c r="O22" i="19"/>
  <c r="Q22" i="19" s="1"/>
  <c r="X22" i="19"/>
  <c r="AF23" i="17"/>
  <c r="O42" i="19"/>
  <c r="Q42" i="19" s="1"/>
  <c r="X42" i="19"/>
  <c r="O39" i="19"/>
  <c r="X39" i="19"/>
  <c r="O35" i="19"/>
  <c r="X35" i="19"/>
  <c r="O30" i="19"/>
  <c r="Q30" i="19" s="1"/>
  <c r="X30" i="19"/>
  <c r="K29" i="15"/>
  <c r="O33" i="19"/>
  <c r="Q33" i="19" s="1"/>
  <c r="X33" i="19"/>
  <c r="O26" i="19"/>
  <c r="Q26" i="19" s="1"/>
  <c r="X26" i="19"/>
  <c r="AF56" i="17"/>
  <c r="AF34" i="17"/>
  <c r="AF20" i="17"/>
  <c r="I29" i="15"/>
  <c r="O23" i="19"/>
  <c r="Q23" i="19" s="1"/>
  <c r="X23" i="19"/>
  <c r="P93" i="16"/>
  <c r="AE93" i="17" s="1"/>
  <c r="AE17" i="14"/>
  <c r="O31" i="19"/>
  <c r="Q31" i="19" s="1"/>
  <c r="X31" i="19"/>
  <c r="G34" i="29"/>
  <c r="H16" i="14" s="1"/>
  <c r="V41" i="6"/>
  <c r="J9" i="14" s="1"/>
  <c r="O40" i="19"/>
  <c r="X40" i="19"/>
  <c r="O29" i="19"/>
  <c r="X29" i="19"/>
  <c r="O34" i="19"/>
  <c r="X34" i="19"/>
  <c r="AF21" i="17"/>
  <c r="AF22" i="17"/>
  <c r="O38" i="19"/>
  <c r="X38" i="19"/>
  <c r="O42" i="16"/>
  <c r="X42" i="16"/>
  <c r="AF28" i="17"/>
  <c r="AF43" i="17"/>
  <c r="B11" i="14"/>
  <c r="W13" i="9"/>
  <c r="AD12" i="10" s="1"/>
  <c r="AE61" i="35"/>
  <c r="X23" i="34"/>
  <c r="M14" i="21"/>
  <c r="I14" i="21"/>
  <c r="K14" i="21"/>
  <c r="M27" i="22"/>
  <c r="Q27" i="22" s="1"/>
  <c r="AF26" i="23"/>
  <c r="M10" i="21"/>
  <c r="N10" i="21" s="1"/>
  <c r="I10" i="21"/>
  <c r="M66" i="16"/>
  <c r="AF65" i="17"/>
  <c r="M65" i="16"/>
  <c r="AF64" i="17"/>
  <c r="M64" i="16"/>
  <c r="Q64" i="16" s="1"/>
  <c r="AF63" i="17"/>
  <c r="M61" i="16"/>
  <c r="AF60" i="17"/>
  <c r="M58" i="16"/>
  <c r="AF57" i="17"/>
  <c r="M52" i="16"/>
  <c r="Q52" i="16" s="1"/>
  <c r="AF51" i="17"/>
  <c r="M38" i="16"/>
  <c r="Q38" i="16" s="1"/>
  <c r="AF37" i="17"/>
  <c r="M37" i="16"/>
  <c r="AF36" i="17"/>
  <c r="M34" i="16"/>
  <c r="Q34" i="16" s="1"/>
  <c r="AF33" i="17"/>
  <c r="M31" i="16"/>
  <c r="AF30" i="17"/>
  <c r="M42" i="16"/>
  <c r="Q42" i="16" s="1"/>
  <c r="AF41" i="17"/>
  <c r="X25" i="34"/>
  <c r="X34" i="34"/>
  <c r="X27" i="34"/>
  <c r="M18" i="33"/>
  <c r="I18" i="33"/>
  <c r="X26" i="34"/>
  <c r="X36" i="34"/>
  <c r="M20" i="33"/>
  <c r="N20" i="33" s="1"/>
  <c r="J33" i="34" s="1"/>
  <c r="K33" i="34" s="1"/>
  <c r="X30" i="34"/>
  <c r="X24" i="34"/>
  <c r="I22" i="33"/>
  <c r="I10" i="33"/>
  <c r="K16" i="33"/>
  <c r="K10" i="33"/>
  <c r="N10" i="33" s="1"/>
  <c r="J23" i="34" s="1"/>
  <c r="K23" i="34" s="1"/>
  <c r="I16" i="33"/>
  <c r="O38" i="34"/>
  <c r="Q38" i="34" s="1"/>
  <c r="R38" i="34" s="1"/>
  <c r="AF24" i="35"/>
  <c r="O29" i="34"/>
  <c r="K19" i="33"/>
  <c r="I19" i="33"/>
  <c r="AF26" i="35"/>
  <c r="Q25" i="34"/>
  <c r="X22" i="34"/>
  <c r="B25" i="34"/>
  <c r="U24" i="34"/>
  <c r="K22" i="33"/>
  <c r="I21" i="33"/>
  <c r="N21" i="33" s="1"/>
  <c r="J34" i="34" s="1"/>
  <c r="K34" i="34" s="1"/>
  <c r="X21" i="31"/>
  <c r="N8" i="30"/>
  <c r="J21" i="31" s="1"/>
  <c r="K21" i="31" s="1"/>
  <c r="F22" i="30"/>
  <c r="R34" i="29"/>
  <c r="K10" i="24"/>
  <c r="K14" i="24"/>
  <c r="M14" i="24"/>
  <c r="K15" i="24"/>
  <c r="M15" i="24"/>
  <c r="M10" i="24"/>
  <c r="C23" i="25"/>
  <c r="D23" i="25" s="1"/>
  <c r="D22" i="26" s="1"/>
  <c r="E23" i="25"/>
  <c r="E22" i="26" s="1"/>
  <c r="Q27" i="25"/>
  <c r="Q24" i="25"/>
  <c r="K17" i="24"/>
  <c r="M16" i="24"/>
  <c r="I17" i="24"/>
  <c r="K16" i="24"/>
  <c r="X41" i="25"/>
  <c r="O41" i="25"/>
  <c r="Q41" i="25" s="1"/>
  <c r="R41" i="25" s="1"/>
  <c r="X36" i="25"/>
  <c r="O36" i="25"/>
  <c r="Q36" i="25" s="1"/>
  <c r="R36" i="25" s="1"/>
  <c r="O35" i="25"/>
  <c r="Q35" i="25" s="1"/>
  <c r="R35" i="25" s="1"/>
  <c r="X35" i="25"/>
  <c r="O39" i="25"/>
  <c r="Q39" i="25" s="1"/>
  <c r="R39" i="25" s="1"/>
  <c r="X39" i="25"/>
  <c r="O40" i="25"/>
  <c r="Q40" i="25" s="1"/>
  <c r="R40" i="25" s="1"/>
  <c r="X40" i="25"/>
  <c r="O37" i="25"/>
  <c r="Q37" i="25" s="1"/>
  <c r="R37" i="25" s="1"/>
  <c r="X37" i="25"/>
  <c r="O38" i="25"/>
  <c r="Q38" i="25" s="1"/>
  <c r="R38" i="25" s="1"/>
  <c r="X38" i="25"/>
  <c r="X34" i="25"/>
  <c r="O34" i="25"/>
  <c r="Q34" i="25" s="1"/>
  <c r="R34" i="25" s="1"/>
  <c r="K8" i="24"/>
  <c r="M8" i="24"/>
  <c r="I11" i="24"/>
  <c r="K11" i="24"/>
  <c r="AF28" i="26"/>
  <c r="O29" i="25"/>
  <c r="Q29" i="25" s="1"/>
  <c r="AF27" i="26"/>
  <c r="K12" i="24"/>
  <c r="I13" i="24"/>
  <c r="X30" i="25"/>
  <c r="X25" i="25"/>
  <c r="Q28" i="25"/>
  <c r="X24" i="25"/>
  <c r="X27" i="25"/>
  <c r="Q22" i="25"/>
  <c r="X22" i="25"/>
  <c r="U24" i="25"/>
  <c r="C24" i="25"/>
  <c r="E24" i="25"/>
  <c r="E23" i="26" s="1"/>
  <c r="B25" i="25"/>
  <c r="X28" i="25"/>
  <c r="D22" i="25"/>
  <c r="D21" i="26" s="1"/>
  <c r="C21" i="26"/>
  <c r="Q25" i="25"/>
  <c r="M12" i="24"/>
  <c r="M13" i="24"/>
  <c r="Q30" i="25"/>
  <c r="X23" i="25"/>
  <c r="U23" i="22"/>
  <c r="B24" i="22"/>
  <c r="X23" i="22"/>
  <c r="E23" i="22"/>
  <c r="E22" i="23" s="1"/>
  <c r="X25" i="22"/>
  <c r="C23" i="22"/>
  <c r="D23" i="22" s="1"/>
  <c r="D22" i="23" s="1"/>
  <c r="X22" i="22"/>
  <c r="X24" i="22"/>
  <c r="M28" i="18"/>
  <c r="K28" i="18"/>
  <c r="I28" i="18"/>
  <c r="M9" i="18"/>
  <c r="K20" i="18"/>
  <c r="I20" i="18"/>
  <c r="M20" i="18"/>
  <c r="I26" i="18"/>
  <c r="M26" i="18"/>
  <c r="K26" i="18"/>
  <c r="K23" i="18"/>
  <c r="M23" i="18"/>
  <c r="I23" i="18"/>
  <c r="K21" i="18"/>
  <c r="I21" i="18"/>
  <c r="M21" i="18"/>
  <c r="I24" i="18"/>
  <c r="M24" i="18"/>
  <c r="K24" i="18"/>
  <c r="I22" i="18"/>
  <c r="K22" i="18"/>
  <c r="M22" i="18"/>
  <c r="I25" i="18"/>
  <c r="M25" i="18"/>
  <c r="K25" i="18"/>
  <c r="Q34" i="19"/>
  <c r="I27" i="18"/>
  <c r="K27" i="18"/>
  <c r="M27" i="18"/>
  <c r="I29" i="18"/>
  <c r="M29" i="18"/>
  <c r="K29" i="18"/>
  <c r="Q36" i="19"/>
  <c r="Q41" i="19"/>
  <c r="K10" i="18"/>
  <c r="AF24" i="20"/>
  <c r="AF20" i="20"/>
  <c r="AF27" i="20"/>
  <c r="M28" i="19"/>
  <c r="I13" i="18"/>
  <c r="I9" i="18"/>
  <c r="AF26" i="20"/>
  <c r="O27" i="19"/>
  <c r="Q27" i="19" s="1"/>
  <c r="Q24" i="19"/>
  <c r="K13" i="18"/>
  <c r="Q29" i="19"/>
  <c r="B11" i="18"/>
  <c r="I8" i="11"/>
  <c r="C23" i="12"/>
  <c r="D23" i="12" s="1"/>
  <c r="D22" i="13" s="1"/>
  <c r="E23" i="12"/>
  <c r="E22" i="13" s="1"/>
  <c r="K8" i="11"/>
  <c r="Q36" i="9"/>
  <c r="R36" i="9" s="1"/>
  <c r="S36" i="9" s="1"/>
  <c r="T36" i="9" s="1"/>
  <c r="Q29" i="9"/>
  <c r="R29" i="9" s="1"/>
  <c r="S29" i="9" s="1"/>
  <c r="T29" i="9" s="1"/>
  <c r="S35" i="9"/>
  <c r="T35" i="9" s="1"/>
  <c r="Q28" i="9"/>
  <c r="R28" i="9" s="1"/>
  <c r="S25" i="9"/>
  <c r="T25" i="9" s="1"/>
  <c r="Q26" i="9"/>
  <c r="R26" i="9" s="1"/>
  <c r="S33" i="9"/>
  <c r="T33" i="9" s="1"/>
  <c r="Q32" i="9"/>
  <c r="R32" i="9" s="1"/>
  <c r="S34" i="9"/>
  <c r="T34" i="9" s="1"/>
  <c r="Q27" i="9"/>
  <c r="R27" i="9" s="1"/>
  <c r="S30" i="9"/>
  <c r="T30" i="9" s="1"/>
  <c r="S47" i="9"/>
  <c r="T47" i="9" s="1"/>
  <c r="Q31" i="9"/>
  <c r="R31" i="9" s="1"/>
  <c r="AF24" i="7"/>
  <c r="X28" i="6"/>
  <c r="M13" i="5"/>
  <c r="I13" i="5"/>
  <c r="K13" i="5"/>
  <c r="N8" i="5"/>
  <c r="M12" i="5"/>
  <c r="K12" i="5"/>
  <c r="I12" i="5"/>
  <c r="M11" i="5"/>
  <c r="I11" i="5"/>
  <c r="K11" i="5"/>
  <c r="X26" i="6"/>
  <c r="I9" i="5"/>
  <c r="M9" i="5"/>
  <c r="K9" i="5"/>
  <c r="M14" i="5"/>
  <c r="I14" i="5"/>
  <c r="K14" i="5"/>
  <c r="M15" i="5"/>
  <c r="K15" i="5"/>
  <c r="I15" i="5"/>
  <c r="AF21" i="7"/>
  <c r="M26" i="5"/>
  <c r="I26" i="5"/>
  <c r="K26" i="5"/>
  <c r="M10" i="5"/>
  <c r="K10" i="5"/>
  <c r="I10" i="5"/>
  <c r="AF28" i="35"/>
  <c r="Q23" i="34"/>
  <c r="O33" i="34"/>
  <c r="Q30" i="34"/>
  <c r="Q29" i="34"/>
  <c r="Q28" i="34"/>
  <c r="V61" i="34"/>
  <c r="J18" i="14" s="1"/>
  <c r="AF27" i="35"/>
  <c r="O32" i="34"/>
  <c r="Q32" i="34" s="1"/>
  <c r="X21" i="34"/>
  <c r="E23" i="34"/>
  <c r="E22" i="35" s="1"/>
  <c r="Q22" i="34"/>
  <c r="AF22" i="35"/>
  <c r="N23" i="33"/>
  <c r="J36" i="34" s="1"/>
  <c r="K36" i="34" s="1"/>
  <c r="N17" i="33"/>
  <c r="J30" i="34" s="1"/>
  <c r="K30" i="34" s="1"/>
  <c r="AF32" i="35"/>
  <c r="AF29" i="35"/>
  <c r="K8" i="33"/>
  <c r="I8" i="33"/>
  <c r="M8" i="33"/>
  <c r="AF31" i="35"/>
  <c r="O31" i="34"/>
  <c r="Q31" i="34" s="1"/>
  <c r="AF20" i="35"/>
  <c r="I13" i="33"/>
  <c r="K13" i="33"/>
  <c r="M13" i="33"/>
  <c r="I15" i="33"/>
  <c r="K15" i="33"/>
  <c r="M15" i="33"/>
  <c r="N12" i="33"/>
  <c r="J25" i="34" s="1"/>
  <c r="K25" i="34" s="1"/>
  <c r="M11" i="33"/>
  <c r="K11" i="33"/>
  <c r="I11" i="33"/>
  <c r="AF30" i="35"/>
  <c r="N9" i="33"/>
  <c r="J22" i="34" s="1"/>
  <c r="K22" i="34" s="1"/>
  <c r="I14" i="33"/>
  <c r="M14" i="33"/>
  <c r="K14" i="33"/>
  <c r="AF21" i="35"/>
  <c r="D21" i="34"/>
  <c r="D20" i="35" s="1"/>
  <c r="C20" i="35"/>
  <c r="D23" i="34"/>
  <c r="D22" i="35" s="1"/>
  <c r="C22" i="35"/>
  <c r="D24" i="34"/>
  <c r="D23" i="35" s="1"/>
  <c r="C23" i="35"/>
  <c r="D22" i="34"/>
  <c r="D21" i="35" s="1"/>
  <c r="AF29" i="26"/>
  <c r="AF20" i="26"/>
  <c r="V72" i="25"/>
  <c r="J15" i="14" s="1"/>
  <c r="N14" i="24"/>
  <c r="AF25" i="26"/>
  <c r="K9" i="24"/>
  <c r="M9" i="24"/>
  <c r="I9" i="24"/>
  <c r="Q23" i="22"/>
  <c r="AF22" i="23"/>
  <c r="X21" i="22"/>
  <c r="M11" i="21"/>
  <c r="I11" i="21"/>
  <c r="K11" i="21"/>
  <c r="N12" i="21"/>
  <c r="I9" i="21"/>
  <c r="M9" i="21"/>
  <c r="K9" i="21"/>
  <c r="O22" i="22"/>
  <c r="Q22" i="22" s="1"/>
  <c r="AF24" i="23"/>
  <c r="M8" i="21"/>
  <c r="K8" i="21"/>
  <c r="I8" i="21"/>
  <c r="AF23" i="23"/>
  <c r="D22" i="22"/>
  <c r="D21" i="23" s="1"/>
  <c r="C21" i="23"/>
  <c r="AF36" i="20"/>
  <c r="AF37" i="20"/>
  <c r="M21" i="19"/>
  <c r="Q21" i="19" s="1"/>
  <c r="AF38" i="20"/>
  <c r="AF28" i="20"/>
  <c r="V69" i="19"/>
  <c r="J13" i="14" s="1"/>
  <c r="M25" i="16"/>
  <c r="M39" i="16"/>
  <c r="Q39" i="16" s="1"/>
  <c r="M56" i="16"/>
  <c r="Q56" i="16" s="1"/>
  <c r="Q23" i="12"/>
  <c r="AF41" i="20"/>
  <c r="Q21" i="1"/>
  <c r="R21" i="1" s="1"/>
  <c r="AF35" i="20"/>
  <c r="N17" i="18"/>
  <c r="J30" i="19" s="1"/>
  <c r="K30" i="19" s="1"/>
  <c r="AF34" i="20"/>
  <c r="AF33" i="20"/>
  <c r="AF21" i="20"/>
  <c r="AF25" i="20"/>
  <c r="D22" i="19"/>
  <c r="D21" i="20" s="1"/>
  <c r="C21" i="20"/>
  <c r="N8" i="18"/>
  <c r="J21" i="19" s="1"/>
  <c r="N10" i="18"/>
  <c r="J23" i="19" s="1"/>
  <c r="K23" i="19" s="1"/>
  <c r="AF40" i="20"/>
  <c r="I16" i="18"/>
  <c r="M16" i="18"/>
  <c r="K16" i="18"/>
  <c r="G68" i="20"/>
  <c r="H13" i="14" s="1"/>
  <c r="K15" i="18"/>
  <c r="I15" i="18"/>
  <c r="M15" i="18"/>
  <c r="N12" i="18"/>
  <c r="J25" i="19" s="1"/>
  <c r="K25" i="19" s="1"/>
  <c r="D23" i="19"/>
  <c r="D22" i="20" s="1"/>
  <c r="C22" i="20"/>
  <c r="M14" i="18"/>
  <c r="K14" i="18"/>
  <c r="I14" i="18"/>
  <c r="AF32" i="20"/>
  <c r="Y68" i="20"/>
  <c r="I18" i="18"/>
  <c r="M18" i="18"/>
  <c r="K18" i="18"/>
  <c r="AF39" i="20"/>
  <c r="K11" i="18"/>
  <c r="I11" i="18"/>
  <c r="M11" i="18"/>
  <c r="B25" i="19"/>
  <c r="E24" i="19"/>
  <c r="E23" i="20" s="1"/>
  <c r="C24" i="19"/>
  <c r="Q24" i="16"/>
  <c r="Q33" i="16"/>
  <c r="Q40" i="16"/>
  <c r="Q35" i="16"/>
  <c r="Q28" i="16"/>
  <c r="Q29" i="16"/>
  <c r="N45" i="15"/>
  <c r="E21" i="17"/>
  <c r="C21" i="17"/>
  <c r="N44" i="15"/>
  <c r="N78" i="15"/>
  <c r="N25" i="15"/>
  <c r="N21" i="15"/>
  <c r="N43" i="15"/>
  <c r="N18" i="15"/>
  <c r="N17" i="15"/>
  <c r="N39" i="15"/>
  <c r="N48" i="15"/>
  <c r="N52" i="15"/>
  <c r="N53" i="15"/>
  <c r="Y92" i="17"/>
  <c r="Q41" i="16"/>
  <c r="N32" i="15"/>
  <c r="M40" i="15"/>
  <c r="I40" i="15"/>
  <c r="K40" i="15"/>
  <c r="M47" i="15"/>
  <c r="K47" i="15"/>
  <c r="I47" i="15"/>
  <c r="N27" i="15"/>
  <c r="N33" i="15"/>
  <c r="I24" i="15"/>
  <c r="M24" i="15"/>
  <c r="K24" i="15"/>
  <c r="M35" i="15"/>
  <c r="I35" i="15"/>
  <c r="K35" i="15"/>
  <c r="I36" i="15"/>
  <c r="M36" i="15"/>
  <c r="K36" i="15"/>
  <c r="I22" i="15"/>
  <c r="K22" i="15"/>
  <c r="M22" i="15"/>
  <c r="V93" i="16"/>
  <c r="J12" i="14" s="1"/>
  <c r="N50" i="15"/>
  <c r="M23" i="15"/>
  <c r="I23" i="15"/>
  <c r="K23" i="15"/>
  <c r="N15" i="15"/>
  <c r="K9" i="15"/>
  <c r="M9" i="15"/>
  <c r="I9" i="15"/>
  <c r="N34" i="15"/>
  <c r="I46" i="15"/>
  <c r="K46" i="15"/>
  <c r="M46" i="15"/>
  <c r="N28" i="15"/>
  <c r="K30" i="15"/>
  <c r="I30" i="15"/>
  <c r="M30" i="15"/>
  <c r="N26" i="15"/>
  <c r="F80" i="15"/>
  <c r="K41" i="15"/>
  <c r="M41" i="15"/>
  <c r="I41" i="15"/>
  <c r="N42" i="15"/>
  <c r="N38" i="15"/>
  <c r="N20" i="15"/>
  <c r="I49" i="15"/>
  <c r="K49" i="15"/>
  <c r="M49" i="15"/>
  <c r="N93" i="16"/>
  <c r="X93" i="17" s="1"/>
  <c r="N37" i="15"/>
  <c r="M11" i="15"/>
  <c r="I11" i="15"/>
  <c r="K11" i="15"/>
  <c r="N12" i="15"/>
  <c r="N14" i="15"/>
  <c r="M19" i="15"/>
  <c r="K19" i="15"/>
  <c r="I19" i="15"/>
  <c r="G92" i="17"/>
  <c r="H12" i="14" s="1"/>
  <c r="N51" i="15"/>
  <c r="N16" i="15"/>
  <c r="N8" i="15"/>
  <c r="N10" i="15"/>
  <c r="I9" i="11"/>
  <c r="N9" i="11" s="1"/>
  <c r="O21" i="12"/>
  <c r="E24" i="12"/>
  <c r="E23" i="13" s="1"/>
  <c r="C24" i="12"/>
  <c r="B25" i="12"/>
  <c r="AF20" i="13"/>
  <c r="M21" i="30"/>
  <c r="O35" i="31"/>
  <c r="Y35" i="32" s="1"/>
  <c r="N20" i="30"/>
  <c r="J33" i="31" s="1"/>
  <c r="K33" i="31" s="1"/>
  <c r="D21" i="31"/>
  <c r="D20" i="32" s="1"/>
  <c r="C20" i="32"/>
  <c r="AF22" i="13"/>
  <c r="K21" i="30"/>
  <c r="I21" i="30"/>
  <c r="J22" i="31"/>
  <c r="K22" i="31" s="1"/>
  <c r="R22" i="31" s="1"/>
  <c r="S22" i="31" s="1"/>
  <c r="T22" i="31" s="1"/>
  <c r="I12" i="11"/>
  <c r="K12" i="11"/>
  <c r="M12" i="11"/>
  <c r="D22" i="12"/>
  <c r="D21" i="13" s="1"/>
  <c r="AF24" i="13"/>
  <c r="M21" i="12"/>
  <c r="V84" i="12"/>
  <c r="J11" i="14" s="1"/>
  <c r="Y83" i="13"/>
  <c r="P84" i="12"/>
  <c r="AE84" i="13" s="1"/>
  <c r="D21" i="12"/>
  <c r="D20" i="13" s="1"/>
  <c r="C20" i="13"/>
  <c r="N10" i="11"/>
  <c r="N11" i="11"/>
  <c r="AF21" i="13"/>
  <c r="D10" i="14"/>
  <c r="F36" i="8"/>
  <c r="F48" i="10"/>
  <c r="Q21" i="9"/>
  <c r="X21" i="9"/>
  <c r="AF20" i="10"/>
  <c r="Y48" i="10"/>
  <c r="Y49" i="9"/>
  <c r="Y10" i="14" s="1"/>
  <c r="N8" i="8"/>
  <c r="V49" i="9"/>
  <c r="J10" i="14" s="1"/>
  <c r="G162" i="2"/>
  <c r="P163" i="1"/>
  <c r="AE163" i="2" s="1"/>
  <c r="V22" i="14"/>
  <c r="F60" i="35"/>
  <c r="F22" i="27"/>
  <c r="F59" i="24"/>
  <c r="G15" i="14"/>
  <c r="X23" i="7"/>
  <c r="N34" i="6" s="1"/>
  <c r="Q34" i="6" s="1"/>
  <c r="X22" i="7"/>
  <c r="AF22" i="7" s="1"/>
  <c r="M24" i="34"/>
  <c r="Q24" i="34" s="1"/>
  <c r="AF23" i="35"/>
  <c r="F34" i="32"/>
  <c r="AF33" i="35"/>
  <c r="AF29" i="20"/>
  <c r="AF20" i="7"/>
  <c r="F40" i="7"/>
  <c r="G13" i="14"/>
  <c r="F56" i="18"/>
  <c r="AF21" i="29"/>
  <c r="M35" i="28"/>
  <c r="AF30" i="20"/>
  <c r="G83" i="13"/>
  <c r="H11" i="14" s="1"/>
  <c r="M26" i="6"/>
  <c r="Q26" i="6" s="1"/>
  <c r="AF25" i="7"/>
  <c r="O25" i="6"/>
  <c r="V163" i="1"/>
  <c r="J8" i="14" s="1"/>
  <c r="M26" i="34"/>
  <c r="Q26" i="34" s="1"/>
  <c r="AF25" i="35"/>
  <c r="O33" i="28"/>
  <c r="Q33" i="28" s="1"/>
  <c r="R33" i="28" s="1"/>
  <c r="X33" i="28"/>
  <c r="G45" i="23"/>
  <c r="H14" i="14" s="1"/>
  <c r="R20" i="23"/>
  <c r="X22" i="28"/>
  <c r="M27" i="6"/>
  <c r="Q49" i="16"/>
  <c r="R68" i="20"/>
  <c r="F92" i="17"/>
  <c r="G10" i="14"/>
  <c r="M28" i="6"/>
  <c r="V35" i="28"/>
  <c r="J16" i="14" s="1"/>
  <c r="R71" i="26"/>
  <c r="AF21" i="26"/>
  <c r="G48" i="10"/>
  <c r="H10" i="14" s="1"/>
  <c r="AF23" i="13"/>
  <c r="M22" i="6"/>
  <c r="R40" i="7"/>
  <c r="R92" i="17"/>
  <c r="Y60" i="35"/>
  <c r="X21" i="28"/>
  <c r="O21" i="28"/>
  <c r="Y34" i="29"/>
  <c r="AF24" i="26"/>
  <c r="G71" i="26"/>
  <c r="H15" i="14" s="1"/>
  <c r="AF23" i="20"/>
  <c r="F71" i="11"/>
  <c r="G11" i="14"/>
  <c r="G40" i="7"/>
  <c r="H9" i="14" s="1"/>
  <c r="Y71" i="26"/>
  <c r="AF22" i="26"/>
  <c r="F45" i="23"/>
  <c r="AF32" i="29"/>
  <c r="AF23" i="26"/>
  <c r="AM22" i="14"/>
  <c r="O27" i="6"/>
  <c r="R32" i="32"/>
  <c r="H17" i="14"/>
  <c r="F71" i="26"/>
  <c r="AF26" i="26"/>
  <c r="O35" i="34"/>
  <c r="AF20" i="29"/>
  <c r="AF34" i="35"/>
  <c r="M35" i="34"/>
  <c r="F68" i="20"/>
  <c r="Q21" i="16"/>
  <c r="F83" i="13"/>
  <c r="I163" i="1"/>
  <c r="X35" i="31"/>
  <c r="AF17" i="14" s="1"/>
  <c r="AG17" i="14" s="1"/>
  <c r="F48" i="33"/>
  <c r="H18" i="14"/>
  <c r="Q21" i="34"/>
  <c r="F34" i="29"/>
  <c r="Y45" i="23"/>
  <c r="AF22" i="20"/>
  <c r="X27" i="7"/>
  <c r="X26" i="7"/>
  <c r="F33" i="21"/>
  <c r="Y40" i="7"/>
  <c r="O22" i="6"/>
  <c r="N33" i="33" l="1"/>
  <c r="J46" i="34" s="1"/>
  <c r="K46" i="34" s="1"/>
  <c r="N19" i="33"/>
  <c r="J32" i="34" s="1"/>
  <c r="K32" i="34" s="1"/>
  <c r="Q47" i="34"/>
  <c r="N35" i="33"/>
  <c r="J48" i="34" s="1"/>
  <c r="K48" i="34" s="1"/>
  <c r="R48" i="34" s="1"/>
  <c r="S48" i="34" s="1"/>
  <c r="T48" i="34" s="1"/>
  <c r="N16" i="33"/>
  <c r="J29" i="34" s="1"/>
  <c r="K29" i="34" s="1"/>
  <c r="R29" i="34" s="1"/>
  <c r="S29" i="34" s="1"/>
  <c r="T29" i="34" s="1"/>
  <c r="R46" i="34"/>
  <c r="S46" i="34" s="1"/>
  <c r="T46" i="34" s="1"/>
  <c r="R60" i="35"/>
  <c r="Q33" i="34"/>
  <c r="R33" i="34" s="1"/>
  <c r="S33" i="34" s="1"/>
  <c r="T33" i="34" s="1"/>
  <c r="B34" i="35"/>
  <c r="B47" i="35"/>
  <c r="Y35" i="34"/>
  <c r="Y48" i="34"/>
  <c r="M36" i="34"/>
  <c r="Q36" i="34" s="1"/>
  <c r="R36" i="34" s="1"/>
  <c r="S36" i="34" s="1"/>
  <c r="T36" i="34" s="1"/>
  <c r="M49" i="34"/>
  <c r="Q49" i="34" s="1"/>
  <c r="W35" i="34"/>
  <c r="W48" i="34"/>
  <c r="N34" i="33"/>
  <c r="J47" i="34" s="1"/>
  <c r="K47" i="34" s="1"/>
  <c r="N36" i="33"/>
  <c r="J49" i="34" s="1"/>
  <c r="K49" i="34" s="1"/>
  <c r="N18" i="33"/>
  <c r="J31" i="34" s="1"/>
  <c r="K31" i="34" s="1"/>
  <c r="B41" i="33"/>
  <c r="B28" i="33"/>
  <c r="Q31" i="31"/>
  <c r="R31" i="31" s="1"/>
  <c r="R21" i="31"/>
  <c r="O35" i="28"/>
  <c r="K21" i="27"/>
  <c r="R35" i="29"/>
  <c r="N8" i="27"/>
  <c r="I21" i="27"/>
  <c r="N18" i="27"/>
  <c r="J31" i="28" s="1"/>
  <c r="K31" i="28" s="1"/>
  <c r="R31" i="28" s="1"/>
  <c r="N9" i="27"/>
  <c r="J22" i="28" s="1"/>
  <c r="K22" i="28" s="1"/>
  <c r="R22" i="28" s="1"/>
  <c r="S22" i="28" s="1"/>
  <c r="T22" i="28" s="1"/>
  <c r="N19" i="27"/>
  <c r="J32" i="28" s="1"/>
  <c r="K32" i="28" s="1"/>
  <c r="R32" i="28" s="1"/>
  <c r="N15" i="24"/>
  <c r="B37" i="26"/>
  <c r="B54" i="26"/>
  <c r="W38" i="25"/>
  <c r="W55" i="25"/>
  <c r="N10" i="24"/>
  <c r="Y38" i="25"/>
  <c r="Y55" i="25"/>
  <c r="B24" i="24"/>
  <c r="B41" i="24"/>
  <c r="Q33" i="22"/>
  <c r="Q29" i="22"/>
  <c r="Q30" i="22"/>
  <c r="R30" i="22" s="1"/>
  <c r="S30" i="22" s="1"/>
  <c r="T30" i="22" s="1"/>
  <c r="N29" i="21"/>
  <c r="J42" i="22" s="1"/>
  <c r="K42" i="22" s="1"/>
  <c r="N16" i="21"/>
  <c r="J29" i="22" s="1"/>
  <c r="K29" i="22" s="1"/>
  <c r="N17" i="21"/>
  <c r="J30" i="22" s="1"/>
  <c r="K30" i="22" s="1"/>
  <c r="N28" i="21"/>
  <c r="J41" i="22" s="1"/>
  <c r="K41" i="22" s="1"/>
  <c r="R41" i="22" s="1"/>
  <c r="Q40" i="22"/>
  <c r="N18" i="21"/>
  <c r="J31" i="22" s="1"/>
  <c r="K31" i="22" s="1"/>
  <c r="N19" i="21"/>
  <c r="J32" i="22" s="1"/>
  <c r="K32" i="22" s="1"/>
  <c r="N26" i="21"/>
  <c r="J39" i="22" s="1"/>
  <c r="K39" i="22" s="1"/>
  <c r="D34" i="22"/>
  <c r="D33" i="23" s="1"/>
  <c r="C33" i="23"/>
  <c r="R34" i="22"/>
  <c r="S34" i="22" s="1"/>
  <c r="T34" i="22" s="1"/>
  <c r="R44" i="22"/>
  <c r="S44" i="22" s="1"/>
  <c r="T44" i="22" s="1"/>
  <c r="Q38" i="22"/>
  <c r="B35" i="23"/>
  <c r="B25" i="23"/>
  <c r="S37" i="22"/>
  <c r="T37" i="22" s="1"/>
  <c r="Q35" i="22"/>
  <c r="Q31" i="22"/>
  <c r="R31" i="22" s="1"/>
  <c r="S31" i="22" s="1"/>
  <c r="T31" i="22" s="1"/>
  <c r="N15" i="21"/>
  <c r="J28" i="22" s="1"/>
  <c r="K28" i="22" s="1"/>
  <c r="R28" i="22" s="1"/>
  <c r="N25" i="21"/>
  <c r="J38" i="22" s="1"/>
  <c r="K38" i="22" s="1"/>
  <c r="N20" i="21"/>
  <c r="J33" i="22" s="1"/>
  <c r="K33" i="22" s="1"/>
  <c r="R33" i="22" s="1"/>
  <c r="S33" i="22" s="1"/>
  <c r="T33" i="22" s="1"/>
  <c r="Y36" i="22"/>
  <c r="Y26" i="22"/>
  <c r="B35" i="22"/>
  <c r="U24" i="22"/>
  <c r="W36" i="22"/>
  <c r="W26" i="22"/>
  <c r="R32" i="22"/>
  <c r="S32" i="22" s="1"/>
  <c r="T32" i="22" s="1"/>
  <c r="N30" i="21"/>
  <c r="J43" i="22" s="1"/>
  <c r="K43" i="22" s="1"/>
  <c r="R43" i="22" s="1"/>
  <c r="Q42" i="22"/>
  <c r="R42" i="22" s="1"/>
  <c r="N22" i="21"/>
  <c r="J35" i="22" s="1"/>
  <c r="K35" i="22" s="1"/>
  <c r="N27" i="21"/>
  <c r="J40" i="22" s="1"/>
  <c r="K40" i="22" s="1"/>
  <c r="Q39" i="22"/>
  <c r="R39" i="22" s="1"/>
  <c r="B23" i="21"/>
  <c r="B13" i="21"/>
  <c r="Q40" i="19"/>
  <c r="R25" i="19"/>
  <c r="S25" i="19" s="1"/>
  <c r="T25" i="19" s="1"/>
  <c r="Q28" i="19"/>
  <c r="N39" i="18"/>
  <c r="J52" i="19" s="1"/>
  <c r="K52" i="19" s="1"/>
  <c r="R52" i="19" s="1"/>
  <c r="S52" i="19" s="1"/>
  <c r="T52" i="19" s="1"/>
  <c r="Q55" i="19"/>
  <c r="N42" i="18"/>
  <c r="J55" i="19" s="1"/>
  <c r="K55" i="19" s="1"/>
  <c r="N44" i="18"/>
  <c r="J57" i="19" s="1"/>
  <c r="K57" i="19" s="1"/>
  <c r="R57" i="19" s="1"/>
  <c r="S57" i="19" s="1"/>
  <c r="T57" i="19" s="1"/>
  <c r="N45" i="18"/>
  <c r="J58" i="19" s="1"/>
  <c r="K58" i="19" s="1"/>
  <c r="N38" i="18"/>
  <c r="J51" i="19" s="1"/>
  <c r="K51" i="19" s="1"/>
  <c r="N40" i="18"/>
  <c r="J53" i="19" s="1"/>
  <c r="K53" i="19" s="1"/>
  <c r="N41" i="18"/>
  <c r="J54" i="19" s="1"/>
  <c r="K54" i="19" s="1"/>
  <c r="Q38" i="19"/>
  <c r="Q35" i="19"/>
  <c r="Q53" i="19"/>
  <c r="Q58" i="19"/>
  <c r="B36" i="20"/>
  <c r="B52" i="20"/>
  <c r="N29" i="18"/>
  <c r="J42" i="19" s="1"/>
  <c r="K42" i="19" s="1"/>
  <c r="R42" i="19" s="1"/>
  <c r="S42" i="19" s="1"/>
  <c r="T42" i="19" s="1"/>
  <c r="N25" i="18"/>
  <c r="J38" i="19" s="1"/>
  <c r="K38" i="19" s="1"/>
  <c r="N26" i="18"/>
  <c r="J39" i="19" s="1"/>
  <c r="K39" i="19" s="1"/>
  <c r="R39" i="19" s="1"/>
  <c r="S39" i="19" s="1"/>
  <c r="T39" i="19" s="1"/>
  <c r="Y36" i="19"/>
  <c r="Y52" i="19"/>
  <c r="Q54" i="19"/>
  <c r="R55" i="19"/>
  <c r="N43" i="18"/>
  <c r="J56" i="19" s="1"/>
  <c r="K56" i="19" s="1"/>
  <c r="R56" i="19" s="1"/>
  <c r="W37" i="19"/>
  <c r="W53" i="19"/>
  <c r="Q51" i="19"/>
  <c r="Q63" i="16"/>
  <c r="Q53" i="16"/>
  <c r="Q51" i="16"/>
  <c r="Q60" i="16"/>
  <c r="Q43" i="16"/>
  <c r="Q25" i="16"/>
  <c r="Q37" i="16"/>
  <c r="Q54" i="16"/>
  <c r="Q31" i="16"/>
  <c r="N31" i="15"/>
  <c r="Q61" i="16"/>
  <c r="Q46" i="16"/>
  <c r="Q72" i="16"/>
  <c r="Q58" i="16"/>
  <c r="Q86" i="16"/>
  <c r="Q48" i="16"/>
  <c r="Q57" i="16"/>
  <c r="Q68" i="16"/>
  <c r="N29" i="15"/>
  <c r="N55" i="15"/>
  <c r="J68" i="16" s="1"/>
  <c r="K68" i="16" s="1"/>
  <c r="N72" i="15"/>
  <c r="J85" i="16" s="1"/>
  <c r="K85" i="16" s="1"/>
  <c r="R85" i="16" s="1"/>
  <c r="S85" i="16" s="1"/>
  <c r="T85" i="16" s="1"/>
  <c r="N70" i="15"/>
  <c r="J83" i="16" s="1"/>
  <c r="K83" i="16" s="1"/>
  <c r="R83" i="16" s="1"/>
  <c r="S83" i="16" s="1"/>
  <c r="T83" i="16" s="1"/>
  <c r="N74" i="15"/>
  <c r="J87" i="16" s="1"/>
  <c r="K87" i="16" s="1"/>
  <c r="R87" i="16" s="1"/>
  <c r="N54" i="15"/>
  <c r="J67" i="16" s="1"/>
  <c r="K67" i="16" s="1"/>
  <c r="R67" i="16" s="1"/>
  <c r="S67" i="16" s="1"/>
  <c r="T67" i="16" s="1"/>
  <c r="N62" i="15"/>
  <c r="J75" i="16" s="1"/>
  <c r="K75" i="16" s="1"/>
  <c r="R75" i="16" s="1"/>
  <c r="N59" i="15"/>
  <c r="J72" i="16" s="1"/>
  <c r="K72" i="16" s="1"/>
  <c r="N73" i="15"/>
  <c r="J86" i="16" s="1"/>
  <c r="K86" i="16" s="1"/>
  <c r="Q81" i="16"/>
  <c r="Q74" i="16"/>
  <c r="B50" i="17"/>
  <c r="B74" i="17"/>
  <c r="Q45" i="16"/>
  <c r="Q78" i="16"/>
  <c r="N67" i="15"/>
  <c r="J80" i="16" s="1"/>
  <c r="K80" i="16" s="1"/>
  <c r="W44" i="16"/>
  <c r="W68" i="16"/>
  <c r="B32" i="16"/>
  <c r="U31" i="16"/>
  <c r="N66" i="15"/>
  <c r="J79" i="16" s="1"/>
  <c r="K79" i="16" s="1"/>
  <c r="Q80" i="16"/>
  <c r="N64" i="15"/>
  <c r="J77" i="16" s="1"/>
  <c r="K77" i="16" s="1"/>
  <c r="N75" i="15"/>
  <c r="J88" i="16" s="1"/>
  <c r="K88" i="16" s="1"/>
  <c r="R88" i="16" s="1"/>
  <c r="N65" i="15"/>
  <c r="J78" i="16" s="1"/>
  <c r="K78" i="16" s="1"/>
  <c r="Q84" i="16"/>
  <c r="N71" i="15"/>
  <c r="J84" i="16" s="1"/>
  <c r="K84" i="16" s="1"/>
  <c r="Q69" i="16"/>
  <c r="Q73" i="16"/>
  <c r="N69" i="15"/>
  <c r="J82" i="16" s="1"/>
  <c r="K82" i="16" s="1"/>
  <c r="R82" i="16" s="1"/>
  <c r="Q70" i="16"/>
  <c r="N61" i="15"/>
  <c r="J74" i="16" s="1"/>
  <c r="K74" i="16" s="1"/>
  <c r="N76" i="15"/>
  <c r="J89" i="16" s="1"/>
  <c r="K89" i="16" s="1"/>
  <c r="R89" i="16" s="1"/>
  <c r="N57" i="15"/>
  <c r="J70" i="16" s="1"/>
  <c r="K70" i="16" s="1"/>
  <c r="Q50" i="16"/>
  <c r="N60" i="15"/>
  <c r="J73" i="16" s="1"/>
  <c r="K73" i="16" s="1"/>
  <c r="N56" i="15"/>
  <c r="J69" i="16" s="1"/>
  <c r="K69" i="16" s="1"/>
  <c r="Y45" i="16"/>
  <c r="Y69" i="16"/>
  <c r="Q79" i="16"/>
  <c r="N77" i="15"/>
  <c r="J90" i="16" s="1"/>
  <c r="K90" i="16" s="1"/>
  <c r="R90" i="16" s="1"/>
  <c r="N63" i="15"/>
  <c r="J76" i="16" s="1"/>
  <c r="K76" i="16" s="1"/>
  <c r="R76" i="16" s="1"/>
  <c r="N68" i="15"/>
  <c r="J81" i="16" s="1"/>
  <c r="K81" i="16" s="1"/>
  <c r="N58" i="15"/>
  <c r="J71" i="16" s="1"/>
  <c r="K71" i="16" s="1"/>
  <c r="R71" i="16" s="1"/>
  <c r="Q77" i="16"/>
  <c r="Q55" i="16"/>
  <c r="D29" i="16"/>
  <c r="D28" i="17" s="1"/>
  <c r="C28" i="17"/>
  <c r="B18" i="15"/>
  <c r="B41" i="13"/>
  <c r="B62" i="13"/>
  <c r="Y42" i="12"/>
  <c r="Y63" i="12"/>
  <c r="W41" i="12"/>
  <c r="W62" i="12"/>
  <c r="B28" i="11"/>
  <c r="B49" i="11"/>
  <c r="Q32" i="6"/>
  <c r="Q25" i="6"/>
  <c r="Q21" i="6"/>
  <c r="N22" i="5"/>
  <c r="J35" i="6" s="1"/>
  <c r="K35" i="6" s="1"/>
  <c r="D33" i="6"/>
  <c r="D32" i="7" s="1"/>
  <c r="C32" i="7"/>
  <c r="N28" i="6"/>
  <c r="Q28" i="6" s="1"/>
  <c r="N38" i="6"/>
  <c r="Q38" i="6" s="1"/>
  <c r="R38" i="6" s="1"/>
  <c r="S38" i="6" s="1"/>
  <c r="T38" i="6" s="1"/>
  <c r="Q36" i="6"/>
  <c r="R36" i="6" s="1"/>
  <c r="B26" i="7"/>
  <c r="B36" i="7"/>
  <c r="R32" i="6"/>
  <c r="S32" i="6" s="1"/>
  <c r="T32" i="6" s="1"/>
  <c r="R34" i="6"/>
  <c r="S34" i="6" s="1"/>
  <c r="T34" i="6" s="1"/>
  <c r="N27" i="6"/>
  <c r="Q27" i="6" s="1"/>
  <c r="R27" i="6" s="1"/>
  <c r="N37" i="6"/>
  <c r="Q37" i="6" s="1"/>
  <c r="R37" i="6" s="1"/>
  <c r="S37" i="6" s="1"/>
  <c r="T37" i="6" s="1"/>
  <c r="N23" i="6"/>
  <c r="Q23" i="6" s="1"/>
  <c r="N33" i="6"/>
  <c r="Q33" i="6" s="1"/>
  <c r="R33" i="6" s="1"/>
  <c r="Q35" i="6"/>
  <c r="W25" i="6"/>
  <c r="W35" i="6"/>
  <c r="U34" i="6"/>
  <c r="E34" i="6"/>
  <c r="E33" i="7" s="1"/>
  <c r="C34" i="6"/>
  <c r="B25" i="6"/>
  <c r="B35" i="6"/>
  <c r="U24" i="6"/>
  <c r="Y26" i="6"/>
  <c r="Y36" i="6"/>
  <c r="N18" i="5"/>
  <c r="J31" i="6" s="1"/>
  <c r="K31" i="6" s="1"/>
  <c r="R31" i="6" s="1"/>
  <c r="B12" i="5"/>
  <c r="B22" i="5"/>
  <c r="C25" i="6"/>
  <c r="E25" i="6"/>
  <c r="E24" i="7" s="1"/>
  <c r="C24" i="6"/>
  <c r="E24" i="6"/>
  <c r="E23" i="7" s="1"/>
  <c r="D127" i="1"/>
  <c r="D126" i="2" s="1"/>
  <c r="C126" i="2"/>
  <c r="B129" i="1"/>
  <c r="U81" i="1"/>
  <c r="B82" i="1"/>
  <c r="U128" i="1"/>
  <c r="E128" i="1"/>
  <c r="E127" i="2" s="1"/>
  <c r="C128" i="1"/>
  <c r="B95" i="4"/>
  <c r="B142" i="4"/>
  <c r="AE14" i="14"/>
  <c r="N23" i="18"/>
  <c r="J36" i="19" s="1"/>
  <c r="K36" i="19" s="1"/>
  <c r="J23" i="12"/>
  <c r="K23" i="12" s="1"/>
  <c r="R23" i="12" s="1"/>
  <c r="S23" i="12" s="1"/>
  <c r="T23" i="12" s="1"/>
  <c r="J22" i="12"/>
  <c r="K22" i="12" s="1"/>
  <c r="R22" i="12" s="1"/>
  <c r="S22" i="12" s="1"/>
  <c r="T22" i="12" s="1"/>
  <c r="AE10" i="14"/>
  <c r="AE12" i="14"/>
  <c r="AE13" i="14"/>
  <c r="J25" i="22"/>
  <c r="K25" i="22" s="1"/>
  <c r="R25" i="22" s="1"/>
  <c r="S25" i="22" s="1"/>
  <c r="T25" i="22" s="1"/>
  <c r="N22" i="33"/>
  <c r="J35" i="34" s="1"/>
  <c r="K35" i="34" s="1"/>
  <c r="AE15" i="14"/>
  <c r="AE9" i="14"/>
  <c r="N10" i="5"/>
  <c r="J23" i="6" s="1"/>
  <c r="K23" i="6" s="1"/>
  <c r="J24" i="12"/>
  <c r="K24" i="12" s="1"/>
  <c r="R24" i="12" s="1"/>
  <c r="S24" i="12" s="1"/>
  <c r="T24" i="12" s="1"/>
  <c r="AE16" i="14"/>
  <c r="Y35" i="29"/>
  <c r="AE18" i="14"/>
  <c r="B12" i="14"/>
  <c r="W13" i="12"/>
  <c r="AD12" i="13" s="1"/>
  <c r="N14" i="21"/>
  <c r="J23" i="22"/>
  <c r="K23" i="22" s="1"/>
  <c r="R23" i="22" s="1"/>
  <c r="S23" i="22" s="1"/>
  <c r="T23" i="22" s="1"/>
  <c r="N28" i="18"/>
  <c r="J41" i="19" s="1"/>
  <c r="K41" i="19" s="1"/>
  <c r="R41" i="19" s="1"/>
  <c r="S41" i="19" s="1"/>
  <c r="T41" i="19" s="1"/>
  <c r="J38" i="16"/>
  <c r="K38" i="16" s="1"/>
  <c r="R38" i="16" s="1"/>
  <c r="J41" i="16"/>
  <c r="K41" i="16" s="1"/>
  <c r="R41" i="16" s="1"/>
  <c r="J57" i="16"/>
  <c r="K57" i="16" s="1"/>
  <c r="J26" i="16"/>
  <c r="K26" i="16" s="1"/>
  <c r="R26" i="16" s="1"/>
  <c r="S26" i="16" s="1"/>
  <c r="T26" i="16" s="1"/>
  <c r="J25" i="16"/>
  <c r="K25" i="16" s="1"/>
  <c r="J65" i="16"/>
  <c r="K65" i="16" s="1"/>
  <c r="J45" i="16"/>
  <c r="K45" i="16" s="1"/>
  <c r="J42" i="16"/>
  <c r="K42" i="16" s="1"/>
  <c r="R42" i="16" s="1"/>
  <c r="J46" i="16"/>
  <c r="K46" i="16" s="1"/>
  <c r="J47" i="16"/>
  <c r="K47" i="16" s="1"/>
  <c r="R47" i="16" s="1"/>
  <c r="J61" i="16"/>
  <c r="K61" i="16" s="1"/>
  <c r="J23" i="16"/>
  <c r="K23" i="16" s="1"/>
  <c r="R23" i="16" s="1"/>
  <c r="S23" i="16" s="1"/>
  <c r="T23" i="16" s="1"/>
  <c r="J44" i="16"/>
  <c r="K44" i="16" s="1"/>
  <c r="R44" i="16" s="1"/>
  <c r="J66" i="16"/>
  <c r="K66" i="16" s="1"/>
  <c r="J29" i="16"/>
  <c r="K29" i="16" s="1"/>
  <c r="R29" i="16" s="1"/>
  <c r="S29" i="16" s="1"/>
  <c r="T29" i="16" s="1"/>
  <c r="J50" i="16"/>
  <c r="K50" i="16" s="1"/>
  <c r="J40" i="16"/>
  <c r="K40" i="16" s="1"/>
  <c r="R40" i="16" s="1"/>
  <c r="J58" i="16"/>
  <c r="K58" i="16" s="1"/>
  <c r="N9" i="15"/>
  <c r="J64" i="16"/>
  <c r="K64" i="16" s="1"/>
  <c r="R64" i="16" s="1"/>
  <c r="J52" i="16"/>
  <c r="K52" i="16" s="1"/>
  <c r="R52" i="16" s="1"/>
  <c r="J63" i="16"/>
  <c r="K63" i="16" s="1"/>
  <c r="R63" i="16" s="1"/>
  <c r="J30" i="16"/>
  <c r="K30" i="16" s="1"/>
  <c r="R30" i="16" s="1"/>
  <c r="J27" i="16"/>
  <c r="K27" i="16" s="1"/>
  <c r="R27" i="16" s="1"/>
  <c r="S27" i="16" s="1"/>
  <c r="T27" i="16" s="1"/>
  <c r="J55" i="16"/>
  <c r="K55" i="16" s="1"/>
  <c r="J91" i="16"/>
  <c r="K91" i="16" s="1"/>
  <c r="R91" i="16" s="1"/>
  <c r="J39" i="16"/>
  <c r="K39" i="16" s="1"/>
  <c r="R39" i="16" s="1"/>
  <c r="J28" i="16"/>
  <c r="K28" i="16" s="1"/>
  <c r="R28" i="16" s="1"/>
  <c r="S28" i="16" s="1"/>
  <c r="T28" i="16" s="1"/>
  <c r="J31" i="16"/>
  <c r="K31" i="16" s="1"/>
  <c r="R31" i="16" s="1"/>
  <c r="J33" i="16"/>
  <c r="K33" i="16" s="1"/>
  <c r="R33" i="16" s="1"/>
  <c r="J56" i="16"/>
  <c r="K56" i="16" s="1"/>
  <c r="R56" i="16" s="1"/>
  <c r="S56" i="16" s="1"/>
  <c r="T56" i="16" s="1"/>
  <c r="J51" i="16"/>
  <c r="K51" i="16" s="1"/>
  <c r="J34" i="16"/>
  <c r="K34" i="16" s="1"/>
  <c r="R34" i="16" s="1"/>
  <c r="R23" i="34"/>
  <c r="S23" i="34" s="1"/>
  <c r="T23" i="34" s="1"/>
  <c r="S38" i="34"/>
  <c r="T38" i="34" s="1"/>
  <c r="R25" i="34"/>
  <c r="S25" i="34" s="1"/>
  <c r="T25" i="34" s="1"/>
  <c r="B26" i="34"/>
  <c r="U25" i="34"/>
  <c r="C25" i="34"/>
  <c r="E25" i="34"/>
  <c r="E24" i="35" s="1"/>
  <c r="S21" i="31"/>
  <c r="T21" i="31" s="1"/>
  <c r="C22" i="26"/>
  <c r="N12" i="24"/>
  <c r="J25" i="25" s="1"/>
  <c r="K25" i="25" s="1"/>
  <c r="R25" i="25" s="1"/>
  <c r="N16" i="24"/>
  <c r="J29" i="25" s="1"/>
  <c r="K29" i="25" s="1"/>
  <c r="R29" i="25" s="1"/>
  <c r="S29" i="25" s="1"/>
  <c r="T29" i="25" s="1"/>
  <c r="N17" i="24"/>
  <c r="J30" i="25" s="1"/>
  <c r="K30" i="25" s="1"/>
  <c r="R30" i="25" s="1"/>
  <c r="S30" i="25" s="1"/>
  <c r="T30" i="25" s="1"/>
  <c r="N8" i="24"/>
  <c r="J21" i="25" s="1"/>
  <c r="J27" i="25"/>
  <c r="K27" i="25" s="1"/>
  <c r="R27" i="25" s="1"/>
  <c r="S27" i="25" s="1"/>
  <c r="T27" i="25" s="1"/>
  <c r="J28" i="25"/>
  <c r="K28" i="25" s="1"/>
  <c r="R28" i="25" s="1"/>
  <c r="S28" i="25" s="1"/>
  <c r="T28" i="25" s="1"/>
  <c r="J23" i="25"/>
  <c r="K23" i="25" s="1"/>
  <c r="R23" i="25" s="1"/>
  <c r="N11" i="24"/>
  <c r="S34" i="25"/>
  <c r="T34" i="25" s="1"/>
  <c r="S35" i="25"/>
  <c r="T35" i="25" s="1"/>
  <c r="S39" i="25"/>
  <c r="T39" i="25" s="1"/>
  <c r="S38" i="25"/>
  <c r="T38" i="25" s="1"/>
  <c r="S36" i="25"/>
  <c r="T36" i="25" s="1"/>
  <c r="S37" i="25"/>
  <c r="T37" i="25" s="1"/>
  <c r="S40" i="25"/>
  <c r="T40" i="25" s="1"/>
  <c r="S41" i="25"/>
  <c r="T41" i="25" s="1"/>
  <c r="N13" i="24"/>
  <c r="J26" i="25" s="1"/>
  <c r="K26" i="25" s="1"/>
  <c r="R26" i="25" s="1"/>
  <c r="S26" i="25" s="1"/>
  <c r="T26" i="25" s="1"/>
  <c r="B26" i="25"/>
  <c r="U25" i="25"/>
  <c r="C25" i="25"/>
  <c r="E25" i="25"/>
  <c r="E24" i="26" s="1"/>
  <c r="M58" i="24"/>
  <c r="D24" i="25"/>
  <c r="D23" i="26" s="1"/>
  <c r="C23" i="26"/>
  <c r="C22" i="23"/>
  <c r="B25" i="22"/>
  <c r="C24" i="22"/>
  <c r="E24" i="22"/>
  <c r="E23" i="23" s="1"/>
  <c r="N8" i="21"/>
  <c r="J21" i="22" s="1"/>
  <c r="R36" i="19"/>
  <c r="S36" i="19" s="1"/>
  <c r="T36" i="19" s="1"/>
  <c r="N24" i="18"/>
  <c r="J37" i="19" s="1"/>
  <c r="K37" i="19" s="1"/>
  <c r="R37" i="19" s="1"/>
  <c r="N27" i="18"/>
  <c r="J40" i="19" s="1"/>
  <c r="K40" i="19" s="1"/>
  <c r="R40" i="19" s="1"/>
  <c r="S40" i="19" s="1"/>
  <c r="T40" i="19" s="1"/>
  <c r="N22" i="18"/>
  <c r="J35" i="19" s="1"/>
  <c r="K35" i="19" s="1"/>
  <c r="R35" i="19" s="1"/>
  <c r="S35" i="19" s="1"/>
  <c r="T35" i="19" s="1"/>
  <c r="N9" i="18"/>
  <c r="J22" i="19" s="1"/>
  <c r="K22" i="19" s="1"/>
  <c r="R22" i="19" s="1"/>
  <c r="S22" i="19" s="1"/>
  <c r="T22" i="19" s="1"/>
  <c r="N21" i="18"/>
  <c r="J34" i="19" s="1"/>
  <c r="K34" i="19" s="1"/>
  <c r="R34" i="19" s="1"/>
  <c r="S34" i="19" s="1"/>
  <c r="T34" i="19" s="1"/>
  <c r="N20" i="18"/>
  <c r="J33" i="19" s="1"/>
  <c r="K33" i="19" s="1"/>
  <c r="R33" i="19" s="1"/>
  <c r="N13" i="18"/>
  <c r="J26" i="19" s="1"/>
  <c r="K26" i="19" s="1"/>
  <c r="R26" i="19" s="1"/>
  <c r="S26" i="19" s="1"/>
  <c r="T26" i="19" s="1"/>
  <c r="R30" i="19"/>
  <c r="U25" i="19"/>
  <c r="B26" i="19"/>
  <c r="R23" i="19"/>
  <c r="S23" i="19" s="1"/>
  <c r="T23" i="19" s="1"/>
  <c r="K21" i="19"/>
  <c r="R21" i="19" s="1"/>
  <c r="B12" i="18"/>
  <c r="N8" i="11"/>
  <c r="U25" i="12"/>
  <c r="B26" i="12"/>
  <c r="C22" i="13"/>
  <c r="S26" i="9"/>
  <c r="T26" i="9" s="1"/>
  <c r="S28" i="9"/>
  <c r="T28" i="9" s="1"/>
  <c r="S27" i="9"/>
  <c r="T27" i="9" s="1"/>
  <c r="S31" i="9"/>
  <c r="T31" i="9" s="1"/>
  <c r="S32" i="9"/>
  <c r="T32" i="9" s="1"/>
  <c r="M35" i="8"/>
  <c r="N11" i="5"/>
  <c r="J24" i="6" s="1"/>
  <c r="K24" i="6" s="1"/>
  <c r="K27" i="5"/>
  <c r="O41" i="6"/>
  <c r="Y41" i="7" s="1"/>
  <c r="N15" i="5"/>
  <c r="J28" i="6" s="1"/>
  <c r="K28" i="6" s="1"/>
  <c r="N12" i="5"/>
  <c r="J25" i="6" s="1"/>
  <c r="K25" i="6" s="1"/>
  <c r="N14" i="5"/>
  <c r="J27" i="6" s="1"/>
  <c r="K27" i="6" s="1"/>
  <c r="J21" i="6"/>
  <c r="M27" i="5"/>
  <c r="N13" i="5"/>
  <c r="J26" i="6" s="1"/>
  <c r="K26" i="6" s="1"/>
  <c r="R26" i="6" s="1"/>
  <c r="S26" i="6" s="1"/>
  <c r="T26" i="6" s="1"/>
  <c r="I27" i="5"/>
  <c r="N9" i="5"/>
  <c r="J22" i="6" s="1"/>
  <c r="K22" i="6" s="1"/>
  <c r="N26" i="5"/>
  <c r="J39" i="6" s="1"/>
  <c r="K39" i="6" s="1"/>
  <c r="R39" i="6" s="1"/>
  <c r="S39" i="6" s="1"/>
  <c r="T39" i="6" s="1"/>
  <c r="D8" i="14"/>
  <c r="D22" i="14" s="1"/>
  <c r="E56" i="1"/>
  <c r="E55" i="2" s="1"/>
  <c r="E55" i="1"/>
  <c r="E54" i="2" s="1"/>
  <c r="C56" i="1"/>
  <c r="C55" i="2" s="1"/>
  <c r="C55" i="1"/>
  <c r="C54" i="2" s="1"/>
  <c r="C46" i="1"/>
  <c r="D46" i="1" s="1"/>
  <c r="C49" i="1"/>
  <c r="E46" i="1"/>
  <c r="E45" i="2" s="1"/>
  <c r="E47" i="1"/>
  <c r="E46" i="2" s="1"/>
  <c r="C47" i="1"/>
  <c r="E48" i="1"/>
  <c r="E47" i="2" s="1"/>
  <c r="E49" i="1"/>
  <c r="E48" i="2" s="1"/>
  <c r="C48" i="1"/>
  <c r="C45" i="1"/>
  <c r="D45" i="1" s="1"/>
  <c r="E45" i="1"/>
  <c r="E44" i="2" s="1"/>
  <c r="E44" i="1"/>
  <c r="E43" i="2" s="1"/>
  <c r="E43" i="1"/>
  <c r="E42" i="2" s="1"/>
  <c r="E41" i="1"/>
  <c r="E40" i="2" s="1"/>
  <c r="E42" i="1"/>
  <c r="E41" i="2" s="1"/>
  <c r="C41" i="1"/>
  <c r="C42" i="1"/>
  <c r="D42" i="1" s="1"/>
  <c r="C43" i="1"/>
  <c r="D43" i="1" s="1"/>
  <c r="C44" i="1"/>
  <c r="C38" i="1"/>
  <c r="C36" i="1"/>
  <c r="E38" i="1"/>
  <c r="E37" i="2" s="1"/>
  <c r="E36" i="1"/>
  <c r="E35" i="2" s="1"/>
  <c r="E37" i="1"/>
  <c r="E36" i="2" s="1"/>
  <c r="C39" i="1"/>
  <c r="C37" i="1"/>
  <c r="E39" i="1"/>
  <c r="E38" i="2" s="1"/>
  <c r="E40" i="1"/>
  <c r="E39" i="2" s="1"/>
  <c r="C40" i="1"/>
  <c r="C32" i="1"/>
  <c r="E32" i="1"/>
  <c r="E31" i="2" s="1"/>
  <c r="E33" i="1"/>
  <c r="E32" i="2" s="1"/>
  <c r="C33" i="1"/>
  <c r="E34" i="2"/>
  <c r="R32" i="34"/>
  <c r="S32" i="34" s="1"/>
  <c r="T32" i="34" s="1"/>
  <c r="O61" i="34"/>
  <c r="Y61" i="35" s="1"/>
  <c r="R30" i="34"/>
  <c r="S30" i="34" s="1"/>
  <c r="T30" i="34" s="1"/>
  <c r="R22" i="34"/>
  <c r="S22" i="34" s="1"/>
  <c r="T22" i="34" s="1"/>
  <c r="R34" i="34"/>
  <c r="S34" i="34" s="1"/>
  <c r="T34" i="34" s="1"/>
  <c r="N14" i="33"/>
  <c r="J27" i="34" s="1"/>
  <c r="K27" i="34" s="1"/>
  <c r="R27" i="34" s="1"/>
  <c r="S27" i="34" s="1"/>
  <c r="T27" i="34" s="1"/>
  <c r="X61" i="34"/>
  <c r="AF18" i="14" s="1"/>
  <c r="AG18" i="14" s="1"/>
  <c r="M47" i="33"/>
  <c r="R31" i="34"/>
  <c r="S31" i="34" s="1"/>
  <c r="T31" i="34" s="1"/>
  <c r="N8" i="33"/>
  <c r="I47" i="33"/>
  <c r="K47" i="33"/>
  <c r="Q35" i="34"/>
  <c r="N11" i="33"/>
  <c r="J24" i="34" s="1"/>
  <c r="K24" i="34" s="1"/>
  <c r="R24" i="34" s="1"/>
  <c r="N13" i="33"/>
  <c r="J26" i="34" s="1"/>
  <c r="K26" i="34" s="1"/>
  <c r="R26" i="34" s="1"/>
  <c r="S26" i="34" s="1"/>
  <c r="T26" i="34" s="1"/>
  <c r="N15" i="33"/>
  <c r="J28" i="34" s="1"/>
  <c r="K28" i="34" s="1"/>
  <c r="R28" i="34" s="1"/>
  <c r="S28" i="34" s="1"/>
  <c r="T28" i="34" s="1"/>
  <c r="AF32" i="32"/>
  <c r="AF34" i="32" s="1"/>
  <c r="M33" i="31"/>
  <c r="Q33" i="31" s="1"/>
  <c r="R33" i="31" s="1"/>
  <c r="K58" i="24"/>
  <c r="N9" i="24"/>
  <c r="I58" i="24"/>
  <c r="X72" i="25"/>
  <c r="AF15" i="14" s="1"/>
  <c r="AG15" i="14" s="1"/>
  <c r="X46" i="22"/>
  <c r="AF14" i="14" s="1"/>
  <c r="AG14" i="14" s="1"/>
  <c r="M32" i="21"/>
  <c r="I32" i="21"/>
  <c r="N11" i="21"/>
  <c r="K32" i="21"/>
  <c r="N9" i="21"/>
  <c r="O46" i="22"/>
  <c r="Y46" i="23" s="1"/>
  <c r="M69" i="19"/>
  <c r="R69" i="20" s="1"/>
  <c r="S21" i="1"/>
  <c r="T21" i="1" s="1"/>
  <c r="N11" i="18"/>
  <c r="J24" i="19" s="1"/>
  <c r="K24" i="19" s="1"/>
  <c r="R24" i="19" s="1"/>
  <c r="N16" i="18"/>
  <c r="J29" i="19" s="1"/>
  <c r="K29" i="19" s="1"/>
  <c r="R29" i="19" s="1"/>
  <c r="S29" i="19" s="1"/>
  <c r="T29" i="19" s="1"/>
  <c r="AF68" i="20"/>
  <c r="S30" i="19"/>
  <c r="T30" i="19" s="1"/>
  <c r="N15" i="18"/>
  <c r="J28" i="19" s="1"/>
  <c r="K28" i="19" s="1"/>
  <c r="R28" i="19" s="1"/>
  <c r="S28" i="19" s="1"/>
  <c r="T28" i="19" s="1"/>
  <c r="N18" i="18"/>
  <c r="J31" i="19" s="1"/>
  <c r="K31" i="19" s="1"/>
  <c r="R31" i="19" s="1"/>
  <c r="S31" i="19" s="1"/>
  <c r="T31" i="19" s="1"/>
  <c r="M55" i="18"/>
  <c r="D24" i="19"/>
  <c r="D23" i="20" s="1"/>
  <c r="C23" i="20"/>
  <c r="K55" i="18"/>
  <c r="I55" i="18"/>
  <c r="O69" i="19"/>
  <c r="Y69" i="20" s="1"/>
  <c r="N14" i="18"/>
  <c r="J27" i="19" s="1"/>
  <c r="K27" i="19" s="1"/>
  <c r="R27" i="19" s="1"/>
  <c r="S27" i="19" s="1"/>
  <c r="T27" i="19" s="1"/>
  <c r="Q66" i="16"/>
  <c r="Q22" i="16"/>
  <c r="D21" i="17"/>
  <c r="N36" i="15"/>
  <c r="M79" i="15"/>
  <c r="K79" i="15"/>
  <c r="O93" i="16"/>
  <c r="Y93" i="17" s="1"/>
  <c r="N46" i="15"/>
  <c r="N49" i="15"/>
  <c r="N24" i="15"/>
  <c r="N40" i="15"/>
  <c r="N11" i="15"/>
  <c r="N41" i="15"/>
  <c r="N30" i="15"/>
  <c r="N22" i="15"/>
  <c r="J21" i="16"/>
  <c r="N19" i="15"/>
  <c r="N35" i="15"/>
  <c r="N47" i="15"/>
  <c r="X93" i="16"/>
  <c r="AF12" i="14" s="1"/>
  <c r="AG12" i="14" s="1"/>
  <c r="I79" i="15"/>
  <c r="N23" i="15"/>
  <c r="D24" i="12"/>
  <c r="D23" i="13" s="1"/>
  <c r="C23" i="13"/>
  <c r="Q21" i="12"/>
  <c r="C25" i="12"/>
  <c r="E25" i="12"/>
  <c r="E24" i="13" s="1"/>
  <c r="N12" i="11"/>
  <c r="X84" i="12"/>
  <c r="AF11" i="14" s="1"/>
  <c r="N21" i="30"/>
  <c r="AE11" i="14"/>
  <c r="K70" i="11"/>
  <c r="I70" i="11"/>
  <c r="J21" i="12"/>
  <c r="M70" i="11"/>
  <c r="J22" i="14"/>
  <c r="I35" i="8"/>
  <c r="K35" i="8"/>
  <c r="O49" i="9"/>
  <c r="Y49" i="10" s="1"/>
  <c r="J21" i="9"/>
  <c r="X49" i="9"/>
  <c r="AF10" i="14" s="1"/>
  <c r="S162" i="2"/>
  <c r="X8" i="14" s="1"/>
  <c r="AF60" i="35"/>
  <c r="AF92" i="17"/>
  <c r="S40" i="7"/>
  <c r="X9" i="14" s="1"/>
  <c r="Y162" i="2"/>
  <c r="X35" i="28"/>
  <c r="AF16" i="14" s="1"/>
  <c r="AF27" i="7"/>
  <c r="X69" i="19"/>
  <c r="AF13" i="14" s="1"/>
  <c r="AG13" i="14" s="1"/>
  <c r="AF20" i="23"/>
  <c r="AF45" i="23" s="1"/>
  <c r="M21" i="22"/>
  <c r="R45" i="23"/>
  <c r="Q21" i="28"/>
  <c r="O84" i="12"/>
  <c r="Y84" i="13" s="1"/>
  <c r="AF71" i="26"/>
  <c r="H8" i="14"/>
  <c r="X40" i="7"/>
  <c r="M41" i="6"/>
  <c r="R41" i="7" s="1"/>
  <c r="Q22" i="6"/>
  <c r="S33" i="28"/>
  <c r="T33" i="28" s="1"/>
  <c r="R83" i="13"/>
  <c r="M72" i="25"/>
  <c r="R72" i="26" s="1"/>
  <c r="AF26" i="7"/>
  <c r="Q65" i="16"/>
  <c r="R48" i="10"/>
  <c r="R34" i="32"/>
  <c r="M93" i="16"/>
  <c r="R93" i="17" s="1"/>
  <c r="AF34" i="29"/>
  <c r="N24" i="6"/>
  <c r="AF23" i="7"/>
  <c r="O72" i="25"/>
  <c r="Y72" i="26" s="1"/>
  <c r="X41" i="6"/>
  <c r="AF9" i="14" s="1"/>
  <c r="AG9" i="14" s="1"/>
  <c r="R47" i="34" l="1"/>
  <c r="R49" i="34"/>
  <c r="B35" i="35"/>
  <c r="B48" i="35"/>
  <c r="M61" i="34"/>
  <c r="R61" i="35" s="1"/>
  <c r="R35" i="34"/>
  <c r="S35" i="34" s="1"/>
  <c r="T35" i="34" s="1"/>
  <c r="S49" i="34"/>
  <c r="T49" i="34" s="1"/>
  <c r="S47" i="34"/>
  <c r="T47" i="34" s="1"/>
  <c r="Y36" i="34"/>
  <c r="Y49" i="34"/>
  <c r="W36" i="34"/>
  <c r="W49" i="34"/>
  <c r="B29" i="33"/>
  <c r="B42" i="33"/>
  <c r="S31" i="31"/>
  <c r="T31" i="31" s="1"/>
  <c r="AG16" i="14"/>
  <c r="S31" i="28"/>
  <c r="T31" i="28" s="1"/>
  <c r="S32" i="28"/>
  <c r="T32" i="28" s="1"/>
  <c r="J21" i="28"/>
  <c r="N21" i="27"/>
  <c r="B38" i="26"/>
  <c r="B55" i="26"/>
  <c r="Y39" i="25"/>
  <c r="Y56" i="25"/>
  <c r="W39" i="25"/>
  <c r="W56" i="25"/>
  <c r="B25" i="24"/>
  <c r="B42" i="24"/>
  <c r="R29" i="22"/>
  <c r="S29" i="22" s="1"/>
  <c r="T29" i="22" s="1"/>
  <c r="R38" i="22"/>
  <c r="R40" i="22"/>
  <c r="S40" i="22" s="1"/>
  <c r="T40" i="22" s="1"/>
  <c r="B36" i="23"/>
  <c r="B26" i="23"/>
  <c r="S42" i="22"/>
  <c r="T42" i="22" s="1"/>
  <c r="S39" i="22"/>
  <c r="T39" i="22" s="1"/>
  <c r="S43" i="22"/>
  <c r="T43" i="22" s="1"/>
  <c r="Y27" i="22"/>
  <c r="Y37" i="22"/>
  <c r="S28" i="22"/>
  <c r="T28" i="22" s="1"/>
  <c r="S41" i="22"/>
  <c r="T41" i="22" s="1"/>
  <c r="B36" i="22"/>
  <c r="B26" i="22"/>
  <c r="U25" i="22"/>
  <c r="W27" i="22"/>
  <c r="W37" i="22"/>
  <c r="S38" i="22"/>
  <c r="T38" i="22" s="1"/>
  <c r="R35" i="22"/>
  <c r="E35" i="22"/>
  <c r="E34" i="23" s="1"/>
  <c r="C35" i="22"/>
  <c r="U35" i="22"/>
  <c r="B24" i="21"/>
  <c r="B14" i="21"/>
  <c r="E26" i="22"/>
  <c r="E25" i="23" s="1"/>
  <c r="C26" i="22"/>
  <c r="R38" i="19"/>
  <c r="S38" i="19" s="1"/>
  <c r="T38" i="19" s="1"/>
  <c r="R58" i="19"/>
  <c r="S58" i="19" s="1"/>
  <c r="T58" i="19" s="1"/>
  <c r="R54" i="19"/>
  <c r="R53" i="19"/>
  <c r="S53" i="19" s="1"/>
  <c r="T53" i="19" s="1"/>
  <c r="R51" i="19"/>
  <c r="S51" i="19" s="1"/>
  <c r="T51" i="19" s="1"/>
  <c r="B37" i="20"/>
  <c r="B53" i="20"/>
  <c r="S56" i="19"/>
  <c r="T56" i="19" s="1"/>
  <c r="Y37" i="19"/>
  <c r="Y53" i="19"/>
  <c r="S54" i="19"/>
  <c r="T54" i="19" s="1"/>
  <c r="S55" i="19"/>
  <c r="T55" i="19" s="1"/>
  <c r="W38" i="19"/>
  <c r="W54" i="19"/>
  <c r="R61" i="16"/>
  <c r="R25" i="16"/>
  <c r="S25" i="16" s="1"/>
  <c r="T25" i="16" s="1"/>
  <c r="R58" i="16"/>
  <c r="R57" i="16"/>
  <c r="R51" i="16"/>
  <c r="S51" i="16" s="1"/>
  <c r="T51" i="16" s="1"/>
  <c r="R86" i="16"/>
  <c r="S86" i="16" s="1"/>
  <c r="T86" i="16" s="1"/>
  <c r="R46" i="16"/>
  <c r="S46" i="16" s="1"/>
  <c r="T46" i="16" s="1"/>
  <c r="R81" i="16"/>
  <c r="S81" i="16" s="1"/>
  <c r="T81" i="16" s="1"/>
  <c r="R84" i="16"/>
  <c r="S84" i="16" s="1"/>
  <c r="T84" i="16" s="1"/>
  <c r="R72" i="16"/>
  <c r="S72" i="16" s="1"/>
  <c r="T72" i="16" s="1"/>
  <c r="R50" i="16"/>
  <c r="S50" i="16" s="1"/>
  <c r="T50" i="16" s="1"/>
  <c r="R68" i="16"/>
  <c r="S68" i="16" s="1"/>
  <c r="T68" i="16" s="1"/>
  <c r="R78" i="16"/>
  <c r="S78" i="16" s="1"/>
  <c r="T78" i="16" s="1"/>
  <c r="R55" i="16"/>
  <c r="S55" i="16" s="1"/>
  <c r="T55" i="16" s="1"/>
  <c r="R45" i="16"/>
  <c r="S45" i="16" s="1"/>
  <c r="T45" i="16" s="1"/>
  <c r="B51" i="17"/>
  <c r="B75" i="17"/>
  <c r="R77" i="16"/>
  <c r="S77" i="16" s="1"/>
  <c r="T77" i="16" s="1"/>
  <c r="R70" i="16"/>
  <c r="S70" i="16" s="1"/>
  <c r="T70" i="16" s="1"/>
  <c r="R74" i="16"/>
  <c r="S74" i="16" s="1"/>
  <c r="T74" i="16" s="1"/>
  <c r="S90" i="16"/>
  <c r="T90" i="16" s="1"/>
  <c r="S88" i="16"/>
  <c r="T88" i="16" s="1"/>
  <c r="S87" i="16"/>
  <c r="T87" i="16" s="1"/>
  <c r="S89" i="16"/>
  <c r="T89" i="16" s="1"/>
  <c r="R79" i="16"/>
  <c r="Y46" i="16"/>
  <c r="Y70" i="16"/>
  <c r="B33" i="16"/>
  <c r="U32" i="16"/>
  <c r="S71" i="16"/>
  <c r="T71" i="16" s="1"/>
  <c r="S75" i="16"/>
  <c r="T75" i="16" s="1"/>
  <c r="R69" i="16"/>
  <c r="S82" i="16"/>
  <c r="T82" i="16" s="1"/>
  <c r="W45" i="16"/>
  <c r="W69" i="16"/>
  <c r="S76" i="16"/>
  <c r="T76" i="16" s="1"/>
  <c r="R73" i="16"/>
  <c r="R80" i="16"/>
  <c r="B19" i="15"/>
  <c r="B20" i="15" s="1"/>
  <c r="B21" i="15" s="1"/>
  <c r="B22" i="15" s="1"/>
  <c r="B23" i="15" s="1"/>
  <c r="B24" i="15" s="1"/>
  <c r="B25" i="15" s="1"/>
  <c r="B26" i="15" s="1"/>
  <c r="B27" i="15" s="1"/>
  <c r="B28" i="15" s="1"/>
  <c r="B29" i="15" s="1"/>
  <c r="B42" i="13"/>
  <c r="B63" i="13"/>
  <c r="W42" i="12"/>
  <c r="W63" i="12"/>
  <c r="Y43" i="12"/>
  <c r="Y64" i="12"/>
  <c r="B29" i="11"/>
  <c r="B50" i="11"/>
  <c r="R25" i="6"/>
  <c r="S25" i="6" s="1"/>
  <c r="T25" i="6" s="1"/>
  <c r="R23" i="6"/>
  <c r="S23" i="6" s="1"/>
  <c r="T23" i="6" s="1"/>
  <c r="R35" i="6"/>
  <c r="S35" i="6" s="1"/>
  <c r="T35" i="6" s="1"/>
  <c r="R28" i="6"/>
  <c r="D34" i="6"/>
  <c r="D33" i="7" s="1"/>
  <c r="C33" i="7"/>
  <c r="S33" i="6"/>
  <c r="T33" i="6" s="1"/>
  <c r="B27" i="7"/>
  <c r="B38" i="7" s="1"/>
  <c r="B37" i="7"/>
  <c r="Y27" i="6"/>
  <c r="Y37" i="6"/>
  <c r="S31" i="6"/>
  <c r="T31" i="6" s="1"/>
  <c r="W26" i="6"/>
  <c r="W36" i="6"/>
  <c r="S36" i="6"/>
  <c r="T36" i="6" s="1"/>
  <c r="E35" i="6"/>
  <c r="E34" i="7" s="1"/>
  <c r="C35" i="6"/>
  <c r="U35" i="6"/>
  <c r="B36" i="6"/>
  <c r="U25" i="6"/>
  <c r="B26" i="6"/>
  <c r="D25" i="6"/>
  <c r="D24" i="7" s="1"/>
  <c r="C24" i="7"/>
  <c r="D24" i="6"/>
  <c r="D23" i="7" s="1"/>
  <c r="C23" i="7"/>
  <c r="B13" i="5"/>
  <c r="B23" i="5"/>
  <c r="D128" i="1"/>
  <c r="D127" i="2" s="1"/>
  <c r="C127" i="2"/>
  <c r="B130" i="1"/>
  <c r="U82" i="1"/>
  <c r="B83" i="1"/>
  <c r="E129" i="1"/>
  <c r="E128" i="2" s="1"/>
  <c r="C129" i="1"/>
  <c r="U129" i="1"/>
  <c r="B96" i="4"/>
  <c r="B143" i="4"/>
  <c r="J24" i="22"/>
  <c r="K24" i="22" s="1"/>
  <c r="R24" i="22" s="1"/>
  <c r="S24" i="22" s="1"/>
  <c r="T24" i="22" s="1"/>
  <c r="J25" i="12"/>
  <c r="K25" i="12" s="1"/>
  <c r="R25" i="12" s="1"/>
  <c r="S25" i="12" s="1"/>
  <c r="T25" i="12" s="1"/>
  <c r="O163" i="1"/>
  <c r="Y163" i="2" s="1"/>
  <c r="AG10" i="14"/>
  <c r="J22" i="22"/>
  <c r="K22" i="22" s="1"/>
  <c r="R22" i="22" s="1"/>
  <c r="S22" i="22" s="1"/>
  <c r="T22" i="22" s="1"/>
  <c r="B13" i="14"/>
  <c r="W13" i="16"/>
  <c r="AD12" i="17" s="1"/>
  <c r="J27" i="22"/>
  <c r="K27" i="22" s="1"/>
  <c r="R27" i="22" s="1"/>
  <c r="S27" i="22" s="1"/>
  <c r="T27" i="22" s="1"/>
  <c r="S30" i="16"/>
  <c r="T30" i="16" s="1"/>
  <c r="S58" i="16"/>
  <c r="T58" i="16" s="1"/>
  <c r="S31" i="16"/>
  <c r="T31" i="16" s="1"/>
  <c r="S91" i="16"/>
  <c r="T91" i="16" s="1"/>
  <c r="S63" i="16"/>
  <c r="T63" i="16" s="1"/>
  <c r="J36" i="16"/>
  <c r="K36" i="16" s="1"/>
  <c r="R36" i="16" s="1"/>
  <c r="J59" i="16"/>
  <c r="K59" i="16" s="1"/>
  <c r="R59" i="16" s="1"/>
  <c r="J32" i="16"/>
  <c r="K32" i="16" s="1"/>
  <c r="R32" i="16" s="1"/>
  <c r="R66" i="16"/>
  <c r="S66" i="16" s="1"/>
  <c r="J62" i="16"/>
  <c r="K62" i="16" s="1"/>
  <c r="R62" i="16" s="1"/>
  <c r="S62" i="16" s="1"/>
  <c r="T62" i="16" s="1"/>
  <c r="J60" i="16"/>
  <c r="K60" i="16" s="1"/>
  <c r="R60" i="16" s="1"/>
  <c r="S60" i="16" s="1"/>
  <c r="T60" i="16" s="1"/>
  <c r="J48" i="16"/>
  <c r="K48" i="16" s="1"/>
  <c r="R48" i="16" s="1"/>
  <c r="S48" i="16" s="1"/>
  <c r="T48" i="16" s="1"/>
  <c r="J53" i="16"/>
  <c r="K53" i="16" s="1"/>
  <c r="R53" i="16" s="1"/>
  <c r="S53" i="16" s="1"/>
  <c r="T53" i="16" s="1"/>
  <c r="J37" i="16"/>
  <c r="K37" i="16" s="1"/>
  <c r="R37" i="16" s="1"/>
  <c r="R65" i="16"/>
  <c r="S65" i="16" s="1"/>
  <c r="T65" i="16" s="1"/>
  <c r="J35" i="16"/>
  <c r="K35" i="16" s="1"/>
  <c r="R35" i="16" s="1"/>
  <c r="J43" i="16"/>
  <c r="K43" i="16" s="1"/>
  <c r="R43" i="16" s="1"/>
  <c r="S43" i="16" s="1"/>
  <c r="T43" i="16" s="1"/>
  <c r="J54" i="16"/>
  <c r="K54" i="16" s="1"/>
  <c r="R54" i="16" s="1"/>
  <c r="J49" i="16"/>
  <c r="K49" i="16" s="1"/>
  <c r="R49" i="16" s="1"/>
  <c r="S49" i="16" s="1"/>
  <c r="T49" i="16" s="1"/>
  <c r="J24" i="16"/>
  <c r="K24" i="16" s="1"/>
  <c r="R24" i="16" s="1"/>
  <c r="S24" i="16" s="1"/>
  <c r="T24" i="16" s="1"/>
  <c r="J22" i="16"/>
  <c r="K22" i="16" s="1"/>
  <c r="R22" i="16" s="1"/>
  <c r="D25" i="34"/>
  <c r="D24" i="35" s="1"/>
  <c r="C24" i="35"/>
  <c r="B27" i="34"/>
  <c r="U26" i="34"/>
  <c r="C26" i="34"/>
  <c r="E26" i="34"/>
  <c r="E25" i="35" s="1"/>
  <c r="J22" i="25"/>
  <c r="K22" i="25" s="1"/>
  <c r="R22" i="25" s="1"/>
  <c r="J24" i="25"/>
  <c r="K24" i="25" s="1"/>
  <c r="R24" i="25" s="1"/>
  <c r="S24" i="25" s="1"/>
  <c r="T24" i="25" s="1"/>
  <c r="B27" i="25"/>
  <c r="U26" i="25"/>
  <c r="E26" i="25"/>
  <c r="E25" i="26" s="1"/>
  <c r="C26" i="25"/>
  <c r="D25" i="25"/>
  <c r="D24" i="26" s="1"/>
  <c r="C24" i="26"/>
  <c r="D24" i="22"/>
  <c r="D23" i="23" s="1"/>
  <c r="C23" i="23"/>
  <c r="C25" i="22"/>
  <c r="E25" i="22"/>
  <c r="E24" i="23" s="1"/>
  <c r="S33" i="19"/>
  <c r="T33" i="19" s="1"/>
  <c r="S37" i="19"/>
  <c r="T37" i="19" s="1"/>
  <c r="E25" i="19"/>
  <c r="E24" i="20" s="1"/>
  <c r="C25" i="19"/>
  <c r="C24" i="20" s="1"/>
  <c r="U26" i="19"/>
  <c r="B27" i="19"/>
  <c r="B13" i="18"/>
  <c r="K69" i="19"/>
  <c r="F13" i="14" s="1"/>
  <c r="J69" i="19"/>
  <c r="E13" i="14" s="1"/>
  <c r="AN13" i="14" s="1"/>
  <c r="B27" i="12"/>
  <c r="U26" i="12"/>
  <c r="E26" i="12"/>
  <c r="E25" i="13" s="1"/>
  <c r="C26" i="12"/>
  <c r="N27" i="5"/>
  <c r="J41" i="6"/>
  <c r="E9" i="14" s="1"/>
  <c r="AN9" i="14" s="1"/>
  <c r="K21" i="6"/>
  <c r="AF40" i="7"/>
  <c r="K149" i="4"/>
  <c r="I149" i="4"/>
  <c r="D56" i="1"/>
  <c r="D55" i="2" s="1"/>
  <c r="D55" i="1"/>
  <c r="D54" i="2" s="1"/>
  <c r="D47" i="1"/>
  <c r="D46" i="2" s="1"/>
  <c r="C46" i="2"/>
  <c r="D48" i="1"/>
  <c r="D47" i="2" s="1"/>
  <c r="C47" i="2"/>
  <c r="D49" i="1"/>
  <c r="D48" i="2" s="1"/>
  <c r="C48" i="2"/>
  <c r="C42" i="2"/>
  <c r="C41" i="2"/>
  <c r="D41" i="1"/>
  <c r="D40" i="2" s="1"/>
  <c r="C40" i="2"/>
  <c r="D45" i="2"/>
  <c r="C45" i="2"/>
  <c r="C44" i="2"/>
  <c r="D44" i="1"/>
  <c r="D43" i="2" s="1"/>
  <c r="C43" i="2"/>
  <c r="D39" i="1"/>
  <c r="D38" i="2" s="1"/>
  <c r="C38" i="2"/>
  <c r="D42" i="2"/>
  <c r="D41" i="2"/>
  <c r="D36" i="1"/>
  <c r="D35" i="2" s="1"/>
  <c r="C35" i="2"/>
  <c r="D44" i="2"/>
  <c r="D38" i="1"/>
  <c r="D37" i="2" s="1"/>
  <c r="C37" i="2"/>
  <c r="D40" i="1"/>
  <c r="D39" i="2" s="1"/>
  <c r="C39" i="2"/>
  <c r="D37" i="1"/>
  <c r="D36" i="2" s="1"/>
  <c r="C36" i="2"/>
  <c r="D33" i="1"/>
  <c r="D32" i="2" s="1"/>
  <c r="C32" i="2"/>
  <c r="D32" i="1"/>
  <c r="D31" i="2" s="1"/>
  <c r="C31" i="2"/>
  <c r="D34" i="2"/>
  <c r="C34" i="2"/>
  <c r="AE8" i="14"/>
  <c r="AE22" i="14" s="1"/>
  <c r="X163" i="1"/>
  <c r="AF8" i="14" s="1"/>
  <c r="AF22" i="14" s="1"/>
  <c r="Q61" i="34"/>
  <c r="AF61" i="35" s="1"/>
  <c r="S24" i="34"/>
  <c r="T24" i="34" s="1"/>
  <c r="J21" i="34"/>
  <c r="N47" i="33"/>
  <c r="S33" i="31"/>
  <c r="T33" i="31" s="1"/>
  <c r="N58" i="24"/>
  <c r="K21" i="25"/>
  <c r="K21" i="22"/>
  <c r="N32" i="21"/>
  <c r="Y163" i="1"/>
  <c r="Y8" i="14" s="1"/>
  <c r="AD8" i="14" s="1"/>
  <c r="S41" i="16"/>
  <c r="T41" i="16" s="1"/>
  <c r="S33" i="16"/>
  <c r="T33" i="16" s="1"/>
  <c r="S44" i="16"/>
  <c r="T44" i="16" s="1"/>
  <c r="S42" i="16"/>
  <c r="T42" i="16" s="1"/>
  <c r="S34" i="16"/>
  <c r="T34" i="16" s="1"/>
  <c r="S47" i="16"/>
  <c r="T47" i="16" s="1"/>
  <c r="S38" i="16"/>
  <c r="T38" i="16" s="1"/>
  <c r="S39" i="16"/>
  <c r="T39" i="16" s="1"/>
  <c r="S61" i="16"/>
  <c r="T61" i="16" s="1"/>
  <c r="S52" i="16"/>
  <c r="T52" i="16" s="1"/>
  <c r="S40" i="16"/>
  <c r="T40" i="16" s="1"/>
  <c r="S64" i="16"/>
  <c r="T64" i="16" s="1"/>
  <c r="S57" i="16"/>
  <c r="T57" i="16" s="1"/>
  <c r="W163" i="1"/>
  <c r="I8" i="14" s="1"/>
  <c r="L8" i="14" s="1"/>
  <c r="N55" i="18"/>
  <c r="N79" i="15"/>
  <c r="K21" i="16"/>
  <c r="D25" i="12"/>
  <c r="D24" i="13" s="1"/>
  <c r="C24" i="13"/>
  <c r="AG11" i="14"/>
  <c r="J35" i="31"/>
  <c r="N70" i="11"/>
  <c r="K21" i="12"/>
  <c r="J84" i="12"/>
  <c r="E11" i="14" s="1"/>
  <c r="J49" i="9"/>
  <c r="E10" i="14" s="1"/>
  <c r="K21" i="9"/>
  <c r="W49" i="9"/>
  <c r="I10" i="14" s="1"/>
  <c r="N35" i="8"/>
  <c r="X162" i="2"/>
  <c r="Q69" i="19"/>
  <c r="AF69" i="20" s="1"/>
  <c r="M49" i="9"/>
  <c r="R49" i="10" s="1"/>
  <c r="S28" i="6"/>
  <c r="T28" i="6" s="1"/>
  <c r="S21" i="19"/>
  <c r="T21" i="19" s="1"/>
  <c r="S25" i="25"/>
  <c r="T25" i="25" s="1"/>
  <c r="Q35" i="28"/>
  <c r="AF35" i="29" s="1"/>
  <c r="R22" i="6"/>
  <c r="M46" i="22"/>
  <c r="R46" i="23" s="1"/>
  <c r="Q21" i="22"/>
  <c r="Q93" i="16"/>
  <c r="AF93" i="17" s="1"/>
  <c r="S23" i="25"/>
  <c r="T23" i="25" s="1"/>
  <c r="Q24" i="6"/>
  <c r="R24" i="6" s="1"/>
  <c r="N41" i="6"/>
  <c r="X41" i="7" s="1"/>
  <c r="H22" i="14"/>
  <c r="S27" i="6"/>
  <c r="T27" i="6" s="1"/>
  <c r="Q72" i="25"/>
  <c r="AF72" i="26" s="1"/>
  <c r="M84" i="12"/>
  <c r="R84" i="13" s="1"/>
  <c r="S24" i="19"/>
  <c r="T24" i="19" s="1"/>
  <c r="M35" i="31"/>
  <c r="R35" i="32" s="1"/>
  <c r="R162" i="2"/>
  <c r="B36" i="35" l="1"/>
  <c r="B49" i="35"/>
  <c r="Y37" i="34"/>
  <c r="Y50" i="34"/>
  <c r="W37" i="34"/>
  <c r="W50" i="34"/>
  <c r="B30" i="33"/>
  <c r="B43" i="33"/>
  <c r="J35" i="28"/>
  <c r="E16" i="14" s="1"/>
  <c r="AN16" i="14" s="1"/>
  <c r="K21" i="28"/>
  <c r="B39" i="26"/>
  <c r="B56" i="26"/>
  <c r="W40" i="25"/>
  <c r="W57" i="25"/>
  <c r="J72" i="25"/>
  <c r="Y40" i="25"/>
  <c r="Y57" i="25"/>
  <c r="B26" i="24"/>
  <c r="B43" i="24"/>
  <c r="D35" i="22"/>
  <c r="D34" i="23" s="1"/>
  <c r="C34" i="23"/>
  <c r="B27" i="23"/>
  <c r="B37" i="23"/>
  <c r="B27" i="22"/>
  <c r="B37" i="22"/>
  <c r="U26" i="22"/>
  <c r="Y28" i="22"/>
  <c r="Y38" i="22"/>
  <c r="U36" i="22"/>
  <c r="E36" i="22"/>
  <c r="E35" i="23" s="1"/>
  <c r="C36" i="22"/>
  <c r="J46" i="22"/>
  <c r="E14" i="14" s="1"/>
  <c r="AN14" i="14" s="1"/>
  <c r="S35" i="22"/>
  <c r="T35" i="22" s="1"/>
  <c r="W28" i="22"/>
  <c r="W38" i="22"/>
  <c r="D26" i="22"/>
  <c r="D25" i="23" s="1"/>
  <c r="C25" i="23"/>
  <c r="B15" i="21"/>
  <c r="B25" i="21"/>
  <c r="R69" i="19"/>
  <c r="B38" i="20"/>
  <c r="B54" i="20"/>
  <c r="Y38" i="19"/>
  <c r="Y54" i="19"/>
  <c r="W39" i="19"/>
  <c r="W55" i="19"/>
  <c r="B52" i="17"/>
  <c r="B76" i="17"/>
  <c r="S73" i="16"/>
  <c r="T73" i="16" s="1"/>
  <c r="S69" i="16"/>
  <c r="T69" i="16" s="1"/>
  <c r="B34" i="16"/>
  <c r="U33" i="16"/>
  <c r="S79" i="16"/>
  <c r="T79" i="16" s="1"/>
  <c r="W46" i="16"/>
  <c r="W70" i="16"/>
  <c r="Y47" i="16"/>
  <c r="Y71" i="16"/>
  <c r="S80" i="16"/>
  <c r="T80" i="16" s="1"/>
  <c r="B30" i="15"/>
  <c r="B54" i="15"/>
  <c r="B43" i="13"/>
  <c r="B64" i="13"/>
  <c r="Y44" i="12"/>
  <c r="Y65" i="12"/>
  <c r="W43" i="12"/>
  <c r="W64" i="12"/>
  <c r="B30" i="11"/>
  <c r="B51" i="11"/>
  <c r="D35" i="6"/>
  <c r="D34" i="7" s="1"/>
  <c r="C34" i="7"/>
  <c r="E36" i="6"/>
  <c r="E35" i="7" s="1"/>
  <c r="C36" i="6"/>
  <c r="U36" i="6"/>
  <c r="W27" i="6"/>
  <c r="W37" i="6"/>
  <c r="B27" i="6"/>
  <c r="B37" i="6"/>
  <c r="U26" i="6"/>
  <c r="Y28" i="6"/>
  <c r="Y38" i="6"/>
  <c r="B14" i="5"/>
  <c r="B24" i="5"/>
  <c r="C27" i="6"/>
  <c r="C26" i="6"/>
  <c r="E27" i="6"/>
  <c r="E26" i="7" s="1"/>
  <c r="E26" i="6"/>
  <c r="E25" i="7" s="1"/>
  <c r="D129" i="1"/>
  <c r="D128" i="2" s="1"/>
  <c r="C128" i="2"/>
  <c r="B131" i="1"/>
  <c r="U83" i="1"/>
  <c r="B84" i="1"/>
  <c r="C130" i="1"/>
  <c r="U130" i="1"/>
  <c r="E130" i="1"/>
  <c r="E129" i="2" s="1"/>
  <c r="B97" i="4"/>
  <c r="B144" i="4"/>
  <c r="B14" i="14"/>
  <c r="W13" i="19"/>
  <c r="AD12" i="20" s="1"/>
  <c r="K46" i="22"/>
  <c r="F14" i="14" s="1"/>
  <c r="N56" i="18"/>
  <c r="S54" i="16"/>
  <c r="T54" i="16" s="1"/>
  <c r="S32" i="16"/>
  <c r="T32" i="16" s="1"/>
  <c r="S59" i="16"/>
  <c r="T59" i="16" s="1"/>
  <c r="S37" i="16"/>
  <c r="T37" i="16" s="1"/>
  <c r="S36" i="16"/>
  <c r="T36" i="16" s="1"/>
  <c r="S22" i="16"/>
  <c r="T22" i="16" s="1"/>
  <c r="T66" i="16"/>
  <c r="S35" i="16"/>
  <c r="T35" i="16" s="1"/>
  <c r="J93" i="16"/>
  <c r="E12" i="14" s="1"/>
  <c r="AN12" i="14" s="1"/>
  <c r="D26" i="34"/>
  <c r="D25" i="35" s="1"/>
  <c r="C25" i="35"/>
  <c r="B28" i="34"/>
  <c r="U27" i="34"/>
  <c r="E27" i="34"/>
  <c r="E26" i="35" s="1"/>
  <c r="C27" i="34"/>
  <c r="D26" i="25"/>
  <c r="D25" i="26" s="1"/>
  <c r="C25" i="26"/>
  <c r="U27" i="25"/>
  <c r="C27" i="25"/>
  <c r="E27" i="25"/>
  <c r="E26" i="26" s="1"/>
  <c r="B28" i="25"/>
  <c r="D25" i="22"/>
  <c r="D24" i="23" s="1"/>
  <c r="C24" i="23"/>
  <c r="D25" i="19"/>
  <c r="D24" i="20" s="1"/>
  <c r="AR13" i="14"/>
  <c r="U27" i="19"/>
  <c r="B28" i="19"/>
  <c r="B14" i="18"/>
  <c r="E27" i="19" s="1"/>
  <c r="E26" i="20" s="1"/>
  <c r="E26" i="19"/>
  <c r="E25" i="20" s="1"/>
  <c r="C27" i="19"/>
  <c r="D27" i="19" s="1"/>
  <c r="C26" i="19"/>
  <c r="D26" i="19" s="1"/>
  <c r="D25" i="20" s="1"/>
  <c r="D26" i="12"/>
  <c r="D25" i="13" s="1"/>
  <c r="C25" i="13"/>
  <c r="U27" i="12"/>
  <c r="B28" i="12"/>
  <c r="C27" i="12"/>
  <c r="E27" i="12"/>
  <c r="E26" i="13" s="1"/>
  <c r="K41" i="6"/>
  <c r="F9" i="14" s="1"/>
  <c r="R21" i="6"/>
  <c r="S21" i="6" s="1"/>
  <c r="T21" i="6" s="1"/>
  <c r="N28" i="5"/>
  <c r="M149" i="4"/>
  <c r="AG8" i="14"/>
  <c r="AG22" i="14" s="1"/>
  <c r="J61" i="34"/>
  <c r="K21" i="34"/>
  <c r="R21" i="25"/>
  <c r="S21" i="25" s="1"/>
  <c r="T21" i="25" s="1"/>
  <c r="K72" i="25"/>
  <c r="F15" i="14" s="1"/>
  <c r="N59" i="24"/>
  <c r="E15" i="14"/>
  <c r="AN15" i="14" s="1"/>
  <c r="N33" i="21"/>
  <c r="T69" i="19"/>
  <c r="K93" i="16"/>
  <c r="F12" i="14" s="1"/>
  <c r="R21" i="16"/>
  <c r="K35" i="31"/>
  <c r="F17" i="14" s="1"/>
  <c r="N22" i="30"/>
  <c r="E17" i="14"/>
  <c r="AN17" i="14" s="1"/>
  <c r="K84" i="12"/>
  <c r="F11" i="14" s="1"/>
  <c r="R21" i="12"/>
  <c r="S21" i="12" s="1"/>
  <c r="T21" i="12" s="1"/>
  <c r="N71" i="11"/>
  <c r="N36" i="8"/>
  <c r="L10" i="14"/>
  <c r="W10" i="14" s="1"/>
  <c r="K49" i="9"/>
  <c r="F10" i="14" s="1"/>
  <c r="R21" i="9"/>
  <c r="S21" i="9" s="1"/>
  <c r="T21" i="9" s="1"/>
  <c r="N163" i="1"/>
  <c r="X163" i="2" s="1"/>
  <c r="Q41" i="6"/>
  <c r="AF41" i="7" s="1"/>
  <c r="Q46" i="22"/>
  <c r="AF46" i="23" s="1"/>
  <c r="R21" i="22"/>
  <c r="Q35" i="31"/>
  <c r="AF35" i="32" s="1"/>
  <c r="S22" i="6"/>
  <c r="S69" i="19"/>
  <c r="S83" i="13"/>
  <c r="X11" i="14" s="1"/>
  <c r="S22" i="25"/>
  <c r="X83" i="13"/>
  <c r="M163" i="1"/>
  <c r="R163" i="2" s="1"/>
  <c r="S24" i="6"/>
  <c r="T24" i="6" s="1"/>
  <c r="W8" i="14"/>
  <c r="B37" i="35" l="1"/>
  <c r="B50" i="35"/>
  <c r="W38" i="34"/>
  <c r="W51" i="34"/>
  <c r="Y38" i="34"/>
  <c r="Y51" i="34"/>
  <c r="B31" i="33"/>
  <c r="B44" i="33"/>
  <c r="K35" i="28"/>
  <c r="F16" i="14" s="1"/>
  <c r="R21" i="28"/>
  <c r="N22" i="27"/>
  <c r="B40" i="26"/>
  <c r="B57" i="26"/>
  <c r="Y41" i="25"/>
  <c r="Y58" i="25"/>
  <c r="W41" i="25"/>
  <c r="W58" i="25"/>
  <c r="B27" i="24"/>
  <c r="B44" i="24"/>
  <c r="D36" i="22"/>
  <c r="D35" i="23" s="1"/>
  <c r="C35" i="23"/>
  <c r="B28" i="23"/>
  <c r="B38" i="23"/>
  <c r="W29" i="22"/>
  <c r="W39" i="22"/>
  <c r="Y29" i="22"/>
  <c r="Y39" i="22"/>
  <c r="C37" i="22"/>
  <c r="U37" i="22"/>
  <c r="E37" i="22"/>
  <c r="E36" i="23" s="1"/>
  <c r="B38" i="22"/>
  <c r="U27" i="22"/>
  <c r="B28" i="22"/>
  <c r="E27" i="22"/>
  <c r="E26" i="23" s="1"/>
  <c r="C27" i="22"/>
  <c r="B16" i="21"/>
  <c r="B26" i="21"/>
  <c r="E28" i="22"/>
  <c r="E27" i="23" s="1"/>
  <c r="B39" i="20"/>
  <c r="B55" i="20"/>
  <c r="W40" i="19"/>
  <c r="W56" i="19"/>
  <c r="Y39" i="19"/>
  <c r="Y55" i="19"/>
  <c r="B53" i="17"/>
  <c r="B77" i="17"/>
  <c r="B35" i="16"/>
  <c r="U34" i="16"/>
  <c r="Y48" i="16"/>
  <c r="Y72" i="16"/>
  <c r="W47" i="16"/>
  <c r="W71" i="16"/>
  <c r="B31" i="15"/>
  <c r="B55" i="15"/>
  <c r="B44" i="13"/>
  <c r="B65" i="13"/>
  <c r="W44" i="12"/>
  <c r="W65" i="12"/>
  <c r="Y45" i="12"/>
  <c r="Y66" i="12"/>
  <c r="B31" i="11"/>
  <c r="B52" i="11"/>
  <c r="C32" i="9"/>
  <c r="C34" i="9"/>
  <c r="C33" i="9"/>
  <c r="E35" i="9"/>
  <c r="E34" i="10" s="1"/>
  <c r="E36" i="9"/>
  <c r="E35" i="10" s="1"/>
  <c r="C35" i="9"/>
  <c r="C36" i="9"/>
  <c r="C47" i="9"/>
  <c r="E47" i="9"/>
  <c r="E46" i="10" s="1"/>
  <c r="D36" i="6"/>
  <c r="D35" i="7" s="1"/>
  <c r="C35" i="7"/>
  <c r="C37" i="6"/>
  <c r="U37" i="6"/>
  <c r="E37" i="6"/>
  <c r="E36" i="7" s="1"/>
  <c r="B28" i="6"/>
  <c r="B38" i="6"/>
  <c r="U27" i="6"/>
  <c r="W28" i="6"/>
  <c r="W38" i="6"/>
  <c r="Y39" i="6"/>
  <c r="Y41" i="6" s="1"/>
  <c r="Y9" i="14" s="1"/>
  <c r="D26" i="6"/>
  <c r="D25" i="7" s="1"/>
  <c r="C25" i="7"/>
  <c r="D27" i="6"/>
  <c r="D26" i="7" s="1"/>
  <c r="C26" i="7"/>
  <c r="B15" i="5"/>
  <c r="B25" i="5"/>
  <c r="D130" i="1"/>
  <c r="D129" i="2" s="1"/>
  <c r="C129" i="2"/>
  <c r="B132" i="1"/>
  <c r="U84" i="1"/>
  <c r="B85" i="1"/>
  <c r="C131" i="1"/>
  <c r="E131" i="1"/>
  <c r="E130" i="2" s="1"/>
  <c r="U131" i="1"/>
  <c r="B145" i="4"/>
  <c r="B98" i="4"/>
  <c r="B15" i="14"/>
  <c r="W13" i="22"/>
  <c r="AD12" i="23" s="1"/>
  <c r="N80" i="15"/>
  <c r="R41" i="6"/>
  <c r="AR9" i="14" s="1"/>
  <c r="B29" i="34"/>
  <c r="U28" i="34"/>
  <c r="E28" i="34"/>
  <c r="E27" i="35" s="1"/>
  <c r="C28" i="34"/>
  <c r="D27" i="34"/>
  <c r="D26" i="35" s="1"/>
  <c r="C26" i="35"/>
  <c r="U28" i="25"/>
  <c r="C28" i="25"/>
  <c r="E28" i="25"/>
  <c r="E27" i="26" s="1"/>
  <c r="B29" i="25"/>
  <c r="S72" i="25"/>
  <c r="L80" i="25" s="1"/>
  <c r="D27" i="25"/>
  <c r="D26" i="26" s="1"/>
  <c r="C26" i="26"/>
  <c r="R72" i="25"/>
  <c r="AR15" i="14" s="1"/>
  <c r="C25" i="20"/>
  <c r="U28" i="19"/>
  <c r="B29" i="19"/>
  <c r="B15" i="18"/>
  <c r="C28" i="19"/>
  <c r="D28" i="19" s="1"/>
  <c r="D27" i="12"/>
  <c r="D26" i="13" s="1"/>
  <c r="C26" i="13"/>
  <c r="U28" i="12"/>
  <c r="B29" i="12"/>
  <c r="E28" i="12"/>
  <c r="E27" i="13" s="1"/>
  <c r="C28" i="12"/>
  <c r="S41" i="6"/>
  <c r="AO9" i="14" s="1"/>
  <c r="AP9" i="14" s="1"/>
  <c r="N149" i="4"/>
  <c r="K61" i="34"/>
  <c r="F18" i="14" s="1"/>
  <c r="R21" i="34"/>
  <c r="N48" i="33"/>
  <c r="E18" i="14"/>
  <c r="AN18" i="14" s="1"/>
  <c r="D26" i="20"/>
  <c r="C26" i="20"/>
  <c r="S21" i="16"/>
  <c r="R93" i="16"/>
  <c r="AR12" i="14" s="1"/>
  <c r="T22" i="25"/>
  <c r="T72" i="25" s="1"/>
  <c r="T22" i="6"/>
  <c r="T41" i="6" s="1"/>
  <c r="AF83" i="13"/>
  <c r="S21" i="22"/>
  <c r="S46" i="22" s="1"/>
  <c r="R46" i="22"/>
  <c r="AR14" i="14" s="1"/>
  <c r="N84" i="12"/>
  <c r="X84" i="13" s="1"/>
  <c r="S35" i="31"/>
  <c r="R35" i="31"/>
  <c r="AR17" i="14" s="1"/>
  <c r="AN11" i="14"/>
  <c r="W71" i="19"/>
  <c r="L77" i="19"/>
  <c r="AO13" i="14"/>
  <c r="O37" i="28" a="1"/>
  <c r="O71" i="19" a="1"/>
  <c r="B51" i="35" l="1"/>
  <c r="B38" i="35"/>
  <c r="Y52" i="34"/>
  <c r="Y39" i="34"/>
  <c r="W52" i="34"/>
  <c r="W39" i="34"/>
  <c r="B32" i="33"/>
  <c r="B46" i="33" s="1"/>
  <c r="B45" i="33"/>
  <c r="R35" i="28"/>
  <c r="AR16" i="14" s="1"/>
  <c r="S21" i="28"/>
  <c r="B41" i="26"/>
  <c r="B58" i="26"/>
  <c r="W42" i="25"/>
  <c r="W59" i="25"/>
  <c r="Y42" i="25"/>
  <c r="Y59" i="25"/>
  <c r="B28" i="24"/>
  <c r="B45" i="24"/>
  <c r="D37" i="22"/>
  <c r="D36" i="23" s="1"/>
  <c r="C36" i="23"/>
  <c r="B29" i="23"/>
  <c r="B39" i="23"/>
  <c r="C26" i="23"/>
  <c r="D27" i="22"/>
  <c r="D26" i="23" s="1"/>
  <c r="Y30" i="22"/>
  <c r="Y40" i="22"/>
  <c r="B39" i="22"/>
  <c r="B29" i="22"/>
  <c r="U28" i="22"/>
  <c r="C28" i="22"/>
  <c r="E38" i="22"/>
  <c r="E37" i="23" s="1"/>
  <c r="C38" i="22"/>
  <c r="U38" i="22"/>
  <c r="W30" i="22"/>
  <c r="W40" i="22"/>
  <c r="B17" i="21"/>
  <c r="B27" i="21"/>
  <c r="C27" i="23"/>
  <c r="D28" i="22"/>
  <c r="D27" i="23" s="1"/>
  <c r="B40" i="20"/>
  <c r="B56" i="20"/>
  <c r="Y40" i="19"/>
  <c r="Y56" i="19"/>
  <c r="W41" i="19"/>
  <c r="W57" i="19"/>
  <c r="B54" i="17"/>
  <c r="B78" i="17"/>
  <c r="W48" i="16"/>
  <c r="W72" i="16"/>
  <c r="Y49" i="16"/>
  <c r="Y73" i="16"/>
  <c r="B36" i="16"/>
  <c r="U35" i="16"/>
  <c r="C28" i="16"/>
  <c r="E31" i="16"/>
  <c r="E30" i="17" s="1"/>
  <c r="C30" i="16"/>
  <c r="E30" i="16"/>
  <c r="E29" i="17" s="1"/>
  <c r="E34" i="16"/>
  <c r="E33" i="17" s="1"/>
  <c r="E35" i="16"/>
  <c r="E34" i="17" s="1"/>
  <c r="C34" i="16"/>
  <c r="C33" i="16"/>
  <c r="E32" i="16"/>
  <c r="E31" i="17" s="1"/>
  <c r="E36" i="16"/>
  <c r="E35" i="17" s="1"/>
  <c r="C31" i="16"/>
  <c r="C32" i="16"/>
  <c r="E33" i="16"/>
  <c r="E32" i="17" s="1"/>
  <c r="C35" i="16"/>
  <c r="B32" i="15"/>
  <c r="B56" i="15"/>
  <c r="B45" i="13"/>
  <c r="B66" i="13"/>
  <c r="Y46" i="12"/>
  <c r="Y67" i="12"/>
  <c r="W45" i="12"/>
  <c r="W66" i="12"/>
  <c r="B32" i="11"/>
  <c r="B53" i="11"/>
  <c r="C35" i="10"/>
  <c r="D36" i="9"/>
  <c r="D35" i="10" s="1"/>
  <c r="D47" i="9"/>
  <c r="D46" i="10" s="1"/>
  <c r="C46" i="10"/>
  <c r="D35" i="9"/>
  <c r="D34" i="10" s="1"/>
  <c r="C34" i="10"/>
  <c r="C32" i="10"/>
  <c r="D33" i="9"/>
  <c r="D32" i="10" s="1"/>
  <c r="D34" i="9"/>
  <c r="D33" i="10" s="1"/>
  <c r="C33" i="10"/>
  <c r="D32" i="9"/>
  <c r="D31" i="10" s="1"/>
  <c r="C31" i="10"/>
  <c r="D37" i="6"/>
  <c r="D36" i="7" s="1"/>
  <c r="C36" i="7"/>
  <c r="AD9" i="14"/>
  <c r="W39" i="6"/>
  <c r="W41" i="6"/>
  <c r="I9" i="14" s="1"/>
  <c r="L9" i="14" s="1"/>
  <c r="W9" i="14" s="1"/>
  <c r="E38" i="6"/>
  <c r="E37" i="7" s="1"/>
  <c r="C38" i="6"/>
  <c r="U38" i="6"/>
  <c r="B39" i="6"/>
  <c r="U39" i="6" s="1"/>
  <c r="U28" i="6"/>
  <c r="B26" i="5"/>
  <c r="C28" i="6"/>
  <c r="E28" i="6"/>
  <c r="E27" i="7" s="1"/>
  <c r="D131" i="1"/>
  <c r="D130" i="2" s="1"/>
  <c r="C130" i="2"/>
  <c r="B133" i="1"/>
  <c r="U85" i="1"/>
  <c r="B86" i="1"/>
  <c r="E132" i="1"/>
  <c r="E131" i="2" s="1"/>
  <c r="C132" i="1"/>
  <c r="U132" i="1"/>
  <c r="B146" i="4"/>
  <c r="B99" i="4"/>
  <c r="B16" i="14"/>
  <c r="W13" i="25"/>
  <c r="AD12" i="26" s="1"/>
  <c r="W74" i="25"/>
  <c r="AO15" i="14"/>
  <c r="AP15" i="14" s="1"/>
  <c r="AT15" i="14" s="1"/>
  <c r="C27" i="35"/>
  <c r="D28" i="34"/>
  <c r="D27" i="35" s="1"/>
  <c r="B30" i="34"/>
  <c r="U29" i="34"/>
  <c r="E29" i="34"/>
  <c r="E28" i="35" s="1"/>
  <c r="C29" i="34"/>
  <c r="U29" i="25"/>
  <c r="C29" i="25"/>
  <c r="E29" i="25"/>
  <c r="E28" i="26" s="1"/>
  <c r="B30" i="25"/>
  <c r="B31" i="25" s="1"/>
  <c r="D28" i="25"/>
  <c r="D27" i="26" s="1"/>
  <c r="C27" i="26"/>
  <c r="U29" i="19"/>
  <c r="B30" i="19"/>
  <c r="B16" i="18"/>
  <c r="E28" i="19"/>
  <c r="E27" i="20" s="1"/>
  <c r="U29" i="12"/>
  <c r="B30" i="12"/>
  <c r="C29" i="12"/>
  <c r="E29" i="12"/>
  <c r="E28" i="13" s="1"/>
  <c r="C27" i="13"/>
  <c r="D28" i="12"/>
  <c r="D27" i="13" s="1"/>
  <c r="L49" i="6"/>
  <c r="W43" i="6"/>
  <c r="AT9" i="14"/>
  <c r="J163" i="1"/>
  <c r="E8" i="14" s="1"/>
  <c r="E22" i="14" s="1"/>
  <c r="R61" i="34"/>
  <c r="AR18" i="14" s="1"/>
  <c r="S21" i="34"/>
  <c r="S61" i="34" s="1"/>
  <c r="T21" i="22"/>
  <c r="T46" i="22" s="1"/>
  <c r="D27" i="20"/>
  <c r="C27" i="20"/>
  <c r="T21" i="16"/>
  <c r="T93" i="16" s="1"/>
  <c r="S93" i="16"/>
  <c r="O37" i="28"/>
  <c r="O71" i="19"/>
  <c r="T35" i="31"/>
  <c r="AO17" i="14"/>
  <c r="L43" i="31"/>
  <c r="W37" i="31"/>
  <c r="Q84" i="12"/>
  <c r="AF84" i="13" s="1"/>
  <c r="AS13" i="14"/>
  <c r="AP13" i="14"/>
  <c r="AT13" i="14" s="1"/>
  <c r="AO14" i="14"/>
  <c r="W48" i="22"/>
  <c r="L54" i="22"/>
  <c r="AS15" i="14"/>
  <c r="AS9" i="14"/>
  <c r="O48" i="22" a="1"/>
  <c r="O74" i="25" a="1"/>
  <c r="O43" i="6" a="1"/>
  <c r="O37" i="31" a="1"/>
  <c r="B52" i="35" l="1"/>
  <c r="B39" i="35"/>
  <c r="W53" i="34"/>
  <c r="W40" i="34"/>
  <c r="Y53" i="34"/>
  <c r="Y40" i="34"/>
  <c r="S35" i="28"/>
  <c r="T21" i="28"/>
  <c r="T35" i="28" s="1"/>
  <c r="B42" i="26"/>
  <c r="B59" i="26"/>
  <c r="Y43" i="25"/>
  <c r="Y60" i="25"/>
  <c r="W43" i="25"/>
  <c r="W60" i="25"/>
  <c r="B29" i="24"/>
  <c r="B46" i="24"/>
  <c r="D38" i="22"/>
  <c r="D37" i="23" s="1"/>
  <c r="C37" i="23"/>
  <c r="B30" i="23"/>
  <c r="B40" i="23"/>
  <c r="B40" i="22"/>
  <c r="B30" i="22"/>
  <c r="U29" i="22"/>
  <c r="E29" i="22"/>
  <c r="E28" i="23" s="1"/>
  <c r="C29" i="22"/>
  <c r="U39" i="22"/>
  <c r="C39" i="22"/>
  <c r="E39" i="22"/>
  <c r="E38" i="23" s="1"/>
  <c r="W31" i="22"/>
  <c r="W41" i="22"/>
  <c r="Y31" i="22"/>
  <c r="Y41" i="22"/>
  <c r="B18" i="21"/>
  <c r="B28" i="21"/>
  <c r="C30" i="22"/>
  <c r="E30" i="22"/>
  <c r="E29" i="23" s="1"/>
  <c r="B41" i="20"/>
  <c r="B57" i="20"/>
  <c r="W42" i="19"/>
  <c r="W58" i="19"/>
  <c r="Y41" i="19"/>
  <c r="Y57" i="19"/>
  <c r="C29" i="19"/>
  <c r="D29" i="19" s="1"/>
  <c r="D28" i="20" s="1"/>
  <c r="E29" i="19"/>
  <c r="E28" i="20" s="1"/>
  <c r="B55" i="17"/>
  <c r="B79" i="17"/>
  <c r="B37" i="16"/>
  <c r="U36" i="16"/>
  <c r="Y50" i="16"/>
  <c r="Y74" i="16"/>
  <c r="C36" i="16"/>
  <c r="C35" i="17" s="1"/>
  <c r="W49" i="16"/>
  <c r="W73" i="16"/>
  <c r="C32" i="17"/>
  <c r="D33" i="16"/>
  <c r="D32" i="17" s="1"/>
  <c r="D34" i="16"/>
  <c r="D33" i="17" s="1"/>
  <c r="C33" i="17"/>
  <c r="B33" i="15"/>
  <c r="B57" i="15"/>
  <c r="C31" i="17"/>
  <c r="D32" i="16"/>
  <c r="D31" i="17" s="1"/>
  <c r="C27" i="17"/>
  <c r="D28" i="16"/>
  <c r="D27" i="17" s="1"/>
  <c r="C34" i="17"/>
  <c r="D35" i="16"/>
  <c r="D34" i="17" s="1"/>
  <c r="D31" i="16"/>
  <c r="D30" i="17" s="1"/>
  <c r="C30" i="17"/>
  <c r="D30" i="16"/>
  <c r="D29" i="17" s="1"/>
  <c r="C29" i="17"/>
  <c r="B46" i="13"/>
  <c r="B67" i="13"/>
  <c r="W46" i="12"/>
  <c r="W67" i="12"/>
  <c r="Y47" i="12"/>
  <c r="Y68" i="12"/>
  <c r="B33" i="11"/>
  <c r="B54" i="11"/>
  <c r="D38" i="6"/>
  <c r="D37" i="7" s="1"/>
  <c r="C37" i="7"/>
  <c r="E39" i="6"/>
  <c r="E38" i="7" s="1"/>
  <c r="C39" i="6"/>
  <c r="D39" i="6" s="1"/>
  <c r="D38" i="7" s="1"/>
  <c r="D28" i="6"/>
  <c r="D27" i="7" s="1"/>
  <c r="C27" i="7"/>
  <c r="D132" i="1"/>
  <c r="D131" i="2" s="1"/>
  <c r="C131" i="2"/>
  <c r="B134" i="1"/>
  <c r="U86" i="1"/>
  <c r="B87" i="1"/>
  <c r="E133" i="1"/>
  <c r="E132" i="2" s="1"/>
  <c r="C133" i="1"/>
  <c r="U133" i="1"/>
  <c r="B100" i="4"/>
  <c r="B148" i="4" s="1"/>
  <c r="B147" i="4"/>
  <c r="B17" i="14"/>
  <c r="W13" i="28"/>
  <c r="O74" i="25"/>
  <c r="N150" i="4"/>
  <c r="D29" i="34"/>
  <c r="D28" i="35" s="1"/>
  <c r="C28" i="35"/>
  <c r="B31" i="34"/>
  <c r="U30" i="34"/>
  <c r="C30" i="34"/>
  <c r="E30" i="34"/>
  <c r="E29" i="35" s="1"/>
  <c r="B32" i="25"/>
  <c r="U31" i="25"/>
  <c r="E31" i="25"/>
  <c r="E30" i="26" s="1"/>
  <c r="C31" i="25"/>
  <c r="U30" i="25"/>
  <c r="C30" i="25"/>
  <c r="E30" i="25"/>
  <c r="E29" i="26" s="1"/>
  <c r="D29" i="25"/>
  <c r="D28" i="26" s="1"/>
  <c r="C28" i="26"/>
  <c r="U30" i="19"/>
  <c r="B31" i="19"/>
  <c r="B32" i="19" s="1"/>
  <c r="B17" i="18"/>
  <c r="U30" i="12"/>
  <c r="B31" i="12"/>
  <c r="C30" i="12"/>
  <c r="E30" i="12"/>
  <c r="E29" i="13" s="1"/>
  <c r="D29" i="12"/>
  <c r="D28" i="13" s="1"/>
  <c r="C28" i="13"/>
  <c r="O43" i="6"/>
  <c r="K163" i="1"/>
  <c r="F8" i="14" s="1"/>
  <c r="F22" i="14" s="1"/>
  <c r="L69" i="34"/>
  <c r="AO18" i="14"/>
  <c r="W63" i="34"/>
  <c r="T21" i="34"/>
  <c r="T61" i="34" s="1"/>
  <c r="W95" i="16"/>
  <c r="AO12" i="14"/>
  <c r="L101" i="16"/>
  <c r="O37" i="31"/>
  <c r="O48" i="22"/>
  <c r="AS14" i="14"/>
  <c r="AP14" i="14"/>
  <c r="AT14" i="14" s="1"/>
  <c r="AS17" i="14"/>
  <c r="AP17" i="14"/>
  <c r="AT17" i="14" s="1"/>
  <c r="S84" i="12"/>
  <c r="R84" i="12"/>
  <c r="AR11" i="14" s="1"/>
  <c r="O63" i="34" a="1"/>
  <c r="O95" i="16" a="1"/>
  <c r="B40" i="35" l="1"/>
  <c r="B53" i="35"/>
  <c r="Y41" i="34"/>
  <c r="Y54" i="34"/>
  <c r="W41" i="34"/>
  <c r="W54" i="34"/>
  <c r="AD12" i="29"/>
  <c r="W24" i="28"/>
  <c r="W35" i="28" s="1"/>
  <c r="I16" i="14" s="1"/>
  <c r="L16" i="14" s="1"/>
  <c r="W16" i="14" s="1"/>
  <c r="AO16" i="14"/>
  <c r="L43" i="28"/>
  <c r="W37" i="28"/>
  <c r="B43" i="26"/>
  <c r="B60" i="26"/>
  <c r="W44" i="25"/>
  <c r="W61" i="25"/>
  <c r="Y44" i="25"/>
  <c r="Y61" i="25"/>
  <c r="B30" i="24"/>
  <c r="B47" i="24"/>
  <c r="D39" i="22"/>
  <c r="D38" i="23" s="1"/>
  <c r="C38" i="23"/>
  <c r="B31" i="23"/>
  <c r="B41" i="23"/>
  <c r="D29" i="22"/>
  <c r="D28" i="23" s="1"/>
  <c r="C28" i="23"/>
  <c r="Y32" i="22"/>
  <c r="Y42" i="22"/>
  <c r="B41" i="22"/>
  <c r="B31" i="22"/>
  <c r="U30" i="22"/>
  <c r="W32" i="22"/>
  <c r="W42" i="22"/>
  <c r="E40" i="22"/>
  <c r="E39" i="23" s="1"/>
  <c r="C40" i="22"/>
  <c r="U40" i="22"/>
  <c r="D30" i="22"/>
  <c r="D29" i="23" s="1"/>
  <c r="C29" i="23"/>
  <c r="B19" i="21"/>
  <c r="B29" i="21"/>
  <c r="B58" i="20"/>
  <c r="B42" i="20"/>
  <c r="C28" i="20"/>
  <c r="Y42" i="19"/>
  <c r="Y58" i="19"/>
  <c r="W59" i="19"/>
  <c r="W43" i="19"/>
  <c r="D36" i="16"/>
  <c r="D35" i="17" s="1"/>
  <c r="B56" i="17"/>
  <c r="B80" i="17"/>
  <c r="W50" i="16"/>
  <c r="W74" i="16"/>
  <c r="Y51" i="16"/>
  <c r="Y75" i="16"/>
  <c r="B38" i="16"/>
  <c r="U37" i="16"/>
  <c r="E37" i="16"/>
  <c r="E36" i="17" s="1"/>
  <c r="C37" i="16"/>
  <c r="B34" i="15"/>
  <c r="B58" i="15"/>
  <c r="B47" i="13"/>
  <c r="B68" i="13"/>
  <c r="Y48" i="12"/>
  <c r="Y69" i="12"/>
  <c r="W47" i="12"/>
  <c r="W68" i="12"/>
  <c r="B34" i="11"/>
  <c r="B55" i="11"/>
  <c r="C38" i="7"/>
  <c r="D133" i="1"/>
  <c r="D132" i="2" s="1"/>
  <c r="C132" i="2"/>
  <c r="B135" i="1"/>
  <c r="U87" i="1"/>
  <c r="B88" i="1"/>
  <c r="U134" i="1"/>
  <c r="E134" i="1"/>
  <c r="E133" i="2" s="1"/>
  <c r="C134" i="1"/>
  <c r="B18" i="14"/>
  <c r="B19" i="14" s="1"/>
  <c r="W13" i="31"/>
  <c r="B32" i="34"/>
  <c r="B46" i="34" s="1"/>
  <c r="U31" i="34"/>
  <c r="C31" i="34"/>
  <c r="E31" i="34"/>
  <c r="E30" i="35" s="1"/>
  <c r="D30" i="34"/>
  <c r="D29" i="35" s="1"/>
  <c r="C29" i="35"/>
  <c r="C30" i="26"/>
  <c r="D31" i="25"/>
  <c r="D30" i="26" s="1"/>
  <c r="B33" i="25"/>
  <c r="U32" i="25"/>
  <c r="C32" i="25"/>
  <c r="E32" i="25"/>
  <c r="E31" i="26" s="1"/>
  <c r="D30" i="25"/>
  <c r="D29" i="26" s="1"/>
  <c r="C29" i="26"/>
  <c r="B33" i="19"/>
  <c r="U32" i="19"/>
  <c r="U31" i="19"/>
  <c r="B18" i="18"/>
  <c r="B19" i="18" s="1"/>
  <c r="B20" i="18" s="1"/>
  <c r="B21" i="18" s="1"/>
  <c r="E30" i="19"/>
  <c r="E29" i="20" s="1"/>
  <c r="C30" i="19"/>
  <c r="D30" i="19" s="1"/>
  <c r="D29" i="20" s="1"/>
  <c r="C31" i="19"/>
  <c r="B32" i="12"/>
  <c r="U31" i="12"/>
  <c r="C31" i="12"/>
  <c r="E31" i="12"/>
  <c r="E30" i="13" s="1"/>
  <c r="C29" i="13"/>
  <c r="D30" i="12"/>
  <c r="D29" i="13" s="1"/>
  <c r="O63" i="34"/>
  <c r="AS18" i="14"/>
  <c r="AP18" i="14"/>
  <c r="AT18" i="14" s="1"/>
  <c r="O95" i="16"/>
  <c r="AS12" i="14"/>
  <c r="AP12" i="14"/>
  <c r="AT12" i="14" s="1"/>
  <c r="L92" i="12"/>
  <c r="W86" i="12"/>
  <c r="AO11" i="14"/>
  <c r="O86" i="12" a="1"/>
  <c r="B41" i="35" l="1"/>
  <c r="B54" i="35"/>
  <c r="W42" i="34"/>
  <c r="W55" i="34"/>
  <c r="U46" i="34"/>
  <c r="E46" i="34"/>
  <c r="E45" i="35" s="1"/>
  <c r="C46" i="34"/>
  <c r="Y42" i="34"/>
  <c r="Y55" i="34"/>
  <c r="AD12" i="32"/>
  <c r="W24" i="31"/>
  <c r="W35" i="31" s="1"/>
  <c r="I17" i="14" s="1"/>
  <c r="L17" i="14" s="1"/>
  <c r="W17" i="14" s="1"/>
  <c r="AS16" i="14"/>
  <c r="AP16" i="14"/>
  <c r="AT16" i="14" s="1"/>
  <c r="B44" i="26"/>
  <c r="B61" i="26"/>
  <c r="Y45" i="25"/>
  <c r="Y62" i="25"/>
  <c r="W45" i="25"/>
  <c r="W62" i="25"/>
  <c r="B31" i="24"/>
  <c r="B48" i="24"/>
  <c r="D40" i="22"/>
  <c r="D39" i="23" s="1"/>
  <c r="C39" i="23"/>
  <c r="B32" i="23"/>
  <c r="B43" i="23" s="1"/>
  <c r="B42" i="23"/>
  <c r="B42" i="22"/>
  <c r="U31" i="22"/>
  <c r="B32" i="22"/>
  <c r="E31" i="22"/>
  <c r="E30" i="23" s="1"/>
  <c r="C31" i="22"/>
  <c r="E41" i="22"/>
  <c r="E40" i="23" s="1"/>
  <c r="C41" i="22"/>
  <c r="U41" i="22"/>
  <c r="Y33" i="22"/>
  <c r="Y43" i="22"/>
  <c r="W33" i="22"/>
  <c r="W44" i="22" s="1"/>
  <c r="W43" i="22"/>
  <c r="W46" i="22"/>
  <c r="I14" i="14" s="1"/>
  <c r="L14" i="14" s="1"/>
  <c r="W14" i="14" s="1"/>
  <c r="B20" i="21"/>
  <c r="B30" i="21"/>
  <c r="B59" i="20"/>
  <c r="B43" i="20"/>
  <c r="W60" i="19"/>
  <c r="W44" i="19"/>
  <c r="Y59" i="19"/>
  <c r="Y43" i="19"/>
  <c r="B22" i="18"/>
  <c r="B38" i="18"/>
  <c r="B57" i="17"/>
  <c r="B81" i="17"/>
  <c r="B39" i="16"/>
  <c r="U38" i="16"/>
  <c r="E38" i="16"/>
  <c r="E37" i="17" s="1"/>
  <c r="C38" i="16"/>
  <c r="Y52" i="16"/>
  <c r="Y76" i="16"/>
  <c r="C36" i="17"/>
  <c r="D37" i="16"/>
  <c r="D36" i="17" s="1"/>
  <c r="W51" i="16"/>
  <c r="W75" i="16"/>
  <c r="B35" i="15"/>
  <c r="B59" i="15"/>
  <c r="B48" i="13"/>
  <c r="B69" i="13"/>
  <c r="W48" i="12"/>
  <c r="W69" i="12"/>
  <c r="Y49" i="12"/>
  <c r="Y70" i="12"/>
  <c r="B35" i="11"/>
  <c r="B56" i="11"/>
  <c r="D134" i="1"/>
  <c r="D133" i="2" s="1"/>
  <c r="C133" i="2"/>
  <c r="B89" i="1"/>
  <c r="B136" i="1"/>
  <c r="U88" i="1"/>
  <c r="E135" i="1"/>
  <c r="E134" i="2" s="1"/>
  <c r="C135" i="1"/>
  <c r="U135" i="1"/>
  <c r="B20" i="14"/>
  <c r="W13" i="37"/>
  <c r="AD12" i="38" s="1"/>
  <c r="W13" i="34"/>
  <c r="AD12" i="35" s="1"/>
  <c r="D31" i="34"/>
  <c r="D30" i="35" s="1"/>
  <c r="C30" i="35"/>
  <c r="B33" i="34"/>
  <c r="B47" i="34" s="1"/>
  <c r="U32" i="34"/>
  <c r="E32" i="34"/>
  <c r="E31" i="35" s="1"/>
  <c r="C32" i="34"/>
  <c r="B34" i="25"/>
  <c r="U33" i="25"/>
  <c r="C33" i="25"/>
  <c r="E33" i="25"/>
  <c r="E32" i="26" s="1"/>
  <c r="D32" i="25"/>
  <c r="D31" i="26" s="1"/>
  <c r="C31" i="26"/>
  <c r="B34" i="19"/>
  <c r="B51" i="19" s="1"/>
  <c r="U33" i="19"/>
  <c r="E32" i="19"/>
  <c r="E31" i="20" s="1"/>
  <c r="E33" i="19"/>
  <c r="C34" i="19"/>
  <c r="D34" i="19" s="1"/>
  <c r="C32" i="19"/>
  <c r="C33" i="19"/>
  <c r="D33" i="19" s="1"/>
  <c r="C29" i="20"/>
  <c r="D31" i="19"/>
  <c r="D30" i="20" s="1"/>
  <c r="C30" i="20"/>
  <c r="D31" i="12"/>
  <c r="D30" i="13" s="1"/>
  <c r="C30" i="13"/>
  <c r="U32" i="12"/>
  <c r="B33" i="12"/>
  <c r="E32" i="12"/>
  <c r="E31" i="13" s="1"/>
  <c r="C32" i="12"/>
  <c r="O86" i="12"/>
  <c r="AS11" i="14"/>
  <c r="AP11" i="14"/>
  <c r="AT11" i="14" s="1"/>
  <c r="D46" i="34" l="1"/>
  <c r="D45" i="35" s="1"/>
  <c r="C45" i="35"/>
  <c r="B42" i="35"/>
  <c r="B55" i="35"/>
  <c r="Y43" i="34"/>
  <c r="Y56" i="34"/>
  <c r="E47" i="34"/>
  <c r="E46" i="35" s="1"/>
  <c r="C47" i="34"/>
  <c r="U47" i="34"/>
  <c r="W43" i="34"/>
  <c r="W56" i="34"/>
  <c r="B45" i="26"/>
  <c r="B62" i="26"/>
  <c r="W46" i="25"/>
  <c r="W63" i="25"/>
  <c r="Y46" i="25"/>
  <c r="Y63" i="25"/>
  <c r="B32" i="24"/>
  <c r="B49" i="24"/>
  <c r="D41" i="22"/>
  <c r="D40" i="23" s="1"/>
  <c r="C40" i="23"/>
  <c r="D31" i="22"/>
  <c r="D30" i="23" s="1"/>
  <c r="C30" i="23"/>
  <c r="B43" i="22"/>
  <c r="U32" i="22"/>
  <c r="B33" i="22"/>
  <c r="Y44" i="22"/>
  <c r="Y46" i="22"/>
  <c r="Y14" i="14" s="1"/>
  <c r="AD14" i="14" s="1"/>
  <c r="C42" i="22"/>
  <c r="U42" i="22"/>
  <c r="E42" i="22"/>
  <c r="E41" i="23" s="1"/>
  <c r="B31" i="21"/>
  <c r="E33" i="22"/>
  <c r="E32" i="23" s="1"/>
  <c r="B44" i="20"/>
  <c r="B60" i="20"/>
  <c r="E51" i="19"/>
  <c r="E50" i="20" s="1"/>
  <c r="U51" i="19"/>
  <c r="C51" i="19"/>
  <c r="Y60" i="19"/>
  <c r="Y44" i="19"/>
  <c r="E34" i="19"/>
  <c r="E33" i="20" s="1"/>
  <c r="W45" i="19"/>
  <c r="W61" i="19"/>
  <c r="B23" i="18"/>
  <c r="B39" i="18"/>
  <c r="B58" i="17"/>
  <c r="B82" i="17"/>
  <c r="Y53" i="16"/>
  <c r="Y77" i="16"/>
  <c r="D38" i="16"/>
  <c r="D37" i="17" s="1"/>
  <c r="C37" i="17"/>
  <c r="W52" i="16"/>
  <c r="W76" i="16"/>
  <c r="B40" i="16"/>
  <c r="U39" i="16"/>
  <c r="E39" i="16"/>
  <c r="E38" i="17" s="1"/>
  <c r="C39" i="16"/>
  <c r="B36" i="15"/>
  <c r="B60" i="15"/>
  <c r="B49" i="13"/>
  <c r="B70" i="13"/>
  <c r="Y50" i="12"/>
  <c r="Y71" i="12"/>
  <c r="W49" i="12"/>
  <c r="W70" i="12"/>
  <c r="B36" i="11"/>
  <c r="B57" i="11"/>
  <c r="D135" i="1"/>
  <c r="D134" i="2" s="1"/>
  <c r="C134" i="2"/>
  <c r="C136" i="1"/>
  <c r="U136" i="1"/>
  <c r="E136" i="1"/>
  <c r="E135" i="2" s="1"/>
  <c r="B137" i="1"/>
  <c r="U89" i="1"/>
  <c r="B90" i="1"/>
  <c r="W13" i="40"/>
  <c r="B34" i="34"/>
  <c r="B48" i="34" s="1"/>
  <c r="U33" i="34"/>
  <c r="E33" i="34"/>
  <c r="E32" i="35" s="1"/>
  <c r="C33" i="34"/>
  <c r="D32" i="34"/>
  <c r="D31" i="35" s="1"/>
  <c r="C31" i="35"/>
  <c r="D33" i="25"/>
  <c r="D32" i="26" s="1"/>
  <c r="C32" i="26"/>
  <c r="B35" i="25"/>
  <c r="B53" i="25" s="1"/>
  <c r="U34" i="25"/>
  <c r="C34" i="25"/>
  <c r="E34" i="25"/>
  <c r="E33" i="26" s="1"/>
  <c r="B35" i="19"/>
  <c r="B52" i="19" s="1"/>
  <c r="U34" i="19"/>
  <c r="D32" i="19"/>
  <c r="D31" i="20" s="1"/>
  <c r="C31" i="20"/>
  <c r="D32" i="20"/>
  <c r="C32" i="20"/>
  <c r="U33" i="12"/>
  <c r="B34" i="12"/>
  <c r="C33" i="12"/>
  <c r="E33" i="12"/>
  <c r="E32" i="13" s="1"/>
  <c r="C31" i="13"/>
  <c r="D32" i="12"/>
  <c r="D31" i="13" s="1"/>
  <c r="AD12" i="41" l="1"/>
  <c r="W24" i="40"/>
  <c r="W35" i="40" s="1"/>
  <c r="I20" i="14" s="1"/>
  <c r="L20" i="14" s="1"/>
  <c r="W20" i="14" s="1"/>
  <c r="D47" i="34"/>
  <c r="D46" i="35" s="1"/>
  <c r="C46" i="35"/>
  <c r="B43" i="35"/>
  <c r="B56" i="35"/>
  <c r="W44" i="34"/>
  <c r="W57" i="34"/>
  <c r="E48" i="34"/>
  <c r="E47" i="35" s="1"/>
  <c r="C48" i="34"/>
  <c r="U48" i="34"/>
  <c r="Y44" i="34"/>
  <c r="Y57" i="34"/>
  <c r="B46" i="26"/>
  <c r="B63" i="26"/>
  <c r="Y47" i="25"/>
  <c r="Y64" i="25"/>
  <c r="E53" i="25"/>
  <c r="E52" i="26" s="1"/>
  <c r="C53" i="25"/>
  <c r="U53" i="25"/>
  <c r="W47" i="25"/>
  <c r="W64" i="25"/>
  <c r="B33" i="24"/>
  <c r="B50" i="24"/>
  <c r="D42" i="22"/>
  <c r="D41" i="23" s="1"/>
  <c r="C41" i="23"/>
  <c r="B44" i="22"/>
  <c r="U44" i="22" s="1"/>
  <c r="U33" i="22"/>
  <c r="E43" i="22"/>
  <c r="E42" i="23" s="1"/>
  <c r="C43" i="22"/>
  <c r="U43" i="22"/>
  <c r="C33" i="22"/>
  <c r="E44" i="22"/>
  <c r="E43" i="23" s="1"/>
  <c r="E32" i="22"/>
  <c r="E31" i="23" s="1"/>
  <c r="C44" i="22"/>
  <c r="C32" i="22"/>
  <c r="D51" i="19"/>
  <c r="D50" i="20" s="1"/>
  <c r="C50" i="20"/>
  <c r="B45" i="20"/>
  <c r="B61" i="20"/>
  <c r="E52" i="19"/>
  <c r="E51" i="20" s="1"/>
  <c r="C52" i="19"/>
  <c r="U52" i="19"/>
  <c r="Y45" i="19"/>
  <c r="Y61" i="19"/>
  <c r="W46" i="19"/>
  <c r="W62" i="19"/>
  <c r="B24" i="18"/>
  <c r="B40" i="18"/>
  <c r="B59" i="17"/>
  <c r="B83" i="17"/>
  <c r="B41" i="16"/>
  <c r="U40" i="16"/>
  <c r="E40" i="16"/>
  <c r="E39" i="17" s="1"/>
  <c r="C40" i="16"/>
  <c r="W53" i="16"/>
  <c r="W77" i="16"/>
  <c r="C38" i="17"/>
  <c r="D39" i="16"/>
  <c r="D38" i="17" s="1"/>
  <c r="Y54" i="16"/>
  <c r="Y78" i="16"/>
  <c r="B37" i="15"/>
  <c r="B61" i="15"/>
  <c r="B50" i="13"/>
  <c r="B71" i="13"/>
  <c r="W50" i="12"/>
  <c r="W71" i="12"/>
  <c r="Y51" i="12"/>
  <c r="Y72" i="12"/>
  <c r="B37" i="11"/>
  <c r="B58" i="11"/>
  <c r="D136" i="1"/>
  <c r="D135" i="2" s="1"/>
  <c r="C135" i="2"/>
  <c r="B138" i="1"/>
  <c r="U90" i="1"/>
  <c r="B91" i="1"/>
  <c r="E137" i="1"/>
  <c r="E136" i="2" s="1"/>
  <c r="C137" i="1"/>
  <c r="U137" i="1"/>
  <c r="D33" i="34"/>
  <c r="D32" i="35" s="1"/>
  <c r="C32" i="35"/>
  <c r="B35" i="34"/>
  <c r="B49" i="34" s="1"/>
  <c r="U34" i="34"/>
  <c r="E34" i="34"/>
  <c r="E33" i="35" s="1"/>
  <c r="C34" i="34"/>
  <c r="D34" i="25"/>
  <c r="D33" i="26" s="1"/>
  <c r="C33" i="26"/>
  <c r="B36" i="25"/>
  <c r="B54" i="25" s="1"/>
  <c r="U35" i="25"/>
  <c r="C35" i="25"/>
  <c r="E35" i="25"/>
  <c r="E34" i="26" s="1"/>
  <c r="B36" i="19"/>
  <c r="B53" i="19" s="1"/>
  <c r="U35" i="19"/>
  <c r="C35" i="19"/>
  <c r="D35" i="19" s="1"/>
  <c r="E35" i="19"/>
  <c r="E34" i="20" s="1"/>
  <c r="D33" i="20"/>
  <c r="C33" i="20"/>
  <c r="D33" i="12"/>
  <c r="D32" i="13" s="1"/>
  <c r="C32" i="13"/>
  <c r="B35" i="12"/>
  <c r="U34" i="12"/>
  <c r="E34" i="12"/>
  <c r="E33" i="13" s="1"/>
  <c r="C34" i="12"/>
  <c r="D48" i="34" l="1"/>
  <c r="D47" i="35" s="1"/>
  <c r="C47" i="35"/>
  <c r="B44" i="35"/>
  <c r="B58" i="35" s="1"/>
  <c r="B57" i="35"/>
  <c r="Y45" i="34"/>
  <c r="Y59" i="34" s="1"/>
  <c r="Y58" i="34"/>
  <c r="C49" i="34"/>
  <c r="U49" i="34"/>
  <c r="E49" i="34"/>
  <c r="E48" i="35" s="1"/>
  <c r="W45" i="34"/>
  <c r="W59" i="34" s="1"/>
  <c r="W61" i="34" s="1"/>
  <c r="I18" i="14" s="1"/>
  <c r="L18" i="14" s="1"/>
  <c r="W18" i="14" s="1"/>
  <c r="W58" i="34"/>
  <c r="D53" i="25"/>
  <c r="D52" i="26" s="1"/>
  <c r="C52" i="26"/>
  <c r="B47" i="26"/>
  <c r="B64" i="26"/>
  <c r="E54" i="25"/>
  <c r="E53" i="26" s="1"/>
  <c r="U54" i="25"/>
  <c r="C54" i="25"/>
  <c r="W48" i="25"/>
  <c r="W65" i="25"/>
  <c r="Y48" i="25"/>
  <c r="Y65" i="25"/>
  <c r="B34" i="24"/>
  <c r="B51" i="24"/>
  <c r="D43" i="22"/>
  <c r="D42" i="23" s="1"/>
  <c r="C42" i="23"/>
  <c r="C31" i="23"/>
  <c r="D32" i="22"/>
  <c r="D31" i="23" s="1"/>
  <c r="D44" i="22"/>
  <c r="D43" i="23" s="1"/>
  <c r="C43" i="23"/>
  <c r="C32" i="23"/>
  <c r="D33" i="22"/>
  <c r="D32" i="23" s="1"/>
  <c r="D52" i="19"/>
  <c r="D51" i="20" s="1"/>
  <c r="C51" i="20"/>
  <c r="B46" i="20"/>
  <c r="B62" i="20"/>
  <c r="W47" i="19"/>
  <c r="W63" i="19"/>
  <c r="Y46" i="19"/>
  <c r="Y62" i="19"/>
  <c r="E53" i="19"/>
  <c r="E52" i="20" s="1"/>
  <c r="C53" i="19"/>
  <c r="U53" i="19"/>
  <c r="B25" i="18"/>
  <c r="B41" i="18"/>
  <c r="B60" i="17"/>
  <c r="B84" i="17"/>
  <c r="W54" i="16"/>
  <c r="W78" i="16"/>
  <c r="C39" i="17"/>
  <c r="D40" i="16"/>
  <c r="D39" i="17" s="1"/>
  <c r="Y55" i="16"/>
  <c r="Y79" i="16"/>
  <c r="B42" i="16"/>
  <c r="U41" i="16"/>
  <c r="C41" i="16"/>
  <c r="E41" i="16"/>
  <c r="E40" i="17" s="1"/>
  <c r="B38" i="15"/>
  <c r="B62" i="15"/>
  <c r="B51" i="13"/>
  <c r="B72" i="13"/>
  <c r="Y52" i="12"/>
  <c r="Y73" i="12"/>
  <c r="W51" i="12"/>
  <c r="W72" i="12"/>
  <c r="B38" i="11"/>
  <c r="B59" i="11"/>
  <c r="D137" i="1"/>
  <c r="D136" i="2" s="1"/>
  <c r="C136" i="2"/>
  <c r="B92" i="1"/>
  <c r="B139" i="1"/>
  <c r="U91" i="1"/>
  <c r="E138" i="1"/>
  <c r="E137" i="2" s="1"/>
  <c r="C138" i="1"/>
  <c r="U138" i="1"/>
  <c r="C33" i="35"/>
  <c r="D34" i="34"/>
  <c r="D33" i="35" s="1"/>
  <c r="B36" i="34"/>
  <c r="U35" i="34"/>
  <c r="E35" i="34"/>
  <c r="E34" i="35" s="1"/>
  <c r="C35" i="34"/>
  <c r="B37" i="25"/>
  <c r="B55" i="25" s="1"/>
  <c r="U36" i="25"/>
  <c r="E36" i="25"/>
  <c r="E35" i="26" s="1"/>
  <c r="C36" i="25"/>
  <c r="D35" i="25"/>
  <c r="D34" i="26" s="1"/>
  <c r="C34" i="26"/>
  <c r="B37" i="19"/>
  <c r="B54" i="19" s="1"/>
  <c r="U36" i="19"/>
  <c r="E36" i="19"/>
  <c r="E35" i="20" s="1"/>
  <c r="C36" i="19"/>
  <c r="D36" i="19" s="1"/>
  <c r="C34" i="20"/>
  <c r="D34" i="20"/>
  <c r="D34" i="12"/>
  <c r="D33" i="13" s="1"/>
  <c r="C33" i="13"/>
  <c r="U35" i="12"/>
  <c r="B36" i="12"/>
  <c r="C35" i="12"/>
  <c r="E35" i="12"/>
  <c r="E34" i="13" s="1"/>
  <c r="D49" i="34" l="1"/>
  <c r="D48" i="35" s="1"/>
  <c r="C48" i="35"/>
  <c r="B37" i="34"/>
  <c r="B51" i="34" s="1"/>
  <c r="B50" i="34"/>
  <c r="Y61" i="34"/>
  <c r="Y18" i="14" s="1"/>
  <c r="AD18" i="14" s="1"/>
  <c r="D54" i="25"/>
  <c r="D53" i="26" s="1"/>
  <c r="C53" i="26"/>
  <c r="B48" i="26"/>
  <c r="B65" i="26"/>
  <c r="Y49" i="25"/>
  <c r="Y66" i="25"/>
  <c r="W49" i="25"/>
  <c r="W66" i="25"/>
  <c r="C55" i="25"/>
  <c r="U55" i="25"/>
  <c r="E55" i="25"/>
  <c r="E54" i="26" s="1"/>
  <c r="B35" i="24"/>
  <c r="B52" i="24"/>
  <c r="D53" i="19"/>
  <c r="D52" i="20" s="1"/>
  <c r="C52" i="20"/>
  <c r="B47" i="20"/>
  <c r="B63" i="20"/>
  <c r="U54" i="19"/>
  <c r="E54" i="19"/>
  <c r="E53" i="20" s="1"/>
  <c r="C54" i="19"/>
  <c r="Y47" i="19"/>
  <c r="Y63" i="19"/>
  <c r="W48" i="19"/>
  <c r="W64" i="19"/>
  <c r="B26" i="18"/>
  <c r="B42" i="18"/>
  <c r="B61" i="17"/>
  <c r="B85" i="17"/>
  <c r="B43" i="16"/>
  <c r="B67" i="16"/>
  <c r="U42" i="16"/>
  <c r="C42" i="16"/>
  <c r="E42" i="16"/>
  <c r="E41" i="17" s="1"/>
  <c r="Y56" i="16"/>
  <c r="Y80" i="16"/>
  <c r="D41" i="16"/>
  <c r="D40" i="17" s="1"/>
  <c r="C40" i="17"/>
  <c r="W55" i="16"/>
  <c r="W79" i="16"/>
  <c r="B39" i="15"/>
  <c r="B63" i="15"/>
  <c r="B52" i="13"/>
  <c r="B73" i="13"/>
  <c r="W52" i="12"/>
  <c r="W73" i="12"/>
  <c r="Y53" i="12"/>
  <c r="Y74" i="12"/>
  <c r="B39" i="11"/>
  <c r="B60" i="11"/>
  <c r="D138" i="1"/>
  <c r="D137" i="2" s="1"/>
  <c r="C137" i="2"/>
  <c r="C139" i="1"/>
  <c r="U139" i="1"/>
  <c r="E139" i="1"/>
  <c r="E138" i="2" s="1"/>
  <c r="B140" i="1"/>
  <c r="U92" i="1"/>
  <c r="C92" i="1"/>
  <c r="E92" i="1"/>
  <c r="E91" i="2" s="1"/>
  <c r="B93" i="1"/>
  <c r="B38" i="34"/>
  <c r="U37" i="34"/>
  <c r="E37" i="34"/>
  <c r="E36" i="35" s="1"/>
  <c r="C37" i="34"/>
  <c r="D35" i="34"/>
  <c r="D34" i="35" s="1"/>
  <c r="C34" i="35"/>
  <c r="U36" i="34"/>
  <c r="E36" i="34"/>
  <c r="E35" i="35" s="1"/>
  <c r="C36" i="34"/>
  <c r="C35" i="26"/>
  <c r="D36" i="25"/>
  <c r="D35" i="26" s="1"/>
  <c r="B38" i="25"/>
  <c r="B56" i="25" s="1"/>
  <c r="U37" i="25"/>
  <c r="E37" i="25"/>
  <c r="E36" i="26" s="1"/>
  <c r="C37" i="25"/>
  <c r="B38" i="19"/>
  <c r="B55" i="19" s="1"/>
  <c r="U37" i="19"/>
  <c r="C37" i="19"/>
  <c r="D37" i="19" s="1"/>
  <c r="E37" i="19"/>
  <c r="E36" i="20" s="1"/>
  <c r="C34" i="13"/>
  <c r="D35" i="12"/>
  <c r="D34" i="13" s="1"/>
  <c r="U36" i="12"/>
  <c r="B37" i="12"/>
  <c r="E36" i="12"/>
  <c r="E35" i="13" s="1"/>
  <c r="C36" i="12"/>
  <c r="AF48" i="10"/>
  <c r="S48" i="10"/>
  <c r="X10" i="14" s="1"/>
  <c r="B52" i="34" l="1"/>
  <c r="B39" i="34"/>
  <c r="E50" i="34"/>
  <c r="E49" i="35" s="1"/>
  <c r="C50" i="34"/>
  <c r="U50" i="34"/>
  <c r="U51" i="34"/>
  <c r="E51" i="34"/>
  <c r="E50" i="35" s="1"/>
  <c r="C51" i="34"/>
  <c r="D55" i="25"/>
  <c r="D54" i="26" s="1"/>
  <c r="C54" i="26"/>
  <c r="B66" i="26"/>
  <c r="B49" i="26"/>
  <c r="E56" i="25"/>
  <c r="E55" i="26" s="1"/>
  <c r="C56" i="25"/>
  <c r="U56" i="25"/>
  <c r="W67" i="25"/>
  <c r="W50" i="25"/>
  <c r="Y67" i="25"/>
  <c r="Y50" i="25"/>
  <c r="B36" i="24"/>
  <c r="B53" i="24"/>
  <c r="D54" i="19"/>
  <c r="D53" i="20" s="1"/>
  <c r="C53" i="20"/>
  <c r="B48" i="20"/>
  <c r="B64" i="20"/>
  <c r="W49" i="19"/>
  <c r="W65" i="19"/>
  <c r="Y48" i="19"/>
  <c r="Y64" i="19"/>
  <c r="E55" i="19"/>
  <c r="E54" i="20" s="1"/>
  <c r="C55" i="19"/>
  <c r="U55" i="19"/>
  <c r="B27" i="18"/>
  <c r="B43" i="18"/>
  <c r="B62" i="17"/>
  <c r="B86" i="17"/>
  <c r="Y57" i="16"/>
  <c r="Y81" i="16"/>
  <c r="D42" i="16"/>
  <c r="D41" i="17" s="1"/>
  <c r="C41" i="17"/>
  <c r="W56" i="16"/>
  <c r="W80" i="16"/>
  <c r="U67" i="16"/>
  <c r="E67" i="16"/>
  <c r="E66" i="17" s="1"/>
  <c r="C67" i="16"/>
  <c r="B44" i="16"/>
  <c r="B68" i="16"/>
  <c r="U43" i="16"/>
  <c r="C43" i="16"/>
  <c r="E43" i="16"/>
  <c r="E42" i="17" s="1"/>
  <c r="B40" i="15"/>
  <c r="B64" i="15"/>
  <c r="B53" i="13"/>
  <c r="B74" i="13"/>
  <c r="Y54" i="12"/>
  <c r="Y75" i="12"/>
  <c r="W53" i="12"/>
  <c r="W74" i="12"/>
  <c r="B40" i="11"/>
  <c r="B61" i="11"/>
  <c r="D139" i="1"/>
  <c r="D138" i="2" s="1"/>
  <c r="C138" i="2"/>
  <c r="D92" i="1"/>
  <c r="D91" i="2" s="1"/>
  <c r="C91" i="2"/>
  <c r="B94" i="1"/>
  <c r="B141" i="1"/>
  <c r="U93" i="1"/>
  <c r="E93" i="1"/>
  <c r="E92" i="2" s="1"/>
  <c r="C93" i="1"/>
  <c r="E140" i="1"/>
  <c r="E139" i="2" s="1"/>
  <c r="C140" i="1"/>
  <c r="U140" i="1"/>
  <c r="D37" i="34"/>
  <c r="D36" i="35" s="1"/>
  <c r="C36" i="35"/>
  <c r="U38" i="34"/>
  <c r="C38" i="34"/>
  <c r="E38" i="34"/>
  <c r="E37" i="35" s="1"/>
  <c r="D36" i="34"/>
  <c r="D35" i="35" s="1"/>
  <c r="C35" i="35"/>
  <c r="C36" i="26"/>
  <c r="D37" i="25"/>
  <c r="D36" i="26" s="1"/>
  <c r="B39" i="25"/>
  <c r="B57" i="25" s="1"/>
  <c r="U38" i="25"/>
  <c r="E38" i="25"/>
  <c r="E37" i="26" s="1"/>
  <c r="C38" i="25"/>
  <c r="B39" i="19"/>
  <c r="B56" i="19" s="1"/>
  <c r="U38" i="19"/>
  <c r="C38" i="19"/>
  <c r="D38" i="19" s="1"/>
  <c r="E38" i="19"/>
  <c r="E37" i="20" s="1"/>
  <c r="D36" i="20"/>
  <c r="C36" i="20"/>
  <c r="C35" i="13"/>
  <c r="D36" i="12"/>
  <c r="D35" i="13" s="1"/>
  <c r="B38" i="12"/>
  <c r="U37" i="12"/>
  <c r="C37" i="12"/>
  <c r="E37" i="12"/>
  <c r="E36" i="13" s="1"/>
  <c r="AD10" i="14"/>
  <c r="X22" i="14"/>
  <c r="AN10" i="14"/>
  <c r="X48" i="10"/>
  <c r="N49" i="9"/>
  <c r="X49" i="10" s="1"/>
  <c r="Q49" i="9"/>
  <c r="AF49" i="10" s="1"/>
  <c r="D50" i="34" l="1"/>
  <c r="D49" i="35" s="1"/>
  <c r="C49" i="35"/>
  <c r="D51" i="34"/>
  <c r="D50" i="35" s="1"/>
  <c r="C50" i="35"/>
  <c r="B53" i="34"/>
  <c r="B40" i="34"/>
  <c r="U39" i="34"/>
  <c r="E39" i="34"/>
  <c r="E38" i="35" s="1"/>
  <c r="C39" i="34"/>
  <c r="C52" i="34"/>
  <c r="E52" i="34"/>
  <c r="E51" i="35" s="1"/>
  <c r="U52" i="34"/>
  <c r="D56" i="25"/>
  <c r="D55" i="26" s="1"/>
  <c r="C55" i="26"/>
  <c r="B67" i="26"/>
  <c r="B50" i="26"/>
  <c r="Y68" i="25"/>
  <c r="Y51" i="25"/>
  <c r="U57" i="25"/>
  <c r="E57" i="25"/>
  <c r="E56" i="26" s="1"/>
  <c r="C57" i="25"/>
  <c r="W68" i="25"/>
  <c r="W51" i="25"/>
  <c r="B54" i="24"/>
  <c r="B37" i="24"/>
  <c r="D55" i="19"/>
  <c r="D54" i="20" s="1"/>
  <c r="C54" i="20"/>
  <c r="B49" i="20"/>
  <c r="B66" i="20" s="1"/>
  <c r="B65" i="20"/>
  <c r="Y49" i="19"/>
  <c r="Y65" i="19"/>
  <c r="E56" i="19"/>
  <c r="E55" i="20" s="1"/>
  <c r="C56" i="19"/>
  <c r="U56" i="19"/>
  <c r="W50" i="19"/>
  <c r="W67" i="19" s="1"/>
  <c r="W66" i="19"/>
  <c r="W69" i="19"/>
  <c r="I13" i="14" s="1"/>
  <c r="L13" i="14" s="1"/>
  <c r="W13" i="14" s="1"/>
  <c r="B28" i="18"/>
  <c r="B44" i="18"/>
  <c r="D67" i="16"/>
  <c r="D66" i="17" s="1"/>
  <c r="C66" i="17"/>
  <c r="B63" i="17"/>
  <c r="B87" i="17"/>
  <c r="D43" i="16"/>
  <c r="D42" i="17" s="1"/>
  <c r="C42" i="17"/>
  <c r="W57" i="16"/>
  <c r="W81" i="16"/>
  <c r="C68" i="16"/>
  <c r="U68" i="16"/>
  <c r="E68" i="16"/>
  <c r="E67" i="17" s="1"/>
  <c r="B45" i="16"/>
  <c r="B69" i="16"/>
  <c r="U44" i="16"/>
  <c r="E44" i="16"/>
  <c r="E43" i="17" s="1"/>
  <c r="C44" i="16"/>
  <c r="Y58" i="16"/>
  <c r="Y82" i="16"/>
  <c r="B41" i="15"/>
  <c r="B65" i="15"/>
  <c r="B75" i="13"/>
  <c r="B54" i="13"/>
  <c r="W54" i="12"/>
  <c r="W75" i="12"/>
  <c r="Y55" i="12"/>
  <c r="Y76" i="12"/>
  <c r="B41" i="11"/>
  <c r="B62" i="11"/>
  <c r="D140" i="1"/>
  <c r="D139" i="2" s="1"/>
  <c r="C139" i="2"/>
  <c r="D93" i="1"/>
  <c r="D92" i="2" s="1"/>
  <c r="C92" i="2"/>
  <c r="E141" i="1"/>
  <c r="E140" i="2" s="1"/>
  <c r="C141" i="1"/>
  <c r="U141" i="1"/>
  <c r="B95" i="1"/>
  <c r="B142" i="1"/>
  <c r="U94" i="1"/>
  <c r="D38" i="34"/>
  <c r="D37" i="35" s="1"/>
  <c r="C37" i="35"/>
  <c r="D38" i="25"/>
  <c r="D37" i="26" s="1"/>
  <c r="C37" i="26"/>
  <c r="U39" i="25"/>
  <c r="C39" i="25"/>
  <c r="E39" i="25"/>
  <c r="E38" i="26" s="1"/>
  <c r="B40" i="25"/>
  <c r="B58" i="25" s="1"/>
  <c r="B40" i="19"/>
  <c r="B57" i="19" s="1"/>
  <c r="U39" i="19"/>
  <c r="E39" i="19"/>
  <c r="E38" i="20" s="1"/>
  <c r="C39" i="19"/>
  <c r="D39" i="19" s="1"/>
  <c r="C37" i="20"/>
  <c r="D37" i="20"/>
  <c r="U38" i="12"/>
  <c r="B39" i="12"/>
  <c r="B61" i="12" s="1"/>
  <c r="E38" i="12"/>
  <c r="E37" i="13" s="1"/>
  <c r="C38" i="12"/>
  <c r="D37" i="12"/>
  <c r="D36" i="13" s="1"/>
  <c r="C36" i="13"/>
  <c r="S49" i="9"/>
  <c r="AO10" i="14" s="1"/>
  <c r="T49" i="9"/>
  <c r="R49" i="9"/>
  <c r="AR10" i="14" s="1"/>
  <c r="D52" i="34" l="1"/>
  <c r="D51" i="35" s="1"/>
  <c r="C51" i="35"/>
  <c r="D39" i="34"/>
  <c r="D38" i="35" s="1"/>
  <c r="C38" i="35"/>
  <c r="B54" i="34"/>
  <c r="U40" i="34"/>
  <c r="B41" i="34"/>
  <c r="E40" i="34"/>
  <c r="E39" i="35" s="1"/>
  <c r="C40" i="34"/>
  <c r="E53" i="34"/>
  <c r="E52" i="35" s="1"/>
  <c r="C53" i="34"/>
  <c r="U53" i="34"/>
  <c r="D57" i="25"/>
  <c r="D56" i="26" s="1"/>
  <c r="C56" i="26"/>
  <c r="B51" i="26"/>
  <c r="B69" i="26" s="1"/>
  <c r="B68" i="26"/>
  <c r="W52" i="25"/>
  <c r="W70" i="25" s="1"/>
  <c r="W69" i="25"/>
  <c r="E58" i="25"/>
  <c r="E57" i="26" s="1"/>
  <c r="C58" i="25"/>
  <c r="U58" i="25"/>
  <c r="Y52" i="25"/>
  <c r="Y70" i="25" s="1"/>
  <c r="Y69" i="25"/>
  <c r="B55" i="24"/>
  <c r="B38" i="24"/>
  <c r="D56" i="19"/>
  <c r="D55" i="20" s="1"/>
  <c r="C55" i="20"/>
  <c r="C57" i="19"/>
  <c r="U57" i="19"/>
  <c r="E57" i="19"/>
  <c r="E56" i="20" s="1"/>
  <c r="Y50" i="19"/>
  <c r="Y67" i="19" s="1"/>
  <c r="Y66" i="19"/>
  <c r="B29" i="18"/>
  <c r="B45" i="18"/>
  <c r="D68" i="16"/>
  <c r="D67" i="17" s="1"/>
  <c r="C67" i="17"/>
  <c r="B64" i="17"/>
  <c r="B88" i="17"/>
  <c r="B46" i="16"/>
  <c r="B70" i="16"/>
  <c r="U45" i="16"/>
  <c r="E45" i="16"/>
  <c r="E44" i="17" s="1"/>
  <c r="C45" i="16"/>
  <c r="C43" i="17"/>
  <c r="D44" i="16"/>
  <c r="D43" i="17" s="1"/>
  <c r="W58" i="16"/>
  <c r="W82" i="16"/>
  <c r="Y59" i="16"/>
  <c r="Y83" i="16"/>
  <c r="E69" i="16"/>
  <c r="E68" i="17" s="1"/>
  <c r="C69" i="16"/>
  <c r="U69" i="16"/>
  <c r="B42" i="15"/>
  <c r="B66" i="15"/>
  <c r="B76" i="13"/>
  <c r="B55" i="13"/>
  <c r="Y56" i="12"/>
  <c r="Y77" i="12"/>
  <c r="W55" i="12"/>
  <c r="W76" i="12"/>
  <c r="U61" i="12"/>
  <c r="C61" i="12"/>
  <c r="E61" i="12"/>
  <c r="E60" i="13" s="1"/>
  <c r="B63" i="11"/>
  <c r="B42" i="11"/>
  <c r="D141" i="1"/>
  <c r="D140" i="2" s="1"/>
  <c r="C140" i="2"/>
  <c r="U142" i="1"/>
  <c r="E142" i="1"/>
  <c r="E141" i="2" s="1"/>
  <c r="C142" i="1"/>
  <c r="B143" i="1"/>
  <c r="U95" i="1"/>
  <c r="B96" i="1"/>
  <c r="D39" i="25"/>
  <c r="D38" i="26" s="1"/>
  <c r="C38" i="26"/>
  <c r="U40" i="25"/>
  <c r="C40" i="25"/>
  <c r="E40" i="25"/>
  <c r="E39" i="26" s="1"/>
  <c r="B41" i="25"/>
  <c r="B41" i="19"/>
  <c r="B58" i="19" s="1"/>
  <c r="U40" i="19"/>
  <c r="C40" i="19"/>
  <c r="D40" i="19" s="1"/>
  <c r="E40" i="19"/>
  <c r="E39" i="20" s="1"/>
  <c r="D38" i="20"/>
  <c r="C38" i="20"/>
  <c r="C37" i="13"/>
  <c r="D38" i="12"/>
  <c r="D37" i="13" s="1"/>
  <c r="U39" i="12"/>
  <c r="B40" i="12"/>
  <c r="B62" i="12" s="1"/>
  <c r="E39" i="12"/>
  <c r="E38" i="13" s="1"/>
  <c r="C39" i="12"/>
  <c r="W51" i="9"/>
  <c r="L57" i="9"/>
  <c r="AS10" i="14"/>
  <c r="AP10" i="14"/>
  <c r="O51" i="9" a="1"/>
  <c r="D53" i="34" l="1"/>
  <c r="D52" i="35" s="1"/>
  <c r="C52" i="35"/>
  <c r="D40" i="34"/>
  <c r="D39" i="35" s="1"/>
  <c r="C39" i="35"/>
  <c r="B42" i="34"/>
  <c r="B55" i="34"/>
  <c r="U41" i="34"/>
  <c r="C41" i="34"/>
  <c r="E41" i="34"/>
  <c r="E40" i="35" s="1"/>
  <c r="U54" i="34"/>
  <c r="E54" i="34"/>
  <c r="E53" i="35" s="1"/>
  <c r="C54" i="34"/>
  <c r="D58" i="25"/>
  <c r="D57" i="26" s="1"/>
  <c r="C57" i="26"/>
  <c r="B42" i="25"/>
  <c r="B60" i="25" s="1"/>
  <c r="B59" i="25"/>
  <c r="Y72" i="25"/>
  <c r="Y15" i="14" s="1"/>
  <c r="AD15" i="14" s="1"/>
  <c r="W72" i="25"/>
  <c r="I15" i="14" s="1"/>
  <c r="L15" i="14" s="1"/>
  <c r="W15" i="14" s="1"/>
  <c r="B39" i="24"/>
  <c r="B57" i="24" s="1"/>
  <c r="B56" i="24"/>
  <c r="D57" i="19"/>
  <c r="D56" i="20" s="1"/>
  <c r="C56" i="20"/>
  <c r="E58" i="19"/>
  <c r="E57" i="20" s="1"/>
  <c r="C58" i="19"/>
  <c r="U58" i="19"/>
  <c r="Y69" i="19"/>
  <c r="Y13" i="14" s="1"/>
  <c r="AD13" i="14" s="1"/>
  <c r="B46" i="18"/>
  <c r="B30" i="18"/>
  <c r="D69" i="16"/>
  <c r="D68" i="17" s="1"/>
  <c r="C68" i="17"/>
  <c r="B65" i="17"/>
  <c r="B90" i="17" s="1"/>
  <c r="B89" i="17"/>
  <c r="W59" i="16"/>
  <c r="W83" i="16"/>
  <c r="C44" i="17"/>
  <c r="D45" i="16"/>
  <c r="D44" i="17" s="1"/>
  <c r="Y60" i="16"/>
  <c r="Y84" i="16"/>
  <c r="U70" i="16"/>
  <c r="C70" i="16"/>
  <c r="E70" i="16"/>
  <c r="E69" i="17" s="1"/>
  <c r="B47" i="16"/>
  <c r="B71" i="16"/>
  <c r="U46" i="16"/>
  <c r="C46" i="16"/>
  <c r="E46" i="16"/>
  <c r="E45" i="17" s="1"/>
  <c r="B43" i="15"/>
  <c r="B67" i="15"/>
  <c r="D61" i="12"/>
  <c r="D60" i="13" s="1"/>
  <c r="C60" i="13"/>
  <c r="B56" i="13"/>
  <c r="B77" i="13"/>
  <c r="W56" i="12"/>
  <c r="W77" i="12"/>
  <c r="E62" i="12"/>
  <c r="E61" i="13" s="1"/>
  <c r="C62" i="12"/>
  <c r="U62" i="12"/>
  <c r="Y57" i="12"/>
  <c r="Y78" i="12"/>
  <c r="B64" i="11"/>
  <c r="B43" i="11"/>
  <c r="D142" i="1"/>
  <c r="D141" i="2" s="1"/>
  <c r="C141" i="2"/>
  <c r="B144" i="1"/>
  <c r="U96" i="1"/>
  <c r="B97" i="1"/>
  <c r="E143" i="1"/>
  <c r="E142" i="2" s="1"/>
  <c r="C143" i="1"/>
  <c r="U143" i="1"/>
  <c r="U42" i="25"/>
  <c r="B43" i="25"/>
  <c r="B61" i="25" s="1"/>
  <c r="C42" i="25"/>
  <c r="E42" i="25"/>
  <c r="E41" i="26" s="1"/>
  <c r="U41" i="25"/>
  <c r="C41" i="25"/>
  <c r="E41" i="25"/>
  <c r="E40" i="26" s="1"/>
  <c r="C39" i="26"/>
  <c r="D40" i="25"/>
  <c r="D39" i="26" s="1"/>
  <c r="U41" i="19"/>
  <c r="C41" i="19"/>
  <c r="D41" i="19" s="1"/>
  <c r="E41" i="19"/>
  <c r="E40" i="20" s="1"/>
  <c r="B42" i="19"/>
  <c r="D39" i="20"/>
  <c r="C39" i="20"/>
  <c r="C38" i="13"/>
  <c r="D39" i="12"/>
  <c r="D38" i="13" s="1"/>
  <c r="B41" i="12"/>
  <c r="B63" i="12" s="1"/>
  <c r="U40" i="12"/>
  <c r="E40" i="12"/>
  <c r="E39" i="13" s="1"/>
  <c r="C40" i="12"/>
  <c r="O51" i="9"/>
  <c r="AT10" i="14"/>
  <c r="D54" i="34" l="1"/>
  <c r="D53" i="35" s="1"/>
  <c r="C53" i="35"/>
  <c r="C40" i="35"/>
  <c r="D41" i="34"/>
  <c r="D40" i="35" s="1"/>
  <c r="E55" i="34"/>
  <c r="E54" i="35" s="1"/>
  <c r="C55" i="34"/>
  <c r="U55" i="34"/>
  <c r="B56" i="34"/>
  <c r="U42" i="34"/>
  <c r="B43" i="34"/>
  <c r="C42" i="34"/>
  <c r="E42" i="34"/>
  <c r="E41" i="35" s="1"/>
  <c r="E59" i="25"/>
  <c r="E58" i="26" s="1"/>
  <c r="C59" i="25"/>
  <c r="U59" i="25"/>
  <c r="E61" i="25"/>
  <c r="E60" i="26" s="1"/>
  <c r="C61" i="25"/>
  <c r="U61" i="25"/>
  <c r="C60" i="25"/>
  <c r="U60" i="25"/>
  <c r="E60" i="25"/>
  <c r="E59" i="26" s="1"/>
  <c r="D58" i="19"/>
  <c r="D57" i="20" s="1"/>
  <c r="C57" i="20"/>
  <c r="B59" i="19"/>
  <c r="B43" i="19"/>
  <c r="B31" i="18"/>
  <c r="B47" i="18"/>
  <c r="D70" i="16"/>
  <c r="D69" i="17" s="1"/>
  <c r="C69" i="17"/>
  <c r="D46" i="16"/>
  <c r="D45" i="17" s="1"/>
  <c r="C45" i="17"/>
  <c r="Y61" i="16"/>
  <c r="Y85" i="16"/>
  <c r="E71" i="16"/>
  <c r="E70" i="17" s="1"/>
  <c r="C71" i="16"/>
  <c r="U71" i="16"/>
  <c r="B48" i="16"/>
  <c r="B72" i="16"/>
  <c r="U47" i="16"/>
  <c r="C47" i="16"/>
  <c r="E47" i="16"/>
  <c r="E46" i="17" s="1"/>
  <c r="W60" i="16"/>
  <c r="W84" i="16"/>
  <c r="B44" i="15"/>
  <c r="B68" i="15"/>
  <c r="D62" i="12"/>
  <c r="D61" i="13" s="1"/>
  <c r="C61" i="13"/>
  <c r="B57" i="13"/>
  <c r="B78" i="13"/>
  <c r="Y58" i="12"/>
  <c r="Y79" i="12"/>
  <c r="E63" i="12"/>
  <c r="E62" i="13" s="1"/>
  <c r="C63" i="12"/>
  <c r="U63" i="12"/>
  <c r="W57" i="12"/>
  <c r="W78" i="12"/>
  <c r="B65" i="11"/>
  <c r="B44" i="11"/>
  <c r="D143" i="1"/>
  <c r="D142" i="2" s="1"/>
  <c r="C142" i="2"/>
  <c r="B145" i="1"/>
  <c r="U97" i="1"/>
  <c r="B98" i="1"/>
  <c r="C144" i="1"/>
  <c r="U144" i="1"/>
  <c r="E144" i="1"/>
  <c r="E143" i="2" s="1"/>
  <c r="B44" i="25"/>
  <c r="B62" i="25" s="1"/>
  <c r="U43" i="25"/>
  <c r="E43" i="25"/>
  <c r="E42" i="26" s="1"/>
  <c r="C43" i="25"/>
  <c r="C41" i="26"/>
  <c r="D42" i="25"/>
  <c r="D41" i="26" s="1"/>
  <c r="D41" i="25"/>
  <c r="D40" i="26" s="1"/>
  <c r="C40" i="26"/>
  <c r="U42" i="19"/>
  <c r="C42" i="19"/>
  <c r="D42" i="19" s="1"/>
  <c r="E42" i="19"/>
  <c r="E41" i="20" s="1"/>
  <c r="C40" i="20"/>
  <c r="D40" i="20"/>
  <c r="C39" i="13"/>
  <c r="D40" i="12"/>
  <c r="D39" i="13" s="1"/>
  <c r="B42" i="12"/>
  <c r="B64" i="12" s="1"/>
  <c r="U41" i="12"/>
  <c r="E41" i="12"/>
  <c r="E40" i="13" s="1"/>
  <c r="C41" i="12"/>
  <c r="T163" i="1"/>
  <c r="S163" i="1"/>
  <c r="AO8" i="14" s="1"/>
  <c r="AO22" i="14" s="1"/>
  <c r="F162" i="2"/>
  <c r="Q163" i="1"/>
  <c r="L163" i="1"/>
  <c r="F150" i="4" s="1"/>
  <c r="R163" i="1"/>
  <c r="D55" i="34" l="1"/>
  <c r="D54" i="35" s="1"/>
  <c r="C54" i="35"/>
  <c r="B57" i="34"/>
  <c r="U43" i="34"/>
  <c r="B44" i="34"/>
  <c r="C43" i="34"/>
  <c r="E43" i="34"/>
  <c r="E42" i="35" s="1"/>
  <c r="E56" i="34"/>
  <c r="E55" i="35" s="1"/>
  <c r="C56" i="34"/>
  <c r="U56" i="34"/>
  <c r="D42" i="34"/>
  <c r="D41" i="35" s="1"/>
  <c r="C41" i="35"/>
  <c r="D60" i="25"/>
  <c r="D59" i="26" s="1"/>
  <c r="C59" i="26"/>
  <c r="D61" i="25"/>
  <c r="D60" i="26" s="1"/>
  <c r="C60" i="26"/>
  <c r="D59" i="25"/>
  <c r="D58" i="26" s="1"/>
  <c r="C58" i="26"/>
  <c r="U62" i="25"/>
  <c r="E62" i="25"/>
  <c r="E61" i="26" s="1"/>
  <c r="C62" i="25"/>
  <c r="B60" i="19"/>
  <c r="U43" i="19"/>
  <c r="B44" i="19"/>
  <c r="E59" i="19"/>
  <c r="E58" i="20" s="1"/>
  <c r="C59" i="19"/>
  <c r="U59" i="19"/>
  <c r="B32" i="18"/>
  <c r="B48" i="18"/>
  <c r="D71" i="16"/>
  <c r="D70" i="17" s="1"/>
  <c r="C70" i="17"/>
  <c r="B49" i="16"/>
  <c r="B73" i="16"/>
  <c r="U48" i="16"/>
  <c r="C48" i="16"/>
  <c r="E48" i="16"/>
  <c r="E47" i="17" s="1"/>
  <c r="D47" i="16"/>
  <c r="D46" i="17" s="1"/>
  <c r="C46" i="17"/>
  <c r="Y62" i="16"/>
  <c r="Y86" i="16"/>
  <c r="W61" i="16"/>
  <c r="W85" i="16"/>
  <c r="E72" i="16"/>
  <c r="E71" i="17" s="1"/>
  <c r="C72" i="16"/>
  <c r="U72" i="16"/>
  <c r="B45" i="15"/>
  <c r="B69" i="15"/>
  <c r="D63" i="12"/>
  <c r="D62" i="13" s="1"/>
  <c r="C62" i="13"/>
  <c r="B58" i="13"/>
  <c r="B79" i="13"/>
  <c r="W58" i="12"/>
  <c r="W79" i="12"/>
  <c r="C64" i="12"/>
  <c r="U64" i="12"/>
  <c r="E64" i="12"/>
  <c r="E63" i="13" s="1"/>
  <c r="Y59" i="12"/>
  <c r="Y80" i="12"/>
  <c r="B66" i="11"/>
  <c r="B45" i="11"/>
  <c r="D144" i="1"/>
  <c r="D143" i="2" s="1"/>
  <c r="C143" i="2"/>
  <c r="B146" i="1"/>
  <c r="U98" i="1"/>
  <c r="B99" i="1"/>
  <c r="E145" i="1"/>
  <c r="E144" i="2" s="1"/>
  <c r="C145" i="1"/>
  <c r="U145" i="1"/>
  <c r="F163" i="2"/>
  <c r="C42" i="26"/>
  <c r="D43" i="25"/>
  <c r="D42" i="26" s="1"/>
  <c r="B45" i="25"/>
  <c r="U44" i="25"/>
  <c r="C44" i="25"/>
  <c r="E44" i="25"/>
  <c r="E43" i="26" s="1"/>
  <c r="C41" i="20"/>
  <c r="D41" i="20"/>
  <c r="D41" i="12"/>
  <c r="D40" i="13" s="1"/>
  <c r="C40" i="13"/>
  <c r="U42" i="12"/>
  <c r="B43" i="12"/>
  <c r="B65" i="12" s="1"/>
  <c r="C42" i="12"/>
  <c r="E42" i="12"/>
  <c r="E41" i="13" s="1"/>
  <c r="C94" i="1"/>
  <c r="E94" i="1"/>
  <c r="E93" i="2" s="1"/>
  <c r="C97" i="1"/>
  <c r="C99" i="1"/>
  <c r="C98" i="2" s="1"/>
  <c r="C95" i="1"/>
  <c r="C96" i="1"/>
  <c r="E95" i="1"/>
  <c r="E94" i="2" s="1"/>
  <c r="E99" i="1"/>
  <c r="E98" i="2" s="1"/>
  <c r="E97" i="1"/>
  <c r="E96" i="2" s="1"/>
  <c r="E96" i="1"/>
  <c r="E95" i="2" s="1"/>
  <c r="C98" i="1"/>
  <c r="C97" i="2" s="1"/>
  <c r="E98" i="1"/>
  <c r="E97" i="2" s="1"/>
  <c r="C89" i="1"/>
  <c r="E91" i="1"/>
  <c r="E90" i="2" s="1"/>
  <c r="C90" i="1"/>
  <c r="E89" i="1"/>
  <c r="E88" i="2" s="1"/>
  <c r="C91" i="1"/>
  <c r="E90" i="1"/>
  <c r="E89" i="2" s="1"/>
  <c r="C85" i="1"/>
  <c r="E82" i="1"/>
  <c r="E81" i="2" s="1"/>
  <c r="E79" i="1"/>
  <c r="E78" i="2" s="1"/>
  <c r="C84" i="1"/>
  <c r="E88" i="1"/>
  <c r="E87" i="2" s="1"/>
  <c r="E81" i="1"/>
  <c r="E80" i="2" s="1"/>
  <c r="E87" i="1"/>
  <c r="E86" i="2" s="1"/>
  <c r="C86" i="1"/>
  <c r="C83" i="1"/>
  <c r="C80" i="1"/>
  <c r="E80" i="1"/>
  <c r="E79" i="2" s="1"/>
  <c r="C81" i="1"/>
  <c r="E84" i="1"/>
  <c r="E83" i="2" s="1"/>
  <c r="C82" i="1"/>
  <c r="C79" i="1"/>
  <c r="E85" i="1"/>
  <c r="E84" i="2" s="1"/>
  <c r="C88" i="1"/>
  <c r="E86" i="1"/>
  <c r="E85" i="2" s="1"/>
  <c r="C87" i="1"/>
  <c r="E83" i="1"/>
  <c r="E82" i="2" s="1"/>
  <c r="E77" i="1"/>
  <c r="E76" i="2" s="1"/>
  <c r="E76" i="1"/>
  <c r="E75" i="2" s="1"/>
  <c r="C76" i="1"/>
  <c r="C78" i="1"/>
  <c r="C77" i="1"/>
  <c r="E78" i="1"/>
  <c r="E77" i="2" s="1"/>
  <c r="E73" i="1"/>
  <c r="E72" i="2" s="1"/>
  <c r="C73" i="1"/>
  <c r="C74" i="1"/>
  <c r="E74" i="1"/>
  <c r="E73" i="2" s="1"/>
  <c r="C75" i="1"/>
  <c r="E75" i="1"/>
  <c r="E74" i="2" s="1"/>
  <c r="C66" i="1"/>
  <c r="E66" i="1"/>
  <c r="E65" i="2" s="1"/>
  <c r="C67" i="1"/>
  <c r="D67" i="1" s="1"/>
  <c r="C68" i="1"/>
  <c r="D68" i="1" s="1"/>
  <c r="C71" i="1"/>
  <c r="E68" i="1"/>
  <c r="E67" i="2" s="1"/>
  <c r="E72" i="1"/>
  <c r="E71" i="2" s="1"/>
  <c r="E71" i="1"/>
  <c r="E70" i="2" s="1"/>
  <c r="C69" i="1"/>
  <c r="E69" i="1"/>
  <c r="E68" i="2" s="1"/>
  <c r="C72" i="1"/>
  <c r="C70" i="1"/>
  <c r="E70" i="1"/>
  <c r="E69" i="2" s="1"/>
  <c r="AF162" i="2"/>
  <c r="AF163" i="2" s="1"/>
  <c r="C57" i="1"/>
  <c r="C59" i="1"/>
  <c r="C61" i="1"/>
  <c r="E64" i="1"/>
  <c r="E63" i="2" s="1"/>
  <c r="E58" i="1"/>
  <c r="E57" i="2" s="1"/>
  <c r="E59" i="1"/>
  <c r="E58" i="2" s="1"/>
  <c r="E66" i="2"/>
  <c r="C60" i="1"/>
  <c r="E57" i="1"/>
  <c r="E56" i="2" s="1"/>
  <c r="C65" i="1"/>
  <c r="C63" i="1"/>
  <c r="E61" i="1"/>
  <c r="E60" i="2" s="1"/>
  <c r="C64" i="1"/>
  <c r="E60" i="1"/>
  <c r="E59" i="2" s="1"/>
  <c r="E63" i="1"/>
  <c r="E62" i="2" s="1"/>
  <c r="C58" i="1"/>
  <c r="E65" i="1"/>
  <c r="E64" i="2" s="1"/>
  <c r="C62" i="1"/>
  <c r="E62" i="1"/>
  <c r="E61" i="2" s="1"/>
  <c r="L171" i="1"/>
  <c r="G8" i="14"/>
  <c r="AN8" i="14" s="1"/>
  <c r="AS8" i="14"/>
  <c r="W165" i="1"/>
  <c r="AO24" i="14" a="1"/>
  <c r="O165" i="1" a="1"/>
  <c r="D56" i="34" l="1"/>
  <c r="D55" i="35" s="1"/>
  <c r="C55" i="35"/>
  <c r="D43" i="34"/>
  <c r="D42" i="35" s="1"/>
  <c r="C42" i="35"/>
  <c r="B58" i="34"/>
  <c r="U44" i="34"/>
  <c r="B45" i="34"/>
  <c r="C44" i="34"/>
  <c r="E44" i="34"/>
  <c r="E43" i="35" s="1"/>
  <c r="C57" i="34"/>
  <c r="U57" i="34"/>
  <c r="E57" i="34"/>
  <c r="E56" i="35" s="1"/>
  <c r="D62" i="25"/>
  <c r="D61" i="26" s="1"/>
  <c r="C61" i="26"/>
  <c r="B46" i="25"/>
  <c r="B64" i="25" s="1"/>
  <c r="B63" i="25"/>
  <c r="D59" i="19"/>
  <c r="D58" i="20" s="1"/>
  <c r="C58" i="20"/>
  <c r="B61" i="19"/>
  <c r="B45" i="19"/>
  <c r="U44" i="19"/>
  <c r="C60" i="19"/>
  <c r="U60" i="19"/>
  <c r="E60" i="19"/>
  <c r="E59" i="20" s="1"/>
  <c r="B33" i="18"/>
  <c r="B49" i="18"/>
  <c r="D72" i="16"/>
  <c r="D71" i="17" s="1"/>
  <c r="C71" i="17"/>
  <c r="Y63" i="16"/>
  <c r="Y87" i="16"/>
  <c r="D48" i="16"/>
  <c r="D47" i="17" s="1"/>
  <c r="C47" i="17"/>
  <c r="W62" i="16"/>
  <c r="W86" i="16"/>
  <c r="C73" i="16"/>
  <c r="U73" i="16"/>
  <c r="E73" i="16"/>
  <c r="E72" i="17" s="1"/>
  <c r="B50" i="16"/>
  <c r="B74" i="16"/>
  <c r="U49" i="16"/>
  <c r="C49" i="16"/>
  <c r="E49" i="16"/>
  <c r="E48" i="17" s="1"/>
  <c r="B46" i="15"/>
  <c r="B70" i="15"/>
  <c r="D64" i="12"/>
  <c r="D63" i="13" s="1"/>
  <c r="C63" i="13"/>
  <c r="B59" i="13"/>
  <c r="B81" i="13" s="1"/>
  <c r="B80" i="13"/>
  <c r="E65" i="12"/>
  <c r="E64" i="13" s="1"/>
  <c r="C65" i="12"/>
  <c r="U65" i="12"/>
  <c r="Y60" i="12"/>
  <c r="Y82" i="12" s="1"/>
  <c r="Y84" i="12" s="1"/>
  <c r="Y11" i="14" s="1"/>
  <c r="Y81" i="12"/>
  <c r="W59" i="12"/>
  <c r="W80" i="12"/>
  <c r="B46" i="11"/>
  <c r="B67" i="11"/>
  <c r="D145" i="1"/>
  <c r="D144" i="2" s="1"/>
  <c r="C144" i="2"/>
  <c r="B100" i="1"/>
  <c r="B147" i="1"/>
  <c r="U99" i="1"/>
  <c r="E146" i="1"/>
  <c r="E145" i="2" s="1"/>
  <c r="C146" i="1"/>
  <c r="U146" i="1"/>
  <c r="U46" i="25"/>
  <c r="B47" i="25"/>
  <c r="B65" i="25" s="1"/>
  <c r="E46" i="25"/>
  <c r="E45" i="26" s="1"/>
  <c r="C46" i="25"/>
  <c r="C43" i="26"/>
  <c r="D44" i="25"/>
  <c r="D43" i="26" s="1"/>
  <c r="U45" i="25"/>
  <c r="C45" i="25"/>
  <c r="E45" i="25"/>
  <c r="E44" i="26" s="1"/>
  <c r="B44" i="12"/>
  <c r="B66" i="12" s="1"/>
  <c r="U43" i="12"/>
  <c r="C43" i="12"/>
  <c r="E43" i="12"/>
  <c r="E42" i="13" s="1"/>
  <c r="D42" i="12"/>
  <c r="D41" i="13" s="1"/>
  <c r="C41" i="13"/>
  <c r="AP8" i="14"/>
  <c r="AT8" i="14" s="1"/>
  <c r="AR8" i="14"/>
  <c r="D95" i="1"/>
  <c r="D94" i="2" s="1"/>
  <c r="C94" i="2"/>
  <c r="D99" i="1"/>
  <c r="D98" i="2" s="1"/>
  <c r="D98" i="1"/>
  <c r="D97" i="2" s="1"/>
  <c r="D97" i="1"/>
  <c r="D96" i="2" s="1"/>
  <c r="C96" i="2"/>
  <c r="D94" i="1"/>
  <c r="D93" i="2" s="1"/>
  <c r="C93" i="2"/>
  <c r="D96" i="1"/>
  <c r="D95" i="2" s="1"/>
  <c r="C95" i="2"/>
  <c r="C90" i="2"/>
  <c r="D91" i="1"/>
  <c r="D90" i="2" s="1"/>
  <c r="D89" i="1"/>
  <c r="D88" i="2" s="1"/>
  <c r="C88" i="2"/>
  <c r="C89" i="2"/>
  <c r="D90" i="1"/>
  <c r="D89" i="2" s="1"/>
  <c r="C81" i="2"/>
  <c r="D82" i="1"/>
  <c r="D81" i="2" s="1"/>
  <c r="C83" i="2"/>
  <c r="D84" i="1"/>
  <c r="D83" i="2" s="1"/>
  <c r="C80" i="2"/>
  <c r="D81" i="1"/>
  <c r="D80" i="2" s="1"/>
  <c r="D79" i="1"/>
  <c r="D78" i="2" s="1"/>
  <c r="C78" i="2"/>
  <c r="C86" i="2"/>
  <c r="D87" i="1"/>
  <c r="D86" i="2" s="1"/>
  <c r="D80" i="1"/>
  <c r="D79" i="2" s="1"/>
  <c r="C79" i="2"/>
  <c r="D83" i="1"/>
  <c r="D82" i="2" s="1"/>
  <c r="C82" i="2"/>
  <c r="D88" i="1"/>
  <c r="D87" i="2" s="1"/>
  <c r="C87" i="2"/>
  <c r="C85" i="2"/>
  <c r="D86" i="1"/>
  <c r="D85" i="2" s="1"/>
  <c r="C84" i="2"/>
  <c r="D85" i="1"/>
  <c r="D84" i="2" s="1"/>
  <c r="C67" i="2"/>
  <c r="D78" i="1"/>
  <c r="D77" i="2" s="1"/>
  <c r="C77" i="2"/>
  <c r="D77" i="1"/>
  <c r="D76" i="2" s="1"/>
  <c r="C76" i="2"/>
  <c r="D76" i="1"/>
  <c r="D75" i="2" s="1"/>
  <c r="C75" i="2"/>
  <c r="C66" i="2"/>
  <c r="C74" i="2"/>
  <c r="D75" i="1"/>
  <c r="D74" i="2" s="1"/>
  <c r="D73" i="1"/>
  <c r="D72" i="2" s="1"/>
  <c r="C72" i="2"/>
  <c r="D74" i="1"/>
  <c r="D73" i="2" s="1"/>
  <c r="C73" i="2"/>
  <c r="D69" i="1"/>
  <c r="D68" i="2" s="1"/>
  <c r="C68" i="2"/>
  <c r="D71" i="1"/>
  <c r="D70" i="2" s="1"/>
  <c r="C70" i="2"/>
  <c r="D70" i="1"/>
  <c r="D69" i="2" s="1"/>
  <c r="C69" i="2"/>
  <c r="D72" i="1"/>
  <c r="D71" i="2" s="1"/>
  <c r="C71" i="2"/>
  <c r="D66" i="1"/>
  <c r="D65" i="2" s="1"/>
  <c r="C65" i="2"/>
  <c r="C61" i="2"/>
  <c r="D62" i="1"/>
  <c r="D61" i="2" s="1"/>
  <c r="D67" i="2"/>
  <c r="D66" i="2"/>
  <c r="C63" i="2"/>
  <c r="D64" i="1"/>
  <c r="D63" i="2" s="1"/>
  <c r="D61" i="1"/>
  <c r="D60" i="2" s="1"/>
  <c r="C60" i="2"/>
  <c r="D58" i="1"/>
  <c r="D57" i="2" s="1"/>
  <c r="C57" i="2"/>
  <c r="C58" i="2"/>
  <c r="D59" i="1"/>
  <c r="D58" i="2" s="1"/>
  <c r="D57" i="1"/>
  <c r="D56" i="2" s="1"/>
  <c r="C56" i="2"/>
  <c r="C64" i="2"/>
  <c r="D65" i="1"/>
  <c r="D64" i="2" s="1"/>
  <c r="C59" i="2"/>
  <c r="D60" i="1"/>
  <c r="D59" i="2" s="1"/>
  <c r="C62" i="2"/>
  <c r="D63" i="1"/>
  <c r="D62" i="2" s="1"/>
  <c r="G22" i="14"/>
  <c r="AN22" i="14"/>
  <c r="O165" i="1"/>
  <c r="AO24" i="14"/>
  <c r="D57" i="34" l="1"/>
  <c r="D56" i="35" s="1"/>
  <c r="C56" i="35"/>
  <c r="D44" i="34"/>
  <c r="D43" i="35" s="1"/>
  <c r="C43" i="35"/>
  <c r="U45" i="34"/>
  <c r="B59" i="34"/>
  <c r="C45" i="34"/>
  <c r="E45" i="34"/>
  <c r="E44" i="35" s="1"/>
  <c r="E58" i="34"/>
  <c r="E57" i="35" s="1"/>
  <c r="C58" i="34"/>
  <c r="U58" i="34"/>
  <c r="U65" i="25"/>
  <c r="E65" i="25"/>
  <c r="E64" i="26" s="1"/>
  <c r="C65" i="25"/>
  <c r="C63" i="25"/>
  <c r="U63" i="25"/>
  <c r="E63" i="25"/>
  <c r="E62" i="26" s="1"/>
  <c r="E64" i="25"/>
  <c r="E63" i="26" s="1"/>
  <c r="C64" i="25"/>
  <c r="U64" i="25"/>
  <c r="D60" i="19"/>
  <c r="D59" i="20" s="1"/>
  <c r="C59" i="20"/>
  <c r="B46" i="19"/>
  <c r="B62" i="19"/>
  <c r="U45" i="19"/>
  <c r="E61" i="19"/>
  <c r="E60" i="20" s="1"/>
  <c r="C61" i="19"/>
  <c r="U61" i="19"/>
  <c r="B34" i="18"/>
  <c r="B50" i="18"/>
  <c r="D73" i="16"/>
  <c r="D72" i="17" s="1"/>
  <c r="C72" i="17"/>
  <c r="C48" i="17"/>
  <c r="D49" i="16"/>
  <c r="D48" i="17" s="1"/>
  <c r="W63" i="16"/>
  <c r="W87" i="16"/>
  <c r="E74" i="16"/>
  <c r="E73" i="17" s="1"/>
  <c r="C74" i="16"/>
  <c r="U74" i="16"/>
  <c r="B51" i="16"/>
  <c r="B75" i="16"/>
  <c r="U50" i="16"/>
  <c r="C50" i="16"/>
  <c r="E50" i="16"/>
  <c r="E49" i="17" s="1"/>
  <c r="Y64" i="16"/>
  <c r="Y88" i="16"/>
  <c r="B47" i="15"/>
  <c r="B71" i="15"/>
  <c r="D65" i="12"/>
  <c r="D64" i="13" s="1"/>
  <c r="C64" i="13"/>
  <c r="E66" i="12"/>
  <c r="E65" i="13" s="1"/>
  <c r="U66" i="12"/>
  <c r="C66" i="12"/>
  <c r="W60" i="12"/>
  <c r="W82" i="12" s="1"/>
  <c r="W84" i="12" s="1"/>
  <c r="I11" i="14" s="1"/>
  <c r="W81" i="12"/>
  <c r="AD11" i="14"/>
  <c r="B47" i="11"/>
  <c r="B69" i="11" s="1"/>
  <c r="B68" i="11"/>
  <c r="D146" i="1"/>
  <c r="D145" i="2" s="1"/>
  <c r="C145" i="2"/>
  <c r="C147" i="1"/>
  <c r="U147" i="1"/>
  <c r="E147" i="1"/>
  <c r="E146" i="2" s="1"/>
  <c r="B148" i="1"/>
  <c r="U100" i="1"/>
  <c r="B101" i="1"/>
  <c r="C100" i="1"/>
  <c r="E100" i="1"/>
  <c r="E99" i="2" s="1"/>
  <c r="AP22" i="14"/>
  <c r="D46" i="25"/>
  <c r="D45" i="26" s="1"/>
  <c r="C45" i="26"/>
  <c r="U47" i="25"/>
  <c r="B48" i="25"/>
  <c r="B66" i="25" s="1"/>
  <c r="E47" i="25"/>
  <c r="E46" i="26" s="1"/>
  <c r="C47" i="25"/>
  <c r="D45" i="25"/>
  <c r="D44" i="26" s="1"/>
  <c r="C44" i="26"/>
  <c r="D43" i="12"/>
  <c r="D42" i="13" s="1"/>
  <c r="C42" i="13"/>
  <c r="U44" i="12"/>
  <c r="B45" i="12"/>
  <c r="B67" i="12" s="1"/>
  <c r="E44" i="12"/>
  <c r="E43" i="13" s="1"/>
  <c r="C44" i="12"/>
  <c r="AO25" i="14" a="1"/>
  <c r="D58" i="34" l="1"/>
  <c r="D57" i="35" s="1"/>
  <c r="C57" i="35"/>
  <c r="C44" i="35"/>
  <c r="D45" i="34"/>
  <c r="D44" i="35" s="1"/>
  <c r="U59" i="34"/>
  <c r="C59" i="34"/>
  <c r="E59" i="34"/>
  <c r="E58" i="35" s="1"/>
  <c r="D63" i="25"/>
  <c r="D62" i="26" s="1"/>
  <c r="C62" i="26"/>
  <c r="D65" i="25"/>
  <c r="D64" i="26" s="1"/>
  <c r="C64" i="26"/>
  <c r="D64" i="25"/>
  <c r="D63" i="26" s="1"/>
  <c r="C63" i="26"/>
  <c r="E66" i="25"/>
  <c r="E65" i="26" s="1"/>
  <c r="C66" i="25"/>
  <c r="U66" i="25"/>
  <c r="D61" i="19"/>
  <c r="D60" i="20" s="1"/>
  <c r="C60" i="20"/>
  <c r="U62" i="19"/>
  <c r="C62" i="19"/>
  <c r="E62" i="19"/>
  <c r="E61" i="20" s="1"/>
  <c r="B63" i="19"/>
  <c r="U46" i="19"/>
  <c r="B47" i="19"/>
  <c r="B35" i="18"/>
  <c r="B51" i="18"/>
  <c r="D74" i="16"/>
  <c r="D73" i="17" s="1"/>
  <c r="C73" i="17"/>
  <c r="B52" i="16"/>
  <c r="B76" i="16"/>
  <c r="U51" i="16"/>
  <c r="C51" i="16"/>
  <c r="E51" i="16"/>
  <c r="E50" i="17" s="1"/>
  <c r="D50" i="16"/>
  <c r="D49" i="17" s="1"/>
  <c r="C49" i="17"/>
  <c r="W64" i="16"/>
  <c r="W88" i="16"/>
  <c r="Y65" i="16"/>
  <c r="Y89" i="16"/>
  <c r="U75" i="16"/>
  <c r="E75" i="16"/>
  <c r="E74" i="17" s="1"/>
  <c r="C75" i="16"/>
  <c r="B48" i="15"/>
  <c r="B72" i="15"/>
  <c r="D66" i="12"/>
  <c r="D65" i="13" s="1"/>
  <c r="C65" i="13"/>
  <c r="L11" i="14"/>
  <c r="E67" i="12"/>
  <c r="E66" i="13" s="1"/>
  <c r="C67" i="12"/>
  <c r="U67" i="12"/>
  <c r="D147" i="1"/>
  <c r="D146" i="2" s="1"/>
  <c r="C146" i="2"/>
  <c r="B149" i="1"/>
  <c r="U101" i="1"/>
  <c r="B102" i="1"/>
  <c r="E101" i="1"/>
  <c r="E100" i="2" s="1"/>
  <c r="C101" i="1"/>
  <c r="D100" i="1"/>
  <c r="D99" i="2" s="1"/>
  <c r="C99" i="2"/>
  <c r="E148" i="1"/>
  <c r="E147" i="2" s="1"/>
  <c r="C148" i="1"/>
  <c r="U148" i="1"/>
  <c r="AO25" i="14"/>
  <c r="B49" i="25"/>
  <c r="U48" i="25"/>
  <c r="C48" i="25"/>
  <c r="E48" i="25"/>
  <c r="E47" i="26" s="1"/>
  <c r="C46" i="26"/>
  <c r="D47" i="25"/>
  <c r="D46" i="26" s="1"/>
  <c r="C43" i="13"/>
  <c r="D44" i="12"/>
  <c r="D43" i="13" s="1"/>
  <c r="B46" i="12"/>
  <c r="B68" i="12" s="1"/>
  <c r="U45" i="12"/>
  <c r="E45" i="12"/>
  <c r="E44" i="13" s="1"/>
  <c r="C45" i="12"/>
  <c r="C58" i="35" l="1"/>
  <c r="D59" i="34"/>
  <c r="D58" i="35" s="1"/>
  <c r="D66" i="25"/>
  <c r="D65" i="26" s="1"/>
  <c r="C65" i="26"/>
  <c r="B67" i="25"/>
  <c r="B50" i="25"/>
  <c r="D62" i="19"/>
  <c r="D61" i="20" s="1"/>
  <c r="C61" i="20"/>
  <c r="B64" i="19"/>
  <c r="U47" i="19"/>
  <c r="B48" i="19"/>
  <c r="E63" i="19"/>
  <c r="E62" i="20" s="1"/>
  <c r="C63" i="19"/>
  <c r="U63" i="19"/>
  <c r="B36" i="18"/>
  <c r="B52" i="18"/>
  <c r="D75" i="16"/>
  <c r="D74" i="17" s="1"/>
  <c r="C74" i="17"/>
  <c r="D51" i="16"/>
  <c r="D50" i="17" s="1"/>
  <c r="C50" i="17"/>
  <c r="Y66" i="16"/>
  <c r="Y91" i="16" s="1"/>
  <c r="Y93" i="16" s="1"/>
  <c r="Y12" i="14" s="1"/>
  <c r="Y90" i="16"/>
  <c r="C76" i="16"/>
  <c r="U76" i="16"/>
  <c r="E76" i="16"/>
  <c r="E75" i="17" s="1"/>
  <c r="B53" i="16"/>
  <c r="B77" i="16"/>
  <c r="U52" i="16"/>
  <c r="E52" i="16"/>
  <c r="E51" i="17" s="1"/>
  <c r="C52" i="16"/>
  <c r="W65" i="16"/>
  <c r="W89" i="16"/>
  <c r="B49" i="15"/>
  <c r="B73" i="15"/>
  <c r="D67" i="12"/>
  <c r="D66" i="13" s="1"/>
  <c r="C66" i="13"/>
  <c r="E68" i="12"/>
  <c r="E67" i="13" s="1"/>
  <c r="C68" i="12"/>
  <c r="U68" i="12"/>
  <c r="W11" i="14"/>
  <c r="D148" i="1"/>
  <c r="D147" i="2" s="1"/>
  <c r="C147" i="2"/>
  <c r="D101" i="1"/>
  <c r="D100" i="2" s="1"/>
  <c r="C100" i="2"/>
  <c r="B150" i="1"/>
  <c r="U102" i="1"/>
  <c r="B103" i="1"/>
  <c r="E102" i="1"/>
  <c r="E101" i="2" s="1"/>
  <c r="C102" i="1"/>
  <c r="E149" i="1"/>
  <c r="E148" i="2" s="1"/>
  <c r="C149" i="1"/>
  <c r="U149" i="1"/>
  <c r="C47" i="26"/>
  <c r="D48" i="25"/>
  <c r="D47" i="26" s="1"/>
  <c r="U49" i="25"/>
  <c r="C49" i="25"/>
  <c r="E49" i="25"/>
  <c r="E48" i="26" s="1"/>
  <c r="C44" i="13"/>
  <c r="D45" i="12"/>
  <c r="D44" i="13" s="1"/>
  <c r="B47" i="12"/>
  <c r="B69" i="12" s="1"/>
  <c r="U46" i="12"/>
  <c r="E46" i="12"/>
  <c r="E45" i="13" s="1"/>
  <c r="C46" i="12"/>
  <c r="B68" i="25" l="1"/>
  <c r="B51" i="25"/>
  <c r="U50" i="25"/>
  <c r="C50" i="25"/>
  <c r="E50" i="25"/>
  <c r="E49" i="26" s="1"/>
  <c r="E67" i="25"/>
  <c r="E66" i="26" s="1"/>
  <c r="C67" i="25"/>
  <c r="U67" i="25"/>
  <c r="D63" i="19"/>
  <c r="D62" i="20" s="1"/>
  <c r="C62" i="20"/>
  <c r="B65" i="19"/>
  <c r="U48" i="19"/>
  <c r="B49" i="19"/>
  <c r="E64" i="19"/>
  <c r="E63" i="20" s="1"/>
  <c r="C64" i="19"/>
  <c r="U64" i="19"/>
  <c r="B37" i="18"/>
  <c r="B54" i="18" s="1"/>
  <c r="B53" i="18"/>
  <c r="D76" i="16"/>
  <c r="D75" i="17" s="1"/>
  <c r="C75" i="17"/>
  <c r="B54" i="16"/>
  <c r="B78" i="16"/>
  <c r="U53" i="16"/>
  <c r="W66" i="16"/>
  <c r="W91" i="16" s="1"/>
  <c r="W90" i="16"/>
  <c r="C51" i="17"/>
  <c r="D52" i="16"/>
  <c r="D51" i="17" s="1"/>
  <c r="AD12" i="14"/>
  <c r="AD22" i="14" s="1"/>
  <c r="Y22" i="14"/>
  <c r="E77" i="16"/>
  <c r="E76" i="17" s="1"/>
  <c r="C77" i="16"/>
  <c r="U77" i="16"/>
  <c r="B50" i="15"/>
  <c r="B74" i="15"/>
  <c r="D68" i="12"/>
  <c r="D67" i="13" s="1"/>
  <c r="C67" i="13"/>
  <c r="U69" i="12"/>
  <c r="E69" i="12"/>
  <c r="E68" i="13" s="1"/>
  <c r="C69" i="12"/>
  <c r="D149" i="1"/>
  <c r="D148" i="2" s="1"/>
  <c r="C148" i="2"/>
  <c r="D102" i="1"/>
  <c r="D101" i="2" s="1"/>
  <c r="C101" i="2"/>
  <c r="B151" i="1"/>
  <c r="U103" i="1"/>
  <c r="B104" i="1"/>
  <c r="C103" i="1"/>
  <c r="E103" i="1"/>
  <c r="E102" i="2" s="1"/>
  <c r="U150" i="1"/>
  <c r="E150" i="1"/>
  <c r="E149" i="2" s="1"/>
  <c r="C150" i="1"/>
  <c r="C48" i="26"/>
  <c r="D49" i="25"/>
  <c r="D48" i="26" s="1"/>
  <c r="D46" i="12"/>
  <c r="D45" i="13" s="1"/>
  <c r="C45" i="13"/>
  <c r="B48" i="12"/>
  <c r="B70" i="12" s="1"/>
  <c r="U47" i="12"/>
  <c r="E47" i="12"/>
  <c r="E46" i="13" s="1"/>
  <c r="C47" i="12"/>
  <c r="D67" i="25" l="1"/>
  <c r="D66" i="26" s="1"/>
  <c r="C66" i="26"/>
  <c r="D50" i="25"/>
  <c r="D49" i="26" s="1"/>
  <c r="C49" i="26"/>
  <c r="B52" i="25"/>
  <c r="B69" i="25"/>
  <c r="U51" i="25"/>
  <c r="E51" i="25"/>
  <c r="E50" i="26" s="1"/>
  <c r="C51" i="25"/>
  <c r="C68" i="25"/>
  <c r="U68" i="25"/>
  <c r="E68" i="25"/>
  <c r="E67" i="26" s="1"/>
  <c r="D64" i="19"/>
  <c r="D63" i="20" s="1"/>
  <c r="C63" i="20"/>
  <c r="B66" i="19"/>
  <c r="U49" i="19"/>
  <c r="B50" i="19"/>
  <c r="C65" i="19"/>
  <c r="U65" i="19"/>
  <c r="E65" i="19"/>
  <c r="E64" i="20" s="1"/>
  <c r="E46" i="19"/>
  <c r="E45" i="20" s="1"/>
  <c r="C49" i="19"/>
  <c r="D49" i="19" s="1"/>
  <c r="D48" i="20" s="1"/>
  <c r="C44" i="19"/>
  <c r="C47" i="19"/>
  <c r="E50" i="19"/>
  <c r="E49" i="20" s="1"/>
  <c r="C43" i="19"/>
  <c r="E47" i="19"/>
  <c r="E46" i="20" s="1"/>
  <c r="C48" i="19"/>
  <c r="E44" i="19"/>
  <c r="E43" i="20" s="1"/>
  <c r="C50" i="19"/>
  <c r="D50" i="19" s="1"/>
  <c r="C45" i="19"/>
  <c r="E45" i="19"/>
  <c r="E44" i="20" s="1"/>
  <c r="E43" i="19"/>
  <c r="E42" i="20" s="1"/>
  <c r="C46" i="19"/>
  <c r="E48" i="19"/>
  <c r="E47" i="20" s="1"/>
  <c r="E49" i="19"/>
  <c r="E48" i="20" s="1"/>
  <c r="D77" i="16"/>
  <c r="D76" i="17" s="1"/>
  <c r="C76" i="17"/>
  <c r="W93" i="16"/>
  <c r="I12" i="14" s="1"/>
  <c r="U78" i="16"/>
  <c r="E78" i="16"/>
  <c r="E77" i="17" s="1"/>
  <c r="C78" i="16"/>
  <c r="B55" i="16"/>
  <c r="B79" i="16"/>
  <c r="U54" i="16"/>
  <c r="B51" i="15"/>
  <c r="B75" i="15"/>
  <c r="D69" i="12"/>
  <c r="D68" i="13" s="1"/>
  <c r="C68" i="13"/>
  <c r="E70" i="12"/>
  <c r="E69" i="13" s="1"/>
  <c r="C70" i="12"/>
  <c r="U70" i="12"/>
  <c r="D150" i="1"/>
  <c r="D149" i="2" s="1"/>
  <c r="C149" i="2"/>
  <c r="D103" i="1"/>
  <c r="D102" i="2" s="1"/>
  <c r="C102" i="2"/>
  <c r="B105" i="1"/>
  <c r="B152" i="1"/>
  <c r="U104" i="1"/>
  <c r="C104" i="1"/>
  <c r="E104" i="1"/>
  <c r="E103" i="2" s="1"/>
  <c r="E151" i="1"/>
  <c r="E150" i="2" s="1"/>
  <c r="C151" i="1"/>
  <c r="U151" i="1"/>
  <c r="U48" i="12"/>
  <c r="B49" i="12"/>
  <c r="C48" i="12"/>
  <c r="E48" i="12"/>
  <c r="E47" i="13" s="1"/>
  <c r="D47" i="12"/>
  <c r="D46" i="13" s="1"/>
  <c r="C46" i="13"/>
  <c r="D68" i="25" l="1"/>
  <c r="D67" i="26" s="1"/>
  <c r="C67" i="26"/>
  <c r="D51" i="25"/>
  <c r="D50" i="26" s="1"/>
  <c r="C50" i="26"/>
  <c r="E69" i="25"/>
  <c r="E68" i="26" s="1"/>
  <c r="C69" i="25"/>
  <c r="U69" i="25"/>
  <c r="B70" i="25"/>
  <c r="U52" i="25"/>
  <c r="C52" i="25"/>
  <c r="E52" i="25"/>
  <c r="E51" i="26" s="1"/>
  <c r="C48" i="20"/>
  <c r="D65" i="19"/>
  <c r="D64" i="20" s="1"/>
  <c r="C64" i="20"/>
  <c r="U50" i="19"/>
  <c r="B67" i="19"/>
  <c r="E66" i="19"/>
  <c r="E65" i="20" s="1"/>
  <c r="C66" i="19"/>
  <c r="U66" i="19"/>
  <c r="D43" i="19"/>
  <c r="D42" i="20" s="1"/>
  <c r="C42" i="20"/>
  <c r="D47" i="19"/>
  <c r="D46" i="20" s="1"/>
  <c r="C46" i="20"/>
  <c r="D45" i="19"/>
  <c r="D44" i="20" s="1"/>
  <c r="C44" i="20"/>
  <c r="D44" i="19"/>
  <c r="D43" i="20" s="1"/>
  <c r="C43" i="20"/>
  <c r="D48" i="19"/>
  <c r="D47" i="20" s="1"/>
  <c r="C47" i="20"/>
  <c r="D46" i="19"/>
  <c r="D45" i="20" s="1"/>
  <c r="C45" i="20"/>
  <c r="D78" i="16"/>
  <c r="D77" i="17" s="1"/>
  <c r="C77" i="17"/>
  <c r="E79" i="16"/>
  <c r="E78" i="17" s="1"/>
  <c r="C79" i="16"/>
  <c r="U79" i="16"/>
  <c r="B56" i="16"/>
  <c r="B80" i="16"/>
  <c r="U55" i="16"/>
  <c r="L12" i="14"/>
  <c r="I22" i="14"/>
  <c r="B52" i="15"/>
  <c r="B76" i="15"/>
  <c r="D70" i="12"/>
  <c r="D69" i="13" s="1"/>
  <c r="C69" i="13"/>
  <c r="B71" i="12"/>
  <c r="C49" i="12"/>
  <c r="D151" i="1"/>
  <c r="D150" i="2" s="1"/>
  <c r="C150" i="2"/>
  <c r="C152" i="1"/>
  <c r="U152" i="1"/>
  <c r="E152" i="1"/>
  <c r="E151" i="2" s="1"/>
  <c r="D104" i="1"/>
  <c r="D103" i="2" s="1"/>
  <c r="C103" i="2"/>
  <c r="B153" i="1"/>
  <c r="U105" i="1"/>
  <c r="B106" i="1"/>
  <c r="E105" i="1"/>
  <c r="E104" i="2" s="1"/>
  <c r="C105" i="1"/>
  <c r="D49" i="20"/>
  <c r="C49" i="20"/>
  <c r="D48" i="12"/>
  <c r="D47" i="13" s="1"/>
  <c r="C47" i="13"/>
  <c r="B50" i="12"/>
  <c r="B72" i="12" s="1"/>
  <c r="U49" i="12"/>
  <c r="E49" i="12"/>
  <c r="E48" i="13" s="1"/>
  <c r="D69" i="25" l="1"/>
  <c r="D68" i="26" s="1"/>
  <c r="C68" i="26"/>
  <c r="D52" i="25"/>
  <c r="D51" i="26" s="1"/>
  <c r="C51" i="26"/>
  <c r="U70" i="25"/>
  <c r="E70" i="25"/>
  <c r="E69" i="26" s="1"/>
  <c r="C70" i="25"/>
  <c r="D66" i="19"/>
  <c r="D65" i="20" s="1"/>
  <c r="C65" i="20"/>
  <c r="U67" i="19"/>
  <c r="C67" i="19"/>
  <c r="D67" i="19" s="1"/>
  <c r="D66" i="20" s="1"/>
  <c r="E67" i="19"/>
  <c r="E66" i="20" s="1"/>
  <c r="D79" i="16"/>
  <c r="D78" i="17" s="1"/>
  <c r="C78" i="17"/>
  <c r="W12" i="14"/>
  <c r="W22" i="14" s="1"/>
  <c r="L22" i="14"/>
  <c r="E80" i="16"/>
  <c r="E79" i="17" s="1"/>
  <c r="C80" i="16"/>
  <c r="U80" i="16"/>
  <c r="B57" i="16"/>
  <c r="B81" i="16"/>
  <c r="U56" i="16"/>
  <c r="B53" i="15"/>
  <c r="B78" i="15" s="1"/>
  <c r="B77" i="15"/>
  <c r="C72" i="12"/>
  <c r="U72" i="12"/>
  <c r="E72" i="12"/>
  <c r="E71" i="13" s="1"/>
  <c r="E71" i="12"/>
  <c r="E70" i="13" s="1"/>
  <c r="C71" i="12"/>
  <c r="U71" i="12"/>
  <c r="D152" i="1"/>
  <c r="D151" i="2" s="1"/>
  <c r="C151" i="2"/>
  <c r="E153" i="1"/>
  <c r="E152" i="2" s="1"/>
  <c r="C153" i="1"/>
  <c r="U153" i="1"/>
  <c r="B154" i="1"/>
  <c r="U106" i="1"/>
  <c r="B107" i="1"/>
  <c r="E106" i="1"/>
  <c r="E105" i="2" s="1"/>
  <c r="C106" i="1"/>
  <c r="D105" i="1"/>
  <c r="D104" i="2" s="1"/>
  <c r="C104" i="2"/>
  <c r="E31" i="19"/>
  <c r="E30" i="20" s="1"/>
  <c r="E32" i="20"/>
  <c r="C48" i="13"/>
  <c r="D49" i="12"/>
  <c r="D48" i="13" s="1"/>
  <c r="U50" i="12"/>
  <c r="B51" i="12"/>
  <c r="E50" i="12"/>
  <c r="E49" i="13" s="1"/>
  <c r="C50" i="12"/>
  <c r="D70" i="25" l="1"/>
  <c r="D69" i="26" s="1"/>
  <c r="C69" i="26"/>
  <c r="C66" i="20"/>
  <c r="D80" i="16"/>
  <c r="D79" i="17" s="1"/>
  <c r="C79" i="17"/>
  <c r="C81" i="16"/>
  <c r="U81" i="16"/>
  <c r="E81" i="16"/>
  <c r="E80" i="17" s="1"/>
  <c r="B58" i="16"/>
  <c r="B82" i="16"/>
  <c r="U57" i="16"/>
  <c r="C58" i="16"/>
  <c r="E57" i="16"/>
  <c r="E56" i="17" s="1"/>
  <c r="C55" i="16"/>
  <c r="C57" i="16"/>
  <c r="C53" i="16"/>
  <c r="E53" i="16"/>
  <c r="E52" i="17" s="1"/>
  <c r="E56" i="16"/>
  <c r="E55" i="17" s="1"/>
  <c r="E54" i="16"/>
  <c r="E53" i="17" s="1"/>
  <c r="E58" i="16"/>
  <c r="E57" i="17" s="1"/>
  <c r="C54" i="16"/>
  <c r="C56" i="16"/>
  <c r="E55" i="16"/>
  <c r="E54" i="17" s="1"/>
  <c r="D71" i="12"/>
  <c r="D70" i="13" s="1"/>
  <c r="C70" i="13"/>
  <c r="D72" i="12"/>
  <c r="D71" i="13" s="1"/>
  <c r="C71" i="13"/>
  <c r="B52" i="12"/>
  <c r="B74" i="12" s="1"/>
  <c r="B73" i="12"/>
  <c r="D153" i="1"/>
  <c r="D152" i="2" s="1"/>
  <c r="C152" i="2"/>
  <c r="D106" i="1"/>
  <c r="D105" i="2" s="1"/>
  <c r="C105" i="2"/>
  <c r="E154" i="1"/>
  <c r="E153" i="2" s="1"/>
  <c r="C154" i="1"/>
  <c r="U154" i="1"/>
  <c r="B155" i="1"/>
  <c r="U107" i="1"/>
  <c r="B108" i="1"/>
  <c r="E107" i="1"/>
  <c r="E106" i="2" s="1"/>
  <c r="C107" i="1"/>
  <c r="D35" i="20"/>
  <c r="C35" i="20"/>
  <c r="B53" i="12"/>
  <c r="B75" i="12" s="1"/>
  <c r="U52" i="12"/>
  <c r="E52" i="12"/>
  <c r="E51" i="13" s="1"/>
  <c r="C52" i="12"/>
  <c r="C49" i="13"/>
  <c r="D50" i="12"/>
  <c r="D49" i="13" s="1"/>
  <c r="U51" i="12"/>
  <c r="E51" i="12"/>
  <c r="E50" i="13" s="1"/>
  <c r="C51" i="12"/>
  <c r="D81" i="16" l="1"/>
  <c r="D80" i="17" s="1"/>
  <c r="C80" i="17"/>
  <c r="E82" i="16"/>
  <c r="E81" i="17" s="1"/>
  <c r="C82" i="16"/>
  <c r="U82" i="16"/>
  <c r="B59" i="16"/>
  <c r="B83" i="16"/>
  <c r="U58" i="16"/>
  <c r="D58" i="16"/>
  <c r="D57" i="17" s="1"/>
  <c r="C57" i="17"/>
  <c r="C56" i="17"/>
  <c r="D57" i="16"/>
  <c r="D56" i="17" s="1"/>
  <c r="D54" i="16"/>
  <c r="D53" i="17" s="1"/>
  <c r="C53" i="17"/>
  <c r="C54" i="17"/>
  <c r="D55" i="16"/>
  <c r="D54" i="17" s="1"/>
  <c r="C55" i="17"/>
  <c r="D56" i="16"/>
  <c r="D55" i="17" s="1"/>
  <c r="C52" i="17"/>
  <c r="D53" i="16"/>
  <c r="D52" i="17" s="1"/>
  <c r="E73" i="12"/>
  <c r="E72" i="13" s="1"/>
  <c r="C73" i="12"/>
  <c r="U73" i="12"/>
  <c r="C75" i="12"/>
  <c r="E75" i="12"/>
  <c r="E74" i="13" s="1"/>
  <c r="U75" i="12"/>
  <c r="E74" i="12"/>
  <c r="E73" i="13" s="1"/>
  <c r="C74" i="12"/>
  <c r="U74" i="12"/>
  <c r="D154" i="1"/>
  <c r="D153" i="2" s="1"/>
  <c r="C153" i="2"/>
  <c r="D107" i="1"/>
  <c r="D106" i="2" s="1"/>
  <c r="C106" i="2"/>
  <c r="B156" i="1"/>
  <c r="U108" i="1"/>
  <c r="B109" i="1"/>
  <c r="E108" i="1"/>
  <c r="E107" i="2" s="1"/>
  <c r="C108" i="1"/>
  <c r="C155" i="1"/>
  <c r="U155" i="1"/>
  <c r="E155" i="1"/>
  <c r="E154" i="2" s="1"/>
  <c r="C51" i="13"/>
  <c r="D52" i="12"/>
  <c r="D51" i="13" s="1"/>
  <c r="U53" i="12"/>
  <c r="B54" i="12"/>
  <c r="E53" i="12"/>
  <c r="E52" i="13" s="1"/>
  <c r="C53" i="12"/>
  <c r="D51" i="12"/>
  <c r="D50" i="13" s="1"/>
  <c r="C50" i="13"/>
  <c r="D82" i="16" l="1"/>
  <c r="D81" i="17" s="1"/>
  <c r="C81" i="17"/>
  <c r="E83" i="16"/>
  <c r="E82" i="17" s="1"/>
  <c r="C83" i="16"/>
  <c r="U83" i="16"/>
  <c r="B60" i="16"/>
  <c r="B84" i="16"/>
  <c r="U59" i="16"/>
  <c r="C59" i="16"/>
  <c r="E59" i="16"/>
  <c r="E58" i="17" s="1"/>
  <c r="D74" i="12"/>
  <c r="D73" i="13" s="1"/>
  <c r="C73" i="13"/>
  <c r="D75" i="12"/>
  <c r="D74" i="13" s="1"/>
  <c r="C74" i="13"/>
  <c r="D73" i="12"/>
  <c r="D72" i="13" s="1"/>
  <c r="C72" i="13"/>
  <c r="B76" i="12"/>
  <c r="B55" i="12"/>
  <c r="D155" i="1"/>
  <c r="D154" i="2" s="1"/>
  <c r="C154" i="2"/>
  <c r="B157" i="1"/>
  <c r="U109" i="1"/>
  <c r="B110" i="1"/>
  <c r="E109" i="1"/>
  <c r="E108" i="2" s="1"/>
  <c r="C109" i="1"/>
  <c r="C107" i="2"/>
  <c r="D108" i="1"/>
  <c r="D107" i="2" s="1"/>
  <c r="E156" i="1"/>
  <c r="E155" i="2" s="1"/>
  <c r="C156" i="1"/>
  <c r="U156" i="1"/>
  <c r="D53" i="12"/>
  <c r="D52" i="13" s="1"/>
  <c r="C52" i="13"/>
  <c r="U54" i="12"/>
  <c r="C54" i="12"/>
  <c r="E54" i="12"/>
  <c r="E53" i="13" s="1"/>
  <c r="D83" i="16" l="1"/>
  <c r="D82" i="17" s="1"/>
  <c r="C82" i="17"/>
  <c r="D59" i="16"/>
  <c r="D58" i="17" s="1"/>
  <c r="C58" i="17"/>
  <c r="C84" i="16"/>
  <c r="U84" i="16"/>
  <c r="E84" i="16"/>
  <c r="E83" i="17" s="1"/>
  <c r="B61" i="16"/>
  <c r="B85" i="16"/>
  <c r="U60" i="16"/>
  <c r="C60" i="16"/>
  <c r="E60" i="16"/>
  <c r="E59" i="17" s="1"/>
  <c r="B77" i="12"/>
  <c r="U55" i="12"/>
  <c r="B56" i="12"/>
  <c r="C55" i="12"/>
  <c r="E55" i="12"/>
  <c r="E54" i="13" s="1"/>
  <c r="E76" i="12"/>
  <c r="E75" i="13" s="1"/>
  <c r="C76" i="12"/>
  <c r="U76" i="12"/>
  <c r="D156" i="1"/>
  <c r="D155" i="2" s="1"/>
  <c r="C155" i="2"/>
  <c r="D109" i="1"/>
  <c r="D108" i="2" s="1"/>
  <c r="C108" i="2"/>
  <c r="B158" i="1"/>
  <c r="U110" i="1"/>
  <c r="B111" i="1"/>
  <c r="C110" i="1"/>
  <c r="E110" i="1"/>
  <c r="E109" i="2" s="1"/>
  <c r="E157" i="1"/>
  <c r="E156" i="2" s="1"/>
  <c r="C157" i="1"/>
  <c r="U157" i="1"/>
  <c r="C53" i="13"/>
  <c r="D54" i="12"/>
  <c r="D53" i="13" s="1"/>
  <c r="D84" i="16" l="1"/>
  <c r="D83" i="17" s="1"/>
  <c r="C83" i="17"/>
  <c r="E85" i="16"/>
  <c r="E84" i="17" s="1"/>
  <c r="C85" i="16"/>
  <c r="U85" i="16"/>
  <c r="B62" i="16"/>
  <c r="B86" i="16"/>
  <c r="U61" i="16"/>
  <c r="C61" i="16"/>
  <c r="E61" i="16"/>
  <c r="E60" i="17" s="1"/>
  <c r="C59" i="17"/>
  <c r="D60" i="16"/>
  <c r="D59" i="17" s="1"/>
  <c r="D76" i="12"/>
  <c r="D75" i="13" s="1"/>
  <c r="C75" i="13"/>
  <c r="C54" i="13"/>
  <c r="D55" i="12"/>
  <c r="D54" i="13" s="1"/>
  <c r="B78" i="12"/>
  <c r="U56" i="12"/>
  <c r="B57" i="12"/>
  <c r="E56" i="12"/>
  <c r="E55" i="13" s="1"/>
  <c r="C56" i="12"/>
  <c r="U77" i="12"/>
  <c r="E77" i="12"/>
  <c r="E76" i="13" s="1"/>
  <c r="C77" i="12"/>
  <c r="D157" i="1"/>
  <c r="D156" i="2" s="1"/>
  <c r="C156" i="2"/>
  <c r="B159" i="1"/>
  <c r="B112" i="1"/>
  <c r="U111" i="1"/>
  <c r="C111" i="1"/>
  <c r="E111" i="1"/>
  <c r="E110" i="2" s="1"/>
  <c r="D110" i="1"/>
  <c r="D109" i="2" s="1"/>
  <c r="C109" i="2"/>
  <c r="U158" i="1"/>
  <c r="E158" i="1"/>
  <c r="E157" i="2" s="1"/>
  <c r="C158" i="1"/>
  <c r="D85" i="16" l="1"/>
  <c r="D84" i="17" s="1"/>
  <c r="C84" i="17"/>
  <c r="B63" i="16"/>
  <c r="B87" i="16"/>
  <c r="U62" i="16"/>
  <c r="C62" i="16"/>
  <c r="E62" i="16"/>
  <c r="E61" i="17" s="1"/>
  <c r="C60" i="17"/>
  <c r="D61" i="16"/>
  <c r="D60" i="17" s="1"/>
  <c r="U86" i="16"/>
  <c r="E86" i="16"/>
  <c r="E85" i="17" s="1"/>
  <c r="C86" i="16"/>
  <c r="D77" i="12"/>
  <c r="D76" i="13" s="1"/>
  <c r="C76" i="13"/>
  <c r="B58" i="12"/>
  <c r="B79" i="12"/>
  <c r="U57" i="12"/>
  <c r="E57" i="12"/>
  <c r="E56" i="13" s="1"/>
  <c r="C57" i="12"/>
  <c r="C55" i="13"/>
  <c r="D56" i="12"/>
  <c r="D55" i="13" s="1"/>
  <c r="E78" i="12"/>
  <c r="E77" i="13" s="1"/>
  <c r="C78" i="12"/>
  <c r="U78" i="12"/>
  <c r="D158" i="1"/>
  <c r="D157" i="2" s="1"/>
  <c r="C157" i="2"/>
  <c r="D111" i="1"/>
  <c r="D110" i="2" s="1"/>
  <c r="C110" i="2"/>
  <c r="B160" i="1"/>
  <c r="U112" i="1"/>
  <c r="B113" i="1"/>
  <c r="C112" i="1"/>
  <c r="E112" i="1"/>
  <c r="E111" i="2" s="1"/>
  <c r="E159" i="1"/>
  <c r="E158" i="2" s="1"/>
  <c r="C159" i="1"/>
  <c r="U159" i="1"/>
  <c r="D86" i="16" l="1"/>
  <c r="D85" i="17" s="1"/>
  <c r="C85" i="17"/>
  <c r="D62" i="16"/>
  <c r="D61" i="17" s="1"/>
  <c r="C61" i="17"/>
  <c r="E87" i="16"/>
  <c r="E86" i="17" s="1"/>
  <c r="C87" i="16"/>
  <c r="U87" i="16"/>
  <c r="B64" i="16"/>
  <c r="B88" i="16"/>
  <c r="U63" i="16"/>
  <c r="E63" i="16"/>
  <c r="E62" i="17" s="1"/>
  <c r="C63" i="16"/>
  <c r="D78" i="12"/>
  <c r="D77" i="13" s="1"/>
  <c r="C77" i="13"/>
  <c r="D57" i="12"/>
  <c r="D56" i="13" s="1"/>
  <c r="C56" i="13"/>
  <c r="E79" i="12"/>
  <c r="E78" i="13" s="1"/>
  <c r="C79" i="12"/>
  <c r="U79" i="12"/>
  <c r="B80" i="12"/>
  <c r="U58" i="12"/>
  <c r="B59" i="12"/>
  <c r="C58" i="12"/>
  <c r="E58" i="12"/>
  <c r="E57" i="13" s="1"/>
  <c r="D159" i="1"/>
  <c r="D158" i="2" s="1"/>
  <c r="C158" i="2"/>
  <c r="C111" i="2"/>
  <c r="D112" i="1"/>
  <c r="D111" i="2" s="1"/>
  <c r="B161" i="1"/>
  <c r="U113" i="1"/>
  <c r="C113" i="1"/>
  <c r="E113" i="1"/>
  <c r="E112" i="2" s="1"/>
  <c r="C160" i="1"/>
  <c r="U160" i="1"/>
  <c r="E160" i="1"/>
  <c r="E159" i="2" s="1"/>
  <c r="D87" i="16" l="1"/>
  <c r="D86" i="17" s="1"/>
  <c r="C86" i="17"/>
  <c r="E88" i="16"/>
  <c r="E87" i="17" s="1"/>
  <c r="C88" i="16"/>
  <c r="U88" i="16"/>
  <c r="B65" i="16"/>
  <c r="B89" i="16"/>
  <c r="U64" i="16"/>
  <c r="C64" i="16"/>
  <c r="E64" i="16"/>
  <c r="E63" i="17" s="1"/>
  <c r="D63" i="16"/>
  <c r="D62" i="17" s="1"/>
  <c r="C62" i="17"/>
  <c r="D79" i="12"/>
  <c r="D78" i="13" s="1"/>
  <c r="C78" i="13"/>
  <c r="C80" i="12"/>
  <c r="U80" i="12"/>
  <c r="E80" i="12"/>
  <c r="E79" i="13" s="1"/>
  <c r="B81" i="12"/>
  <c r="U59" i="12"/>
  <c r="B60" i="12"/>
  <c r="E59" i="12"/>
  <c r="E58" i="13" s="1"/>
  <c r="C59" i="12"/>
  <c r="C57" i="13"/>
  <c r="D58" i="12"/>
  <c r="D57" i="13" s="1"/>
  <c r="D160" i="1"/>
  <c r="D159" i="2" s="1"/>
  <c r="C159" i="2"/>
  <c r="C112" i="2"/>
  <c r="D113" i="1"/>
  <c r="D112" i="2" s="1"/>
  <c r="U161" i="1"/>
  <c r="C161" i="1"/>
  <c r="E161" i="1"/>
  <c r="E160" i="2" s="1"/>
  <c r="D88" i="16" l="1"/>
  <c r="D87" i="17" s="1"/>
  <c r="C87" i="17"/>
  <c r="D64" i="16"/>
  <c r="D63" i="17" s="1"/>
  <c r="C63" i="17"/>
  <c r="C89" i="16"/>
  <c r="U89" i="16"/>
  <c r="E89" i="16"/>
  <c r="E88" i="17" s="1"/>
  <c r="B66" i="16"/>
  <c r="B90" i="16"/>
  <c r="U65" i="16"/>
  <c r="C65" i="16"/>
  <c r="E65" i="16"/>
  <c r="E64" i="17" s="1"/>
  <c r="D80" i="12"/>
  <c r="D79" i="13" s="1"/>
  <c r="C79" i="13"/>
  <c r="U60" i="12"/>
  <c r="B82" i="12"/>
  <c r="C60" i="12"/>
  <c r="E60" i="12"/>
  <c r="E59" i="13" s="1"/>
  <c r="C58" i="13"/>
  <c r="D59" i="12"/>
  <c r="D58" i="13" s="1"/>
  <c r="E81" i="12"/>
  <c r="E80" i="13" s="1"/>
  <c r="C81" i="12"/>
  <c r="U81" i="12"/>
  <c r="D161" i="1"/>
  <c r="D160" i="2" s="1"/>
  <c r="C160" i="2"/>
  <c r="D89" i="16" l="1"/>
  <c r="D88" i="17" s="1"/>
  <c r="C88" i="17"/>
  <c r="E90" i="16"/>
  <c r="E89" i="17" s="1"/>
  <c r="C90" i="16"/>
  <c r="U90" i="16"/>
  <c r="B91" i="16"/>
  <c r="U66" i="16"/>
  <c r="C66" i="16"/>
  <c r="E66" i="16"/>
  <c r="E65" i="17" s="1"/>
  <c r="C64" i="17"/>
  <c r="D65" i="16"/>
  <c r="D64" i="17" s="1"/>
  <c r="D81" i="12"/>
  <c r="D80" i="13" s="1"/>
  <c r="C80" i="13"/>
  <c r="D60" i="12"/>
  <c r="D59" i="13" s="1"/>
  <c r="C59" i="13"/>
  <c r="U82" i="12"/>
  <c r="E82" i="12"/>
  <c r="E81" i="13" s="1"/>
  <c r="C82" i="12"/>
  <c r="D90" i="16" l="1"/>
  <c r="D89" i="17" s="1"/>
  <c r="C89" i="17"/>
  <c r="U91" i="16"/>
  <c r="C91" i="16"/>
  <c r="E91" i="16"/>
  <c r="E90" i="17" s="1"/>
  <c r="D66" i="16"/>
  <c r="D65" i="17" s="1"/>
  <c r="C65" i="17"/>
  <c r="C81" i="13"/>
  <c r="D82" i="12"/>
  <c r="D81" i="13" s="1"/>
  <c r="C90" i="17" l="1"/>
  <c r="D91" i="16"/>
  <c r="D90" i="1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<sst xmlns="http://schemas.openxmlformats.org/spreadsheetml/2006/main" count="1811" uniqueCount="165">
  <si>
    <t>We acknowledge receipt of cash shown opposite our name as full compensation for services rendered for the period covered.</t>
  </si>
  <si>
    <t>Name</t>
  </si>
  <si>
    <t>Position</t>
  </si>
  <si>
    <t>D E D U C T I O N S</t>
  </si>
  <si>
    <t>COMPENSATIONS</t>
  </si>
  <si>
    <t>Gross Amount Earned</t>
  </si>
  <si>
    <t>Serial No.</t>
  </si>
  <si>
    <t xml:space="preserve">Appendix 33
</t>
  </si>
  <si>
    <t>Fund Cluster : _______________________________</t>
  </si>
  <si>
    <t>Entity Name : ________________________________</t>
  </si>
  <si>
    <t>ORS/BURS No. : _______________</t>
  </si>
  <si>
    <t>JEV No. : _____________________</t>
  </si>
  <si>
    <t>Date : ____________________</t>
  </si>
  <si>
    <t>PAYROLL</t>
  </si>
  <si>
    <t>Employee No.</t>
  </si>
  <si>
    <t>Salaries and Wages-Regular</t>
  </si>
  <si>
    <t>Net Amount Due</t>
  </si>
  <si>
    <t>Total Deductions</t>
  </si>
  <si>
    <t>Signature of Recipient</t>
  </si>
  <si>
    <t>Payroll No. : _______________________</t>
  </si>
  <si>
    <t>Sheet _________of __________Sheets</t>
  </si>
  <si>
    <t>A</t>
  </si>
  <si>
    <t xml:space="preserve">                   </t>
  </si>
  <si>
    <t>C</t>
  </si>
  <si>
    <t>B</t>
  </si>
  <si>
    <t>D</t>
  </si>
  <si>
    <t xml:space="preserve">                  </t>
  </si>
  <si>
    <t>E</t>
  </si>
  <si>
    <t xml:space="preserve">           </t>
  </si>
  <si>
    <t>Date</t>
  </si>
  <si>
    <t>Signature over Printed Name of Authorized Official</t>
  </si>
  <si>
    <t>For the period _______________</t>
  </si>
  <si>
    <t>(Signature over Printed Name)
Head of Accounting Division/Unit</t>
  </si>
  <si>
    <t>(Signature over Printed Name)
Disbursing Officer</t>
  </si>
  <si>
    <t xml:space="preserve">(Signature over Printed Name)
Head of Agency/Authorized Representative
</t>
  </si>
  <si>
    <r>
      <rPr>
        <b/>
        <sz val="12"/>
        <rFont val="Times New Roman"/>
        <family val="1"/>
      </rPr>
      <t>CERTIFIED:</t>
    </r>
    <r>
      <rPr>
        <sz val="12"/>
        <rFont val="Times New Roman"/>
        <family val="1"/>
      </rPr>
      <t xml:space="preserve"> Each employee whose name appears on the payroll has been paid the amount as indicated opposite his/her name</t>
    </r>
  </si>
  <si>
    <r>
      <rPr>
        <b/>
        <sz val="11"/>
        <rFont val="Times New Roman"/>
        <family val="1"/>
      </rPr>
      <t>CERTIFIED:</t>
    </r>
    <r>
      <rPr>
        <sz val="11"/>
        <rFont val="Times New Roman"/>
        <family val="1"/>
      </rPr>
      <t xml:space="preserve">   Supporting documents complete and proper; and cash available in the amount of  </t>
    </r>
    <r>
      <rPr>
        <strike/>
        <sz val="11"/>
        <rFont val="Times New Roman"/>
        <family val="1"/>
      </rPr>
      <t>P</t>
    </r>
    <r>
      <rPr>
        <sz val="11"/>
        <rFont val="Times New Roman"/>
        <family val="1"/>
      </rPr>
      <t>______________________.</t>
    </r>
  </si>
  <si>
    <r>
      <rPr>
        <b/>
        <sz val="11"/>
        <rFont val="Times New Roman"/>
        <family val="1"/>
      </rPr>
      <t>CERTIFIED:</t>
    </r>
    <r>
      <rPr>
        <sz val="11"/>
        <rFont val="Times New Roman"/>
        <family val="1"/>
      </rPr>
      <t xml:space="preserve">   Services duly rendered as stated.</t>
    </r>
  </si>
  <si>
    <r>
      <t>_____________________________________________________________________(</t>
    </r>
    <r>
      <rPr>
        <strike/>
        <sz val="12"/>
        <color indexed="8"/>
        <rFont val="Times New Roman"/>
        <family val="1"/>
      </rPr>
      <t>P</t>
    </r>
    <r>
      <rPr>
        <sz val="12"/>
        <color indexed="8"/>
        <rFont val="Times New Roman"/>
        <family val="1"/>
      </rPr>
      <t xml:space="preserve">                                       )</t>
    </r>
  </si>
  <si>
    <t>APPROVED FOR PAYMENT: _________________________________________________________________</t>
  </si>
  <si>
    <t>Appendix 33</t>
  </si>
  <si>
    <t>For the period JANUARY 1-31, 2026</t>
  </si>
  <si>
    <t>Republic of the Philippines</t>
  </si>
  <si>
    <t xml:space="preserve">EULOGIO "AMANG" RODRIGUEZ INSTITUTE </t>
  </si>
  <si>
    <t>OF SCIENCE &amp; TECHNOLOGY</t>
  </si>
  <si>
    <t>Nagtahan, Sampaloc, Manila</t>
  </si>
  <si>
    <t>Regular Employees - GENERAL ADMINISTRATION</t>
  </si>
  <si>
    <t>MARJORIE E. ONDRA</t>
  </si>
  <si>
    <t>NBC 597
(2nd Tranche)</t>
  </si>
  <si>
    <t>Step Increment</t>
  </si>
  <si>
    <t>Diff'l</t>
  </si>
  <si>
    <t>1ST PAY</t>
  </si>
  <si>
    <t>2ND PAY</t>
  </si>
  <si>
    <t>ABS.</t>
  </si>
  <si>
    <t>WTAX</t>
  </si>
  <si>
    <t>TOTAL GSIS</t>
  </si>
  <si>
    <t>TOTAL PAG-IBIG</t>
  </si>
  <si>
    <t>PHILHEALTH</t>
  </si>
  <si>
    <t>TOTAL OTHER</t>
  </si>
  <si>
    <t>No.</t>
  </si>
  <si>
    <t>GOVERNMENT SHARE</t>
  </si>
  <si>
    <t>RT. INS.</t>
  </si>
  <si>
    <t>EC</t>
  </si>
  <si>
    <t>PAG-IBIG</t>
  </si>
  <si>
    <t>DEDUCTIONS SUMMARY</t>
  </si>
  <si>
    <t>PERSONAL LIFE INS.</t>
  </si>
  <si>
    <t>GSIS</t>
  </si>
  <si>
    <t>SAL. LOAN</t>
  </si>
  <si>
    <t>POLICY LOAN</t>
  </si>
  <si>
    <t>GFAL</t>
  </si>
  <si>
    <t>CPL</t>
  </si>
  <si>
    <t>MPL</t>
  </si>
  <si>
    <t>MPL LITE</t>
  </si>
  <si>
    <t>EMERGENCY LOAN (ELA)</t>
  </si>
  <si>
    <t>TOTAL GSIS DEDS.</t>
  </si>
  <si>
    <t>PAG-IBIG CONTRI</t>
  </si>
  <si>
    <t>PAG-IBIG 2</t>
  </si>
  <si>
    <t>CAL. LOAN</t>
  </si>
  <si>
    <t>OTHERS</t>
  </si>
  <si>
    <t>TOTAL PAG-IBIG DEDS.</t>
  </si>
  <si>
    <t>OTHER DEDUCTIONS</t>
  </si>
  <si>
    <t>LANDBANK SAL. LOAN</t>
  </si>
  <si>
    <t>EARIST CREDIT COOP</t>
  </si>
  <si>
    <t>FEU</t>
  </si>
  <si>
    <t>MTSLA SAL. LOAN</t>
  </si>
  <si>
    <t>TOTAL OTHER DEDS.</t>
  </si>
  <si>
    <t>OTHERS (DISALLOWANCE/UNLIQ. CA/ETC.)</t>
  </si>
  <si>
    <t>TOTAL DEDUCTIONS</t>
  </si>
  <si>
    <t xml:space="preserve">Fund Cluster : </t>
  </si>
  <si>
    <t xml:space="preserve">APPROVED FOR PAYMENT: </t>
  </si>
  <si>
    <t xml:space="preserve">ORS/BURS No. : </t>
  </si>
  <si>
    <t xml:space="preserve">Date : </t>
  </si>
  <si>
    <t xml:space="preserve">JEV No. : </t>
  </si>
  <si>
    <t>Preparer/Staff, HRMS</t>
  </si>
  <si>
    <t>Chief, HRMS</t>
  </si>
  <si>
    <t>AMPARO M. MORALES</t>
  </si>
  <si>
    <t>President</t>
  </si>
  <si>
    <t>ROGELIO T. MAMARADLO</t>
  </si>
  <si>
    <t>Chief, Cash &amp; Disbursement Services</t>
  </si>
  <si>
    <t>JOY B. RULLODA</t>
  </si>
  <si>
    <t xml:space="preserve">Supporting documents complete and proper; and cash available in the amount of </t>
  </si>
  <si>
    <t>VPAF/Director, FMS</t>
  </si>
  <si>
    <t>YOLANDA A. LARA</t>
  </si>
  <si>
    <t>Payroll No. :</t>
  </si>
  <si>
    <r>
      <rPr>
        <b/>
        <sz val="12"/>
        <rFont val="Times New Roman"/>
        <family val="1"/>
      </rPr>
      <t>CERTIFIED:</t>
    </r>
    <r>
      <rPr>
        <sz val="12"/>
        <rFont val="Times New Roman"/>
        <family val="1"/>
      </rPr>
      <t xml:space="preserve">   Services duly rendered as stated.</t>
    </r>
  </si>
  <si>
    <r>
      <rPr>
        <b/>
        <sz val="12"/>
        <rFont val="Times New Roman"/>
        <family val="1"/>
      </rPr>
      <t>CERTIFIED:</t>
    </r>
    <r>
      <rPr>
        <sz val="12"/>
        <rFont val="Times New Roman"/>
        <family val="1"/>
      </rPr>
      <t xml:space="preserve">   </t>
    </r>
  </si>
  <si>
    <t>01</t>
  </si>
  <si>
    <t>GENERAL ADMINISTRATION</t>
  </si>
  <si>
    <t>AUXILIARY SERVICES</t>
  </si>
  <si>
    <t>Regular Employees - AUXILIARY SERVICES</t>
  </si>
  <si>
    <t>GSIS ARREARS</t>
  </si>
  <si>
    <t>HOUSING LOAN</t>
  </si>
  <si>
    <t>COLLEGE OF ENGINEERING</t>
  </si>
  <si>
    <t>Regular Employees - COLLEGE OF ENGINEERING</t>
  </si>
  <si>
    <t>COLLEGE OF INDUSTRIAL TECHNOLOGY</t>
  </si>
  <si>
    <t>Regular Employees - COLLEGE OF INDUSTRIAL TECHNOLOGY</t>
  </si>
  <si>
    <t>ACAD &amp; NON-ACAD PAYROLL</t>
  </si>
  <si>
    <t>COLLEGE OF BUSINESS AND PUBLIC ADMINISTRATION</t>
  </si>
  <si>
    <t>COLLEGE OF ARTS AND SCIENCES</t>
  </si>
  <si>
    <t>COLLEGE OF ARCHITECTURE AND FINE ARTS</t>
  </si>
  <si>
    <t>COLLEGE OF EDUCATION</t>
  </si>
  <si>
    <t>PHYSICAL EDUCATION</t>
  </si>
  <si>
    <t>RESEARCH SERVICES</t>
  </si>
  <si>
    <t>EXTENSION SERVICES</t>
  </si>
  <si>
    <t>JANUARY 1-31, 2026</t>
  </si>
  <si>
    <t>DEDUCTIONS</t>
  </si>
  <si>
    <t>PERSONAL SHARE</t>
  </si>
  <si>
    <t>GSIS LOANS</t>
  </si>
  <si>
    <t>PAG-IBIG LOANS</t>
  </si>
  <si>
    <t>SUBTOTAL</t>
  </si>
  <si>
    <t>GSIS GRAND TOTAL</t>
  </si>
  <si>
    <t>PAG-IBIG TOTAL</t>
  </si>
  <si>
    <t>PHILHEALTH TOTAL</t>
  </si>
  <si>
    <t>GROSS SALARY</t>
  </si>
  <si>
    <t>ABSENCES</t>
  </si>
  <si>
    <t>NET AMOUNT DUE</t>
  </si>
  <si>
    <t>GSIS CONTRI</t>
  </si>
  <si>
    <t>Net Salary after Abs.</t>
  </si>
  <si>
    <t>(1st Quincena)</t>
  </si>
  <si>
    <t>NET SAL. AFTER ABS.</t>
  </si>
  <si>
    <t>Regular Employees - COLLEGE OF BUSINESS AND PUBLIC ADMINISTRATION</t>
  </si>
  <si>
    <t>OTHERS (HOUSING LOAN)</t>
  </si>
  <si>
    <t>Regular Employees - COLLEGE OF ARTS AND SCIENCES</t>
  </si>
  <si>
    <t>Regular Employees - COLLEGE OF ARCHITECTURE AND FINE ARTS</t>
  </si>
  <si>
    <t>Regular Employees - COLLEGE OF EDUCATION</t>
  </si>
  <si>
    <t>OTHERS (DISALLOWANCE/UNLIQ. CA/ETC./REF. OF SAL)</t>
  </si>
  <si>
    <t>Regular Employees - PHYSICAL EDUCATION</t>
  </si>
  <si>
    <t>Regular Employees - RESEARCH SERVICES</t>
  </si>
  <si>
    <t>CHECKING</t>
  </si>
  <si>
    <t>Regular Employees - EXTENSION SERVICES</t>
  </si>
  <si>
    <t>Day/s</t>
  </si>
  <si>
    <t>Hour/s</t>
  </si>
  <si>
    <t>Minute/s</t>
  </si>
  <si>
    <t>LATE/ABSENCES</t>
  </si>
  <si>
    <t>Rate</t>
  </si>
  <si>
    <t>Total</t>
  </si>
  <si>
    <t>WITHHOLDING TAX / LATE/ABSENCES</t>
  </si>
  <si>
    <t>LWOP (Calendar Days)</t>
  </si>
  <si>
    <t>TEMPORARY EMPLOYEES</t>
  </si>
  <si>
    <t>CONTRACTUAL EMPLOYEES</t>
  </si>
  <si>
    <t>2026-01-014</t>
  </si>
  <si>
    <t>01-2026-01-0019</t>
  </si>
  <si>
    <t>01-101101-2026-01-0003</t>
  </si>
  <si>
    <t xml:space="preserve"> </t>
  </si>
  <si>
    <t>DUP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</si>
</sst>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_-* #,##0.00_-;\-* #,##0.00_-;_-* &quot;-&quot;??_-;_-@_-"/>
    <numFmt numFmtId="165" formatCode="_-[$₱-3409]* #,##0.00_-;\-[$₱-3409]* #,##0.00_-;_-[$₱-3409]* &quot;-&quot;??_-;_-@_-"/>
    <numFmt numFmtId="166" formatCode="[$-3409]dd\-mmm\-yy;@"/>
  </numFmts>
  <fonts count="32" x14ac:knownFonts="1">
    <font>
      <sz val="12"/>
      <name val="Times New Roman"/>
    </font>
    <font>
      <b/>
      <sz val="14"/>
      <name val="Times New Roman"/>
      <family val="1"/>
    </font>
    <font>
      <sz val="10"/>
      <name val="Times New Roman"/>
      <family val="1"/>
    </font>
    <font>
      <sz val="12"/>
      <name val="Times New Roman"/>
      <family val="1"/>
    </font>
    <font>
      <sz val="12"/>
      <name val="Arial"/>
      <family val="2"/>
    </font>
    <font>
      <sz val="12"/>
      <color indexed="12"/>
      <name val="Times New Roman"/>
      <family val="1"/>
    </font>
    <font>
      <i/>
      <sz val="12"/>
      <name val="Arial"/>
      <family val="2"/>
    </font>
    <font>
      <sz val="11"/>
      <name val="Times New Roman"/>
      <family val="1"/>
    </font>
    <font>
      <strike/>
      <sz val="11"/>
      <name val="Times New Roman"/>
      <family val="1"/>
    </font>
    <font>
      <b/>
      <sz val="12"/>
      <name val="Times New Roman"/>
      <family val="1"/>
    </font>
    <font>
      <b/>
      <sz val="11"/>
      <name val="Times New Roman"/>
      <family val="1"/>
    </font>
    <font>
      <sz val="24"/>
      <name val="Times New Roman"/>
      <family val="1"/>
    </font>
    <font>
      <i/>
      <sz val="14"/>
      <name val="Times New Roman"/>
      <family val="1"/>
    </font>
    <font>
      <sz val="12"/>
      <color indexed="8"/>
      <name val="Times New Roman"/>
      <family val="1"/>
    </font>
    <font>
      <strike/>
      <sz val="12"/>
      <color indexed="8"/>
      <name val="Times New Roman"/>
      <family val="1"/>
    </font>
    <font>
      <b/>
      <sz val="18"/>
      <name val="Times New Roman"/>
      <family val="1"/>
    </font>
    <font>
      <b/>
      <sz val="16"/>
      <name val="Times New Roman"/>
      <family val="1"/>
    </font>
    <font>
      <sz val="14"/>
      <name val="Times New Roman"/>
      <family val="1"/>
    </font>
    <font>
      <i/>
      <sz val="18"/>
      <name val="Times New Roman"/>
      <family val="1"/>
    </font>
    <font>
      <sz val="12"/>
      <name val="Times New Roman"/>
      <family val="1"/>
    </font>
    <font>
      <b/>
      <u/>
      <sz val="16"/>
      <name val="Times New Roman"/>
      <family val="1"/>
    </font>
    <font>
      <sz val="12"/>
      <name val="Lucida Calligraphy"/>
      <family val="4"/>
    </font>
    <font>
      <b/>
      <sz val="16"/>
      <name val="Arial"/>
      <family val="2"/>
    </font>
    <font>
      <b/>
      <sz val="9"/>
      <name val="Times New Roman"/>
      <family val="1"/>
    </font>
    <font>
      <sz val="9"/>
      <name val="Times New Roman"/>
      <family val="1"/>
    </font>
    <font>
      <sz val="8"/>
      <name val="Times New Roman"/>
      <family val="1"/>
    </font>
    <font>
      <sz val="6"/>
      <name val="Times New Roman"/>
      <family val="1"/>
    </font>
    <font>
      <sz val="12"/>
      <name val="Times New Roman"/>
      <family val="1"/>
    </font>
    <font>
      <sz val="12"/>
      <color rgb="FF000000"/>
      <name val="Times New Roman"/>
      <family val="1"/>
    </font>
    <font>
      <b/>
      <sz val="18"/>
      <color rgb="FF000000"/>
      <name val="Times New Roman"/>
      <family val="1"/>
    </font>
    <font>
      <b/>
      <u/>
      <sz val="12"/>
      <color rgb="FF000000"/>
      <name val="Times New Roman"/>
      <family val="1"/>
    </font>
    <font>
      <b/>
      <sz val="12"/>
      <color theme="0"/>
      <name val="Times New Roman"/>
      <family val="1"/>
    </font>
  </fonts>
  <fills count="2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/>
        <bgColor indexed="64"/>
      </patternFill>
    </fill>
  </fills>
  <borders count="8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43" fontId="19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</cellStyleXfs>
  <cellXfs count="1008">
    <xf numFmtId="0" fontId="0" fillId="0" borderId="0" xfId="0"/>
    <xf numFmtId="0" fontId="1" fillId="0" borderId="1" xfId="0" applyFont="1" applyBorder="1" applyAlignment="1">
      <alignment horizontal="center" vertical="center"/>
    </xf>
    <xf numFmtId="0" fontId="12" fillId="0" borderId="0" xfId="0" applyFont="1" applyAlignment="1">
      <alignment horizontal="right" vertical="center" wrapText="1"/>
    </xf>
    <xf numFmtId="0" fontId="18" fillId="0" borderId="0" xfId="0" applyFont="1" applyAlignment="1">
      <alignment horizontal="right" vertical="center" wrapText="1"/>
    </xf>
    <xf numFmtId="0" fontId="0" fillId="0" borderId="0" xfId="0" applyAlignment="1">
      <alignment vertical="center"/>
    </xf>
    <xf numFmtId="0" fontId="12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/>
    </xf>
    <xf numFmtId="0" fontId="10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0" borderId="2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3" fillId="0" borderId="3" xfId="0" applyFont="1" applyBorder="1" applyAlignment="1">
      <alignment vertical="center"/>
    </xf>
    <xf numFmtId="0" fontId="3" fillId="0" borderId="4" xfId="0" applyFont="1" applyBorder="1" applyAlignment="1">
      <alignment vertical="center"/>
    </xf>
    <xf numFmtId="0" fontId="3" fillId="0" borderId="5" xfId="0" applyFont="1" applyBorder="1" applyAlignment="1">
      <alignment vertical="center"/>
    </xf>
    <xf numFmtId="0" fontId="3" fillId="0" borderId="6" xfId="0" applyFont="1" applyBorder="1" applyAlignment="1">
      <alignment vertical="center"/>
    </xf>
    <xf numFmtId="0" fontId="3" fillId="0" borderId="7" xfId="0" applyFont="1" applyBorder="1" applyAlignment="1">
      <alignment vertical="center"/>
    </xf>
    <xf numFmtId="0" fontId="3" fillId="0" borderId="8" xfId="0" applyFont="1" applyBorder="1" applyAlignment="1">
      <alignment vertical="center"/>
    </xf>
    <xf numFmtId="0" fontId="7" fillId="0" borderId="9" xfId="0" applyFont="1" applyBorder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center" vertical="center" wrapText="1"/>
    </xf>
    <xf numFmtId="0" fontId="3" fillId="0" borderId="11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7" fillId="0" borderId="8" xfId="0" applyFont="1" applyBorder="1" applyAlignment="1">
      <alignment vertical="center"/>
    </xf>
    <xf numFmtId="0" fontId="0" fillId="0" borderId="9" xfId="0" applyBorder="1" applyAlignment="1">
      <alignment vertical="center"/>
    </xf>
    <xf numFmtId="0" fontId="7" fillId="0" borderId="0" xfId="0" applyFont="1" applyAlignment="1">
      <alignment vertical="center" wrapText="1"/>
    </xf>
    <xf numFmtId="0" fontId="4" fillId="0" borderId="0" xfId="0" applyFont="1" applyAlignment="1">
      <alignment horizontal="right" vertical="center" textRotation="180"/>
    </xf>
    <xf numFmtId="0" fontId="0" fillId="0" borderId="2" xfId="0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11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3" fillId="0" borderId="6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43" fontId="3" fillId="0" borderId="14" xfId="1" applyFont="1" applyBorder="1" applyAlignment="1">
      <alignment vertical="center"/>
    </xf>
    <xf numFmtId="43" fontId="3" fillId="0" borderId="15" xfId="1" applyFont="1" applyBorder="1" applyAlignment="1">
      <alignment vertical="center"/>
    </xf>
    <xf numFmtId="43" fontId="3" fillId="0" borderId="16" xfId="1" applyFont="1" applyBorder="1" applyAlignment="1">
      <alignment vertical="center"/>
    </xf>
    <xf numFmtId="43" fontId="3" fillId="0" borderId="17" xfId="1" applyFont="1" applyBorder="1" applyAlignment="1">
      <alignment vertical="center"/>
    </xf>
    <xf numFmtId="0" fontId="3" fillId="0" borderId="18" xfId="0" applyFont="1" applyBorder="1" applyAlignment="1">
      <alignment vertical="center"/>
    </xf>
    <xf numFmtId="43" fontId="3" fillId="0" borderId="19" xfId="1" applyFont="1" applyBorder="1" applyAlignment="1">
      <alignment vertical="center"/>
    </xf>
    <xf numFmtId="43" fontId="3" fillId="0" borderId="20" xfId="1" applyFont="1" applyBorder="1" applyAlignment="1">
      <alignment vertical="center"/>
    </xf>
    <xf numFmtId="0" fontId="3" fillId="0" borderId="21" xfId="0" applyFont="1" applyBorder="1" applyAlignment="1">
      <alignment vertical="center"/>
    </xf>
    <xf numFmtId="0" fontId="3" fillId="0" borderId="22" xfId="0" applyFont="1" applyBorder="1" applyAlignment="1">
      <alignment vertical="center"/>
    </xf>
    <xf numFmtId="0" fontId="3" fillId="0" borderId="23" xfId="0" applyFont="1" applyBorder="1" applyAlignment="1">
      <alignment vertical="center"/>
    </xf>
    <xf numFmtId="43" fontId="3" fillId="0" borderId="24" xfId="1" applyFont="1" applyBorder="1" applyAlignment="1">
      <alignment vertical="center"/>
    </xf>
    <xf numFmtId="0" fontId="3" fillId="0" borderId="25" xfId="0" applyFont="1" applyBorder="1" applyAlignment="1">
      <alignment vertical="center"/>
    </xf>
    <xf numFmtId="0" fontId="3" fillId="0" borderId="26" xfId="0" applyFont="1" applyBorder="1" applyAlignment="1">
      <alignment vertical="center"/>
    </xf>
    <xf numFmtId="0" fontId="3" fillId="0" borderId="27" xfId="0" applyFont="1" applyBorder="1" applyAlignment="1">
      <alignment vertical="center"/>
    </xf>
    <xf numFmtId="43" fontId="3" fillId="0" borderId="6" xfId="1" applyFont="1" applyBorder="1" applyAlignment="1">
      <alignment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12" fillId="0" borderId="0" xfId="0" applyFont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0" fillId="0" borderId="9" xfId="0" applyFont="1" applyBorder="1" applyAlignment="1">
      <alignment vertical="center"/>
    </xf>
    <xf numFmtId="0" fontId="3" fillId="0" borderId="24" xfId="0" applyFont="1" applyBorder="1" applyAlignment="1">
      <alignment vertical="center"/>
    </xf>
    <xf numFmtId="0" fontId="3" fillId="0" borderId="28" xfId="0" applyFont="1" applyBorder="1" applyAlignment="1">
      <alignment vertical="center"/>
    </xf>
    <xf numFmtId="0" fontId="3" fillId="0" borderId="0" xfId="0" applyFont="1" applyAlignment="1">
      <alignment horizontal="left" vertical="center" wrapText="1"/>
    </xf>
    <xf numFmtId="43" fontId="3" fillId="0" borderId="20" xfId="0" applyNumberFormat="1" applyFont="1" applyBorder="1" applyAlignment="1">
      <alignment vertical="center"/>
    </xf>
    <xf numFmtId="0" fontId="3" fillId="0" borderId="29" xfId="0" applyFont="1" applyBorder="1" applyAlignment="1">
      <alignment horizontal="center" vertical="center"/>
    </xf>
    <xf numFmtId="0" fontId="3" fillId="0" borderId="29" xfId="0" applyFont="1" applyBorder="1" applyAlignment="1">
      <alignment vertical="center"/>
    </xf>
    <xf numFmtId="43" fontId="3" fillId="0" borderId="30" xfId="1" applyFont="1" applyBorder="1" applyAlignment="1">
      <alignment vertical="center"/>
    </xf>
    <xf numFmtId="43" fontId="3" fillId="0" borderId="31" xfId="1" applyFont="1" applyBorder="1" applyAlignment="1">
      <alignment vertical="center"/>
    </xf>
    <xf numFmtId="43" fontId="3" fillId="0" borderId="32" xfId="1" applyFont="1" applyBorder="1" applyAlignment="1">
      <alignment vertical="center"/>
    </xf>
    <xf numFmtId="43" fontId="3" fillId="0" borderId="33" xfId="1" applyFont="1" applyBorder="1" applyAlignment="1">
      <alignment vertical="center"/>
    </xf>
    <xf numFmtId="43" fontId="3" fillId="0" borderId="34" xfId="1" applyFont="1" applyBorder="1" applyAlignment="1">
      <alignment vertical="center"/>
    </xf>
    <xf numFmtId="43" fontId="3" fillId="0" borderId="29" xfId="1" applyFont="1" applyBorder="1" applyAlignment="1">
      <alignment vertical="center"/>
    </xf>
    <xf numFmtId="43" fontId="3" fillId="0" borderId="35" xfId="1" applyFont="1" applyBorder="1" applyAlignment="1">
      <alignment vertical="center"/>
    </xf>
    <xf numFmtId="0" fontId="3" fillId="0" borderId="6" xfId="0" applyFont="1" applyBorder="1" applyAlignment="1">
      <alignment vertical="center" shrinkToFit="1"/>
    </xf>
    <xf numFmtId="43" fontId="9" fillId="0" borderId="36" xfId="1" applyFont="1" applyBorder="1" applyAlignment="1">
      <alignment vertical="center"/>
    </xf>
    <xf numFmtId="43" fontId="9" fillId="0" borderId="37" xfId="1" applyFont="1" applyBorder="1" applyAlignment="1">
      <alignment vertical="center"/>
    </xf>
    <xf numFmtId="164" fontId="0" fillId="0" borderId="0" xfId="0" applyNumberFormat="1" applyAlignment="1">
      <alignment vertical="center"/>
    </xf>
    <xf numFmtId="43" fontId="9" fillId="0" borderId="19" xfId="1" applyFont="1" applyBorder="1" applyAlignment="1">
      <alignment vertical="center"/>
    </xf>
    <xf numFmtId="43" fontId="9" fillId="0" borderId="20" xfId="1" applyFont="1" applyBorder="1" applyAlignment="1">
      <alignment vertical="center"/>
    </xf>
    <xf numFmtId="43" fontId="9" fillId="0" borderId="38" xfId="1" applyFont="1" applyBorder="1" applyAlignment="1">
      <alignment vertical="center"/>
    </xf>
    <xf numFmtId="43" fontId="9" fillId="0" borderId="39" xfId="1" applyFont="1" applyBorder="1" applyAlignment="1">
      <alignment vertical="center"/>
    </xf>
    <xf numFmtId="43" fontId="9" fillId="0" borderId="40" xfId="1" applyFont="1" applyBorder="1" applyAlignment="1">
      <alignment vertical="center"/>
    </xf>
    <xf numFmtId="43" fontId="9" fillId="0" borderId="41" xfId="1" applyFont="1" applyBorder="1" applyAlignment="1">
      <alignment vertical="center"/>
    </xf>
    <xf numFmtId="43" fontId="9" fillId="0" borderId="41" xfId="0" applyNumberFormat="1" applyFont="1" applyBorder="1" applyAlignment="1">
      <alignment vertical="center"/>
    </xf>
    <xf numFmtId="43" fontId="9" fillId="0" borderId="42" xfId="1" applyFont="1" applyBorder="1" applyAlignment="1">
      <alignment vertical="center"/>
    </xf>
    <xf numFmtId="0" fontId="3" fillId="2" borderId="43" xfId="0" applyFont="1" applyFill="1" applyBorder="1" applyAlignment="1">
      <alignment vertical="center"/>
    </xf>
    <xf numFmtId="0" fontId="3" fillId="2" borderId="4" xfId="0" applyFont="1" applyFill="1" applyBorder="1" applyAlignment="1">
      <alignment vertical="center"/>
    </xf>
    <xf numFmtId="43" fontId="3" fillId="2" borderId="15" xfId="1" applyFont="1" applyFill="1" applyBorder="1" applyAlignment="1">
      <alignment vertical="center"/>
    </xf>
    <xf numFmtId="43" fontId="3" fillId="2" borderId="19" xfId="1" applyFont="1" applyFill="1" applyBorder="1" applyAlignment="1">
      <alignment vertical="center"/>
    </xf>
    <xf numFmtId="43" fontId="3" fillId="2" borderId="16" xfId="1" applyFont="1" applyFill="1" applyBorder="1" applyAlignment="1">
      <alignment vertical="center"/>
    </xf>
    <xf numFmtId="43" fontId="3" fillId="2" borderId="30" xfId="1" applyFont="1" applyFill="1" applyBorder="1" applyAlignment="1">
      <alignment vertical="center"/>
    </xf>
    <xf numFmtId="43" fontId="3" fillId="2" borderId="33" xfId="1" applyFont="1" applyFill="1" applyBorder="1" applyAlignment="1">
      <alignment vertical="center"/>
    </xf>
    <xf numFmtId="43" fontId="3" fillId="2" borderId="31" xfId="1" applyFont="1" applyFill="1" applyBorder="1" applyAlignment="1">
      <alignment vertical="center"/>
    </xf>
    <xf numFmtId="43" fontId="9" fillId="2" borderId="38" xfId="1" applyFont="1" applyFill="1" applyBorder="1" applyAlignment="1">
      <alignment vertical="center"/>
    </xf>
    <xf numFmtId="43" fontId="9" fillId="2" borderId="39" xfId="1" applyFont="1" applyFill="1" applyBorder="1" applyAlignment="1">
      <alignment vertical="center"/>
    </xf>
    <xf numFmtId="43" fontId="9" fillId="2" borderId="44" xfId="1" applyFont="1" applyFill="1" applyBorder="1" applyAlignment="1">
      <alignment vertical="center"/>
    </xf>
    <xf numFmtId="43" fontId="9" fillId="2" borderId="36" xfId="1" applyFont="1" applyFill="1" applyBorder="1" applyAlignment="1">
      <alignment vertical="center"/>
    </xf>
    <xf numFmtId="43" fontId="9" fillId="2" borderId="45" xfId="1" applyFont="1" applyFill="1" applyBorder="1" applyAlignment="1">
      <alignment vertical="center"/>
    </xf>
    <xf numFmtId="43" fontId="9" fillId="2" borderId="46" xfId="1" applyFont="1" applyFill="1" applyBorder="1" applyAlignment="1">
      <alignment vertical="center"/>
    </xf>
    <xf numFmtId="0" fontId="17" fillId="0" borderId="0" xfId="0" applyFont="1" applyAlignment="1">
      <alignment vertical="center" textRotation="180"/>
    </xf>
    <xf numFmtId="0" fontId="3" fillId="0" borderId="0" xfId="2"/>
    <xf numFmtId="0" fontId="12" fillId="0" borderId="0" xfId="2" applyFont="1" applyAlignment="1">
      <alignment vertical="top" wrapText="1"/>
    </xf>
    <xf numFmtId="0" fontId="18" fillId="0" borderId="0" xfId="2" applyFont="1" applyAlignment="1">
      <alignment horizontal="right" vertical="center" wrapText="1"/>
    </xf>
    <xf numFmtId="0" fontId="12" fillId="0" borderId="0" xfId="2" applyFont="1" applyAlignment="1">
      <alignment horizontal="right" vertical="center" wrapText="1"/>
    </xf>
    <xf numFmtId="0" fontId="12" fillId="0" borderId="0" xfId="2" applyFont="1" applyAlignment="1">
      <alignment horizontal="right" vertical="top" wrapText="1"/>
    </xf>
    <xf numFmtId="0" fontId="9" fillId="0" borderId="0" xfId="2" applyFont="1" applyAlignment="1">
      <alignment horizontal="center"/>
    </xf>
    <xf numFmtId="0" fontId="3" fillId="0" borderId="0" xfId="2" applyAlignment="1">
      <alignment horizontal="center"/>
    </xf>
    <xf numFmtId="0" fontId="10" fillId="0" borderId="0" xfId="2" applyFont="1"/>
    <xf numFmtId="0" fontId="7" fillId="0" borderId="0" xfId="2" applyFont="1"/>
    <xf numFmtId="0" fontId="3" fillId="0" borderId="2" xfId="2" applyBorder="1"/>
    <xf numFmtId="0" fontId="2" fillId="0" borderId="0" xfId="2" applyFont="1"/>
    <xf numFmtId="0" fontId="3" fillId="0" borderId="3" xfId="2" applyBorder="1"/>
    <xf numFmtId="0" fontId="3" fillId="0" borderId="43" xfId="2" applyBorder="1"/>
    <xf numFmtId="0" fontId="3" fillId="0" borderId="4" xfId="2" applyBorder="1"/>
    <xf numFmtId="0" fontId="3" fillId="0" borderId="47" xfId="2" applyBorder="1"/>
    <xf numFmtId="0" fontId="3" fillId="0" borderId="5" xfId="2" applyBorder="1"/>
    <xf numFmtId="0" fontId="3" fillId="0" borderId="6" xfId="2" applyBorder="1"/>
    <xf numFmtId="0" fontId="3" fillId="0" borderId="15" xfId="2" applyBorder="1"/>
    <xf numFmtId="0" fontId="3" fillId="0" borderId="16" xfId="2" applyBorder="1"/>
    <xf numFmtId="0" fontId="3" fillId="0" borderId="14" xfId="2" applyBorder="1"/>
    <xf numFmtId="0" fontId="3" fillId="0" borderId="17" xfId="2" applyBorder="1"/>
    <xf numFmtId="0" fontId="3" fillId="0" borderId="7" xfId="2" applyBorder="1"/>
    <xf numFmtId="0" fontId="3" fillId="0" borderId="38" xfId="2" applyBorder="1"/>
    <xf numFmtId="0" fontId="3" fillId="0" borderId="39" xfId="2" applyBorder="1"/>
    <xf numFmtId="0" fontId="3" fillId="0" borderId="42" xfId="2" applyBorder="1"/>
    <xf numFmtId="0" fontId="3" fillId="0" borderId="48" xfId="2" applyBorder="1"/>
    <xf numFmtId="0" fontId="1" fillId="0" borderId="1" xfId="2" applyFont="1" applyBorder="1" applyAlignment="1">
      <alignment horizontal="center" vertical="top"/>
    </xf>
    <xf numFmtId="0" fontId="1" fillId="0" borderId="49" xfId="2" applyFont="1" applyBorder="1" applyAlignment="1">
      <alignment horizontal="center" vertical="top"/>
    </xf>
    <xf numFmtId="0" fontId="3" fillId="0" borderId="0" xfId="2" applyAlignment="1">
      <alignment vertical="top"/>
    </xf>
    <xf numFmtId="0" fontId="3" fillId="0" borderId="8" xfId="2" applyBorder="1"/>
    <xf numFmtId="0" fontId="7" fillId="0" borderId="9" xfId="2" applyFont="1" applyBorder="1"/>
    <xf numFmtId="0" fontId="3" fillId="0" borderId="9" xfId="2" applyBorder="1"/>
    <xf numFmtId="0" fontId="7" fillId="0" borderId="50" xfId="2" applyFont="1" applyBorder="1"/>
    <xf numFmtId="0" fontId="3" fillId="0" borderId="50" xfId="2" applyBorder="1"/>
    <xf numFmtId="0" fontId="7" fillId="0" borderId="51" xfId="2" applyFont="1" applyBorder="1" applyAlignment="1">
      <alignment horizontal="center"/>
    </xf>
    <xf numFmtId="0" fontId="3" fillId="0" borderId="10" xfId="2" applyBorder="1"/>
    <xf numFmtId="0" fontId="7" fillId="0" borderId="2" xfId="2" applyFont="1" applyBorder="1"/>
    <xf numFmtId="0" fontId="7" fillId="0" borderId="11" xfId="2" applyFont="1" applyBorder="1"/>
    <xf numFmtId="0" fontId="3" fillId="0" borderId="11" xfId="2" applyBorder="1"/>
    <xf numFmtId="0" fontId="1" fillId="0" borderId="1" xfId="2" applyFont="1" applyBorder="1" applyAlignment="1">
      <alignment horizontal="center" vertical="center"/>
    </xf>
    <xf numFmtId="0" fontId="3" fillId="0" borderId="12" xfId="2" applyBorder="1"/>
    <xf numFmtId="0" fontId="7" fillId="0" borderId="8" xfId="2" applyFont="1" applyBorder="1"/>
    <xf numFmtId="0" fontId="7" fillId="0" borderId="0" xfId="2" applyFont="1" applyAlignment="1">
      <alignment vertical="top" wrapText="1"/>
    </xf>
    <xf numFmtId="0" fontId="4" fillId="0" borderId="0" xfId="2" applyFont="1" applyAlignment="1">
      <alignment horizontal="right" textRotation="180"/>
    </xf>
    <xf numFmtId="0" fontId="7" fillId="0" borderId="10" xfId="2" applyFont="1" applyBorder="1"/>
    <xf numFmtId="0" fontId="7" fillId="0" borderId="2" xfId="2" applyFont="1" applyBorder="1" applyAlignment="1">
      <alignment vertical="top" wrapText="1"/>
    </xf>
    <xf numFmtId="0" fontId="11" fillId="0" borderId="0" xfId="2" applyFont="1"/>
    <xf numFmtId="0" fontId="5" fillId="0" borderId="0" xfId="2" applyFont="1"/>
    <xf numFmtId="0" fontId="28" fillId="0" borderId="9" xfId="0" applyFont="1" applyBorder="1" applyAlignment="1">
      <alignment vertical="center"/>
    </xf>
    <xf numFmtId="0" fontId="3" fillId="0" borderId="52" xfId="0" applyFont="1" applyBorder="1" applyAlignment="1">
      <alignment vertical="center"/>
    </xf>
    <xf numFmtId="0" fontId="7" fillId="0" borderId="8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43" fontId="9" fillId="0" borderId="31" xfId="1" applyFont="1" applyBorder="1" applyAlignment="1">
      <alignment vertical="center"/>
    </xf>
    <xf numFmtId="43" fontId="9" fillId="0" borderId="34" xfId="1" applyFont="1" applyBorder="1" applyAlignment="1">
      <alignment vertical="center"/>
    </xf>
    <xf numFmtId="43" fontId="9" fillId="0" borderId="29" xfId="1" applyFont="1" applyBorder="1" applyAlignment="1">
      <alignment vertical="center"/>
    </xf>
    <xf numFmtId="43" fontId="9" fillId="0" borderId="33" xfId="1" applyFont="1" applyBorder="1" applyAlignment="1">
      <alignment vertical="center"/>
    </xf>
    <xf numFmtId="43" fontId="9" fillId="0" borderId="35" xfId="1" applyFont="1" applyBorder="1" applyAlignment="1">
      <alignment vertical="center"/>
    </xf>
    <xf numFmtId="43" fontId="9" fillId="0" borderId="30" xfId="1" applyFont="1" applyBorder="1" applyAlignment="1">
      <alignment vertical="center"/>
    </xf>
    <xf numFmtId="0" fontId="10" fillId="0" borderId="52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28" fillId="0" borderId="0" xfId="0" applyFont="1" applyAlignment="1">
      <alignment vertical="center"/>
    </xf>
    <xf numFmtId="0" fontId="7" fillId="0" borderId="8" xfId="0" applyFont="1" applyBorder="1" applyAlignment="1">
      <alignment horizontal="center" vertical="center" wrapText="1"/>
    </xf>
    <xf numFmtId="0" fontId="7" fillId="0" borderId="10" xfId="0" applyFont="1" applyBorder="1" applyAlignment="1">
      <alignment horizontal="center" vertical="center" wrapText="1"/>
    </xf>
    <xf numFmtId="0" fontId="3" fillId="0" borderId="53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7" fillId="0" borderId="9" xfId="0" applyFont="1" applyBorder="1" applyAlignment="1">
      <alignment horizontal="center" vertical="center" wrapText="1"/>
    </xf>
    <xf numFmtId="0" fontId="1" fillId="0" borderId="53" xfId="0" applyFont="1" applyBorder="1" applyAlignment="1">
      <alignment horizontal="center" vertical="center"/>
    </xf>
    <xf numFmtId="0" fontId="0" fillId="0" borderId="52" xfId="0" applyBorder="1" applyAlignment="1">
      <alignment vertical="center"/>
    </xf>
    <xf numFmtId="0" fontId="7" fillId="0" borderId="11" xfId="0" applyFont="1" applyBorder="1" applyAlignment="1">
      <alignment horizontal="center" vertical="center" wrapText="1"/>
    </xf>
    <xf numFmtId="0" fontId="9" fillId="0" borderId="0" xfId="0" applyFont="1" applyAlignment="1">
      <alignment vertical="center"/>
    </xf>
    <xf numFmtId="0" fontId="9" fillId="0" borderId="54" xfId="0" applyFont="1" applyBorder="1" applyAlignment="1">
      <alignment horizontal="left" vertical="center" indent="3"/>
    </xf>
    <xf numFmtId="0" fontId="3" fillId="0" borderId="51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 wrapText="1"/>
    </xf>
    <xf numFmtId="0" fontId="3" fillId="2" borderId="26" xfId="0" applyFont="1" applyFill="1" applyBorder="1" applyAlignment="1">
      <alignment vertical="center"/>
    </xf>
    <xf numFmtId="0" fontId="3" fillId="2" borderId="25" xfId="0" applyFont="1" applyFill="1" applyBorder="1" applyAlignment="1">
      <alignment vertical="center"/>
    </xf>
    <xf numFmtId="0" fontId="3" fillId="2" borderId="27" xfId="0" applyFont="1" applyFill="1" applyBorder="1" applyAlignment="1">
      <alignment vertical="center"/>
    </xf>
    <xf numFmtId="0" fontId="3" fillId="0" borderId="55" xfId="0" applyFont="1" applyBorder="1" applyAlignment="1">
      <alignment vertical="center"/>
    </xf>
    <xf numFmtId="0" fontId="3" fillId="0" borderId="56" xfId="0" applyFont="1" applyBorder="1" applyAlignment="1">
      <alignment vertical="center"/>
    </xf>
    <xf numFmtId="0" fontId="9" fillId="0" borderId="0" xfId="0" applyFont="1" applyAlignment="1">
      <alignment horizontal="center" vertical="center"/>
    </xf>
    <xf numFmtId="43" fontId="3" fillId="0" borderId="6" xfId="1" applyFont="1" applyBorder="1" applyAlignment="1">
      <alignment vertical="center" shrinkToFit="1"/>
    </xf>
    <xf numFmtId="0" fontId="0" fillId="0" borderId="10" xfId="0" applyBorder="1" applyAlignment="1">
      <alignment vertical="center"/>
    </xf>
    <xf numFmtId="0" fontId="0" fillId="0" borderId="7" xfId="0" applyBorder="1" applyAlignment="1">
      <alignment vertical="center"/>
    </xf>
    <xf numFmtId="0" fontId="3" fillId="0" borderId="24" xfId="0" applyFont="1" applyBorder="1" applyAlignment="1">
      <alignment vertical="center" shrinkToFit="1"/>
    </xf>
    <xf numFmtId="0" fontId="0" fillId="0" borderId="53" xfId="0" applyBorder="1" applyAlignment="1">
      <alignment vertical="center"/>
    </xf>
    <xf numFmtId="0" fontId="3" fillId="3" borderId="6" xfId="0" applyFont="1" applyFill="1" applyBorder="1" applyAlignment="1">
      <alignment vertical="center" shrinkToFit="1"/>
    </xf>
    <xf numFmtId="0" fontId="3" fillId="3" borderId="24" xfId="0" applyFont="1" applyFill="1" applyBorder="1" applyAlignment="1">
      <alignment vertical="center" shrinkToFit="1"/>
    </xf>
    <xf numFmtId="0" fontId="3" fillId="3" borderId="29" xfId="0" applyFont="1" applyFill="1" applyBorder="1" applyAlignment="1">
      <alignment vertical="center" shrinkToFit="1"/>
    </xf>
    <xf numFmtId="0" fontId="3" fillId="0" borderId="23" xfId="0" applyFont="1" applyBorder="1" applyAlignment="1">
      <alignment horizontal="center" vertical="center"/>
    </xf>
    <xf numFmtId="43" fontId="3" fillId="0" borderId="6" xfId="1" applyFont="1" applyBorder="1" applyAlignment="1">
      <alignment horizontal="center" vertical="center" shrinkToFit="1"/>
    </xf>
    <xf numFmtId="43" fontId="3" fillId="0" borderId="29" xfId="1" applyFont="1" applyBorder="1" applyAlignment="1">
      <alignment horizontal="center" vertical="center" shrinkToFit="1"/>
    </xf>
    <xf numFmtId="0" fontId="3" fillId="0" borderId="15" xfId="0" applyFont="1" applyBorder="1" applyAlignment="1">
      <alignment horizontal="center" vertical="center"/>
    </xf>
    <xf numFmtId="0" fontId="3" fillId="0" borderId="43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17" xfId="0" applyFont="1" applyBorder="1" applyAlignment="1">
      <alignment horizontal="left" vertical="center" shrinkToFit="1"/>
    </xf>
    <xf numFmtId="0" fontId="3" fillId="0" borderId="57" xfId="0" applyFont="1" applyBorder="1" applyAlignment="1">
      <alignment horizontal="center" vertical="center"/>
    </xf>
    <xf numFmtId="0" fontId="3" fillId="0" borderId="58" xfId="0" applyFont="1" applyBorder="1" applyAlignment="1">
      <alignment horizontal="center" vertical="center"/>
    </xf>
    <xf numFmtId="43" fontId="3" fillId="0" borderId="13" xfId="1" applyFont="1" applyBorder="1" applyAlignment="1">
      <alignment horizontal="center" vertical="center" shrinkToFit="1"/>
    </xf>
    <xf numFmtId="43" fontId="0" fillId="0" borderId="59" xfId="1" applyFont="1" applyBorder="1" applyAlignment="1">
      <alignment horizontal="center" vertical="center"/>
    </xf>
    <xf numFmtId="43" fontId="0" fillId="0" borderId="20" xfId="1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left" vertical="center" shrinkToFit="1"/>
    </xf>
    <xf numFmtId="43" fontId="3" fillId="0" borderId="60" xfId="1" applyFont="1" applyBorder="1" applyAlignment="1">
      <alignment horizontal="center" vertical="center" shrinkToFit="1"/>
    </xf>
    <xf numFmtId="43" fontId="0" fillId="0" borderId="35" xfId="1" applyFont="1" applyBorder="1" applyAlignment="1">
      <alignment horizontal="center" vertical="center"/>
    </xf>
    <xf numFmtId="0" fontId="9" fillId="0" borderId="38" xfId="0" applyFont="1" applyBorder="1" applyAlignment="1">
      <alignment horizontal="center" vertical="center"/>
    </xf>
    <xf numFmtId="0" fontId="9" fillId="0" borderId="61" xfId="0" applyFon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43" fontId="0" fillId="0" borderId="0" xfId="0" applyNumberFormat="1" applyAlignment="1">
      <alignment horizontal="center" vertical="center"/>
    </xf>
    <xf numFmtId="43" fontId="9" fillId="0" borderId="41" xfId="1" applyFont="1" applyBorder="1" applyAlignment="1">
      <alignment horizontal="center" vertical="center"/>
    </xf>
    <xf numFmtId="43" fontId="9" fillId="0" borderId="62" xfId="1" applyFont="1" applyBorder="1" applyAlignment="1">
      <alignment horizontal="center" vertical="center"/>
    </xf>
    <xf numFmtId="43" fontId="9" fillId="0" borderId="37" xfId="1" applyFont="1" applyBorder="1" applyAlignment="1">
      <alignment horizontal="center" vertical="center"/>
    </xf>
    <xf numFmtId="0" fontId="3" fillId="0" borderId="59" xfId="0" applyFont="1" applyBorder="1" applyAlignment="1">
      <alignment vertical="center"/>
    </xf>
    <xf numFmtId="43" fontId="3" fillId="0" borderId="20" xfId="1" applyFont="1" applyFill="1" applyBorder="1" applyAlignment="1">
      <alignment vertical="center"/>
    </xf>
    <xf numFmtId="43" fontId="3" fillId="0" borderId="35" xfId="1" applyFont="1" applyFill="1" applyBorder="1" applyAlignment="1">
      <alignment vertical="center"/>
    </xf>
    <xf numFmtId="43" fontId="9" fillId="0" borderId="63" xfId="1" applyFont="1" applyFill="1" applyBorder="1" applyAlignment="1">
      <alignment vertical="center"/>
    </xf>
    <xf numFmtId="0" fontId="9" fillId="0" borderId="8" xfId="0" applyFont="1" applyBorder="1" applyAlignment="1">
      <alignment horizontal="left" vertical="center" indent="3"/>
    </xf>
    <xf numFmtId="0" fontId="3" fillId="0" borderId="64" xfId="0" applyFont="1" applyBorder="1" applyAlignment="1">
      <alignment vertical="center"/>
    </xf>
    <xf numFmtId="43" fontId="3" fillId="0" borderId="17" xfId="1" applyFont="1" applyFill="1" applyBorder="1" applyAlignment="1">
      <alignment vertical="center"/>
    </xf>
    <xf numFmtId="43" fontId="9" fillId="0" borderId="61" xfId="1" applyFont="1" applyFill="1" applyBorder="1" applyAlignment="1">
      <alignment vertical="center"/>
    </xf>
    <xf numFmtId="43" fontId="9" fillId="0" borderId="28" xfId="1" applyFont="1" applyBorder="1" applyAlignment="1">
      <alignment vertical="center"/>
    </xf>
    <xf numFmtId="43" fontId="9" fillId="0" borderId="15" xfId="1" applyFont="1" applyBorder="1" applyAlignment="1">
      <alignment vertical="center"/>
    </xf>
    <xf numFmtId="43" fontId="9" fillId="0" borderId="14" xfId="1" applyFont="1" applyBorder="1" applyAlignment="1">
      <alignment vertical="center"/>
    </xf>
    <xf numFmtId="0" fontId="3" fillId="0" borderId="24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3" borderId="58" xfId="0" applyFont="1" applyFill="1" applyBorder="1" applyAlignment="1">
      <alignment horizontal="center" vertical="center"/>
    </xf>
    <xf numFmtId="43" fontId="3" fillId="3" borderId="13" xfId="1" applyFont="1" applyFill="1" applyBorder="1" applyAlignment="1">
      <alignment horizontal="center" vertical="center" shrinkToFit="1"/>
    </xf>
    <xf numFmtId="43" fontId="3" fillId="3" borderId="6" xfId="1" applyFont="1" applyFill="1" applyBorder="1" applyAlignment="1">
      <alignment horizontal="center" vertical="center" shrinkToFit="1"/>
    </xf>
    <xf numFmtId="43" fontId="3" fillId="3" borderId="60" xfId="1" applyFont="1" applyFill="1" applyBorder="1" applyAlignment="1">
      <alignment horizontal="center" vertical="center" shrinkToFit="1"/>
    </xf>
    <xf numFmtId="43" fontId="9" fillId="3" borderId="62" xfId="1" applyFont="1" applyFill="1" applyBorder="1" applyAlignment="1">
      <alignment horizontal="center" vertical="center"/>
    </xf>
    <xf numFmtId="0" fontId="3" fillId="4" borderId="57" xfId="0" applyFont="1" applyFill="1" applyBorder="1" applyAlignment="1">
      <alignment horizontal="center" vertical="center"/>
    </xf>
    <xf numFmtId="43" fontId="3" fillId="4" borderId="6" xfId="1" applyFont="1" applyFill="1" applyBorder="1" applyAlignment="1">
      <alignment horizontal="center" vertical="center" shrinkToFit="1"/>
    </xf>
    <xf numFmtId="43" fontId="3" fillId="4" borderId="29" xfId="1" applyFont="1" applyFill="1" applyBorder="1" applyAlignment="1">
      <alignment horizontal="center" vertical="center" shrinkToFit="1"/>
    </xf>
    <xf numFmtId="43" fontId="9" fillId="4" borderId="41" xfId="1" applyFont="1" applyFill="1" applyBorder="1" applyAlignment="1">
      <alignment horizontal="center" vertical="center"/>
    </xf>
    <xf numFmtId="0" fontId="9" fillId="5" borderId="46" xfId="0" applyFont="1" applyFill="1" applyBorder="1" applyAlignment="1">
      <alignment horizontal="center" vertical="center" shrinkToFit="1"/>
    </xf>
    <xf numFmtId="0" fontId="9" fillId="5" borderId="39" xfId="0" applyFont="1" applyFill="1" applyBorder="1" applyAlignment="1">
      <alignment horizontal="center" vertical="center" shrinkToFit="1"/>
    </xf>
    <xf numFmtId="0" fontId="9" fillId="5" borderId="61" xfId="0" applyFont="1" applyFill="1" applyBorder="1" applyAlignment="1">
      <alignment horizontal="center" vertical="center" shrinkToFit="1"/>
    </xf>
    <xf numFmtId="43" fontId="27" fillId="5" borderId="18" xfId="1" applyFont="1" applyFill="1" applyBorder="1" applyAlignment="1">
      <alignment horizontal="center" vertical="center"/>
    </xf>
    <xf numFmtId="43" fontId="27" fillId="5" borderId="4" xfId="1" applyFont="1" applyFill="1" applyBorder="1" applyAlignment="1">
      <alignment horizontal="center" vertical="center"/>
    </xf>
    <xf numFmtId="43" fontId="27" fillId="5" borderId="5" xfId="1" applyFont="1" applyFill="1" applyBorder="1" applyAlignment="1">
      <alignment horizontal="center" vertical="center"/>
    </xf>
    <xf numFmtId="43" fontId="27" fillId="5" borderId="19" xfId="1" applyFont="1" applyFill="1" applyBorder="1" applyAlignment="1">
      <alignment horizontal="center" vertical="center"/>
    </xf>
    <xf numFmtId="43" fontId="27" fillId="5" borderId="16" xfId="1" applyFont="1" applyFill="1" applyBorder="1" applyAlignment="1">
      <alignment horizontal="center" vertical="center"/>
    </xf>
    <xf numFmtId="43" fontId="27" fillId="5" borderId="17" xfId="1" applyFont="1" applyFill="1" applyBorder="1" applyAlignment="1">
      <alignment horizontal="center" vertical="center"/>
    </xf>
    <xf numFmtId="43" fontId="27" fillId="5" borderId="33" xfId="1" applyFont="1" applyFill="1" applyBorder="1" applyAlignment="1">
      <alignment horizontal="center" vertical="center"/>
    </xf>
    <xf numFmtId="43" fontId="27" fillId="5" borderId="31" xfId="1" applyFont="1" applyFill="1" applyBorder="1" applyAlignment="1">
      <alignment horizontal="center" vertical="center"/>
    </xf>
    <xf numFmtId="43" fontId="27" fillId="5" borderId="34" xfId="1" applyFont="1" applyFill="1" applyBorder="1" applyAlignment="1">
      <alignment horizontal="center" vertical="center"/>
    </xf>
    <xf numFmtId="43" fontId="9" fillId="5" borderId="45" xfId="1" applyFont="1" applyFill="1" applyBorder="1" applyAlignment="1">
      <alignment horizontal="center" vertical="center"/>
    </xf>
    <xf numFmtId="43" fontId="9" fillId="5" borderId="44" xfId="1" applyFont="1" applyFill="1" applyBorder="1" applyAlignment="1">
      <alignment horizontal="center" vertical="center"/>
    </xf>
    <xf numFmtId="43" fontId="9" fillId="5" borderId="48" xfId="1" applyFont="1" applyFill="1" applyBorder="1" applyAlignment="1">
      <alignment horizontal="center" vertical="center"/>
    </xf>
    <xf numFmtId="0" fontId="9" fillId="5" borderId="38" xfId="0" applyFont="1" applyFill="1" applyBorder="1" applyAlignment="1">
      <alignment horizontal="center" vertical="center" shrinkToFit="1"/>
    </xf>
    <xf numFmtId="0" fontId="9" fillId="5" borderId="42" xfId="0" applyFont="1" applyFill="1" applyBorder="1" applyAlignment="1">
      <alignment horizontal="center" vertical="center" shrinkToFit="1"/>
    </xf>
    <xf numFmtId="43" fontId="27" fillId="5" borderId="43" xfId="1" applyFont="1" applyFill="1" applyBorder="1" applyAlignment="1">
      <alignment horizontal="center" vertical="center"/>
    </xf>
    <xf numFmtId="43" fontId="27" fillId="5" borderId="47" xfId="1" applyFont="1" applyFill="1" applyBorder="1" applyAlignment="1">
      <alignment horizontal="center" vertical="center"/>
    </xf>
    <xf numFmtId="43" fontId="27" fillId="5" borderId="15" xfId="1" applyFont="1" applyFill="1" applyBorder="1" applyAlignment="1">
      <alignment horizontal="center" vertical="center"/>
    </xf>
    <xf numFmtId="43" fontId="27" fillId="5" borderId="14" xfId="1" applyFont="1" applyFill="1" applyBorder="1" applyAlignment="1">
      <alignment horizontal="center" vertical="center"/>
    </xf>
    <xf numFmtId="43" fontId="27" fillId="5" borderId="13" xfId="1" applyFont="1" applyFill="1" applyBorder="1" applyAlignment="1">
      <alignment horizontal="center" vertical="center"/>
    </xf>
    <xf numFmtId="43" fontId="27" fillId="5" borderId="30" xfId="1" applyFont="1" applyFill="1" applyBorder="1" applyAlignment="1">
      <alignment horizontal="center" vertical="center"/>
    </xf>
    <xf numFmtId="43" fontId="27" fillId="5" borderId="32" xfId="1" applyFont="1" applyFill="1" applyBorder="1" applyAlignment="1">
      <alignment horizontal="center" vertical="center"/>
    </xf>
    <xf numFmtId="43" fontId="9" fillId="5" borderId="36" xfId="1" applyFont="1" applyFill="1" applyBorder="1" applyAlignment="1">
      <alignment horizontal="center" vertical="center"/>
    </xf>
    <xf numFmtId="43" fontId="9" fillId="5" borderId="40" xfId="1" applyFont="1" applyFill="1" applyBorder="1" applyAlignment="1">
      <alignment horizontal="center" vertical="center"/>
    </xf>
    <xf numFmtId="43" fontId="27" fillId="5" borderId="50" xfId="1" applyFont="1" applyFill="1" applyBorder="1" applyAlignment="1">
      <alignment horizontal="center" vertical="center"/>
    </xf>
    <xf numFmtId="43" fontId="27" fillId="5" borderId="24" xfId="1" applyFont="1" applyFill="1" applyBorder="1" applyAlignment="1">
      <alignment horizontal="center" vertical="center"/>
    </xf>
    <xf numFmtId="43" fontId="27" fillId="5" borderId="51" xfId="1" applyFont="1" applyFill="1" applyBorder="1" applyAlignment="1">
      <alignment horizontal="center" vertical="center"/>
    </xf>
    <xf numFmtId="43" fontId="9" fillId="5" borderId="65" xfId="1" applyFont="1" applyFill="1" applyBorder="1" applyAlignment="1">
      <alignment horizontal="center" vertical="center"/>
    </xf>
    <xf numFmtId="0" fontId="9" fillId="6" borderId="38" xfId="0" applyFont="1" applyFill="1" applyBorder="1" applyAlignment="1">
      <alignment horizontal="center" vertical="center" shrinkToFit="1"/>
    </xf>
    <xf numFmtId="0" fontId="9" fillId="6" borderId="39" xfId="0" applyFont="1" applyFill="1" applyBorder="1" applyAlignment="1">
      <alignment horizontal="center" vertical="center" shrinkToFit="1"/>
    </xf>
    <xf numFmtId="43" fontId="27" fillId="6" borderId="43" xfId="1" applyFont="1" applyFill="1" applyBorder="1" applyAlignment="1">
      <alignment horizontal="center" vertical="center"/>
    </xf>
    <xf numFmtId="43" fontId="27" fillId="6" borderId="4" xfId="1" applyFont="1" applyFill="1" applyBorder="1" applyAlignment="1">
      <alignment horizontal="center" vertical="center"/>
    </xf>
    <xf numFmtId="43" fontId="27" fillId="6" borderId="47" xfId="1" applyFont="1" applyFill="1" applyBorder="1" applyAlignment="1">
      <alignment horizontal="center" vertical="center"/>
    </xf>
    <xf numFmtId="43" fontId="27" fillId="6" borderId="15" xfId="1" applyFont="1" applyFill="1" applyBorder="1" applyAlignment="1">
      <alignment horizontal="center" vertical="center"/>
    </xf>
    <xf numFmtId="43" fontId="27" fillId="6" borderId="16" xfId="1" applyFont="1" applyFill="1" applyBorder="1" applyAlignment="1">
      <alignment horizontal="center" vertical="center"/>
    </xf>
    <xf numFmtId="43" fontId="27" fillId="6" borderId="14" xfId="1" applyFont="1" applyFill="1" applyBorder="1" applyAlignment="1">
      <alignment horizontal="center" vertical="center"/>
    </xf>
    <xf numFmtId="43" fontId="27" fillId="6" borderId="30" xfId="1" applyFont="1" applyFill="1" applyBorder="1" applyAlignment="1">
      <alignment horizontal="center" vertical="center"/>
    </xf>
    <xf numFmtId="43" fontId="27" fillId="6" borderId="31" xfId="1" applyFont="1" applyFill="1" applyBorder="1" applyAlignment="1">
      <alignment horizontal="center" vertical="center"/>
    </xf>
    <xf numFmtId="43" fontId="27" fillId="6" borderId="32" xfId="1" applyFont="1" applyFill="1" applyBorder="1" applyAlignment="1">
      <alignment horizontal="center" vertical="center"/>
    </xf>
    <xf numFmtId="43" fontId="9" fillId="6" borderId="36" xfId="1" applyFont="1" applyFill="1" applyBorder="1" applyAlignment="1">
      <alignment horizontal="center" vertical="center"/>
    </xf>
    <xf numFmtId="43" fontId="9" fillId="6" borderId="44" xfId="1" applyFont="1" applyFill="1" applyBorder="1" applyAlignment="1">
      <alignment horizontal="center" vertical="center"/>
    </xf>
    <xf numFmtId="43" fontId="9" fillId="6" borderId="40" xfId="1" applyFont="1" applyFill="1" applyBorder="1" applyAlignment="1">
      <alignment horizontal="center" vertical="center"/>
    </xf>
    <xf numFmtId="0" fontId="9" fillId="7" borderId="46" xfId="0" applyFont="1" applyFill="1" applyBorder="1" applyAlignment="1">
      <alignment horizontal="center" vertical="center" shrinkToFit="1"/>
    </xf>
    <xf numFmtId="0" fontId="9" fillId="7" borderId="39" xfId="0" applyFont="1" applyFill="1" applyBorder="1" applyAlignment="1">
      <alignment horizontal="center" vertical="center" shrinkToFit="1"/>
    </xf>
    <xf numFmtId="43" fontId="27" fillId="7" borderId="18" xfId="1" applyFont="1" applyFill="1" applyBorder="1" applyAlignment="1">
      <alignment horizontal="center" vertical="center"/>
    </xf>
    <xf numFmtId="43" fontId="27" fillId="7" borderId="4" xfId="1" applyFont="1" applyFill="1" applyBorder="1" applyAlignment="1">
      <alignment horizontal="center" vertical="center"/>
    </xf>
    <xf numFmtId="43" fontId="27" fillId="7" borderId="5" xfId="1" applyFont="1" applyFill="1" applyBorder="1" applyAlignment="1">
      <alignment horizontal="center" vertical="center"/>
    </xf>
    <xf numFmtId="43" fontId="27" fillId="7" borderId="19" xfId="1" applyFont="1" applyFill="1" applyBorder="1" applyAlignment="1">
      <alignment horizontal="center" vertical="center"/>
    </xf>
    <xf numFmtId="43" fontId="27" fillId="7" borderId="16" xfId="1" applyFont="1" applyFill="1" applyBorder="1" applyAlignment="1">
      <alignment horizontal="center" vertical="center"/>
    </xf>
    <xf numFmtId="43" fontId="27" fillId="7" borderId="17" xfId="1" applyFont="1" applyFill="1" applyBorder="1" applyAlignment="1">
      <alignment horizontal="center" vertical="center"/>
    </xf>
    <xf numFmtId="43" fontId="27" fillId="7" borderId="33" xfId="1" applyFont="1" applyFill="1" applyBorder="1" applyAlignment="1">
      <alignment horizontal="center" vertical="center"/>
    </xf>
    <xf numFmtId="43" fontId="27" fillId="7" borderId="31" xfId="1" applyFont="1" applyFill="1" applyBorder="1" applyAlignment="1">
      <alignment horizontal="center" vertical="center"/>
    </xf>
    <xf numFmtId="43" fontId="27" fillId="7" borderId="34" xfId="1" applyFont="1" applyFill="1" applyBorder="1" applyAlignment="1">
      <alignment horizontal="center" vertical="center"/>
    </xf>
    <xf numFmtId="43" fontId="9" fillId="7" borderId="45" xfId="1" applyFont="1" applyFill="1" applyBorder="1" applyAlignment="1">
      <alignment horizontal="center" vertical="center"/>
    </xf>
    <xf numFmtId="43" fontId="9" fillId="7" borderId="44" xfId="1" applyFont="1" applyFill="1" applyBorder="1" applyAlignment="1">
      <alignment horizontal="center" vertical="center"/>
    </xf>
    <xf numFmtId="43" fontId="9" fillId="7" borderId="48" xfId="1" applyFont="1" applyFill="1" applyBorder="1" applyAlignment="1">
      <alignment horizontal="center" vertical="center"/>
    </xf>
    <xf numFmtId="0" fontId="9" fillId="8" borderId="38" xfId="0" applyFont="1" applyFill="1" applyBorder="1" applyAlignment="1">
      <alignment horizontal="center" vertical="center" shrinkToFit="1"/>
    </xf>
    <xf numFmtId="0" fontId="9" fillId="8" borderId="39" xfId="0" applyFont="1" applyFill="1" applyBorder="1" applyAlignment="1">
      <alignment horizontal="center" vertical="center" shrinkToFit="1"/>
    </xf>
    <xf numFmtId="43" fontId="27" fillId="8" borderId="43" xfId="1" applyFont="1" applyFill="1" applyBorder="1" applyAlignment="1">
      <alignment horizontal="center" vertical="center"/>
    </xf>
    <xf numFmtId="43" fontId="27" fillId="8" borderId="4" xfId="1" applyFont="1" applyFill="1" applyBorder="1" applyAlignment="1">
      <alignment horizontal="center" vertical="center"/>
    </xf>
    <xf numFmtId="43" fontId="27" fillId="8" borderId="47" xfId="1" applyFont="1" applyFill="1" applyBorder="1" applyAlignment="1">
      <alignment horizontal="center" vertical="center"/>
    </xf>
    <xf numFmtId="43" fontId="27" fillId="8" borderId="15" xfId="1" applyFont="1" applyFill="1" applyBorder="1" applyAlignment="1">
      <alignment horizontal="center" vertical="center"/>
    </xf>
    <xf numFmtId="43" fontId="27" fillId="8" borderId="19" xfId="1" applyFont="1" applyFill="1" applyBorder="1" applyAlignment="1">
      <alignment horizontal="center" vertical="center"/>
    </xf>
    <xf numFmtId="43" fontId="27" fillId="8" borderId="14" xfId="1" applyFont="1" applyFill="1" applyBorder="1" applyAlignment="1">
      <alignment horizontal="center" vertical="center"/>
    </xf>
    <xf numFmtId="43" fontId="27" fillId="8" borderId="16" xfId="1" applyFont="1" applyFill="1" applyBorder="1" applyAlignment="1">
      <alignment horizontal="center" vertical="center"/>
    </xf>
    <xf numFmtId="43" fontId="27" fillId="8" borderId="30" xfId="1" applyFont="1" applyFill="1" applyBorder="1" applyAlignment="1">
      <alignment horizontal="center" vertical="center"/>
    </xf>
    <xf numFmtId="43" fontId="27" fillId="8" borderId="31" xfId="1" applyFont="1" applyFill="1" applyBorder="1" applyAlignment="1">
      <alignment horizontal="center" vertical="center"/>
    </xf>
    <xf numFmtId="43" fontId="27" fillId="8" borderId="32" xfId="1" applyFont="1" applyFill="1" applyBorder="1" applyAlignment="1">
      <alignment horizontal="center" vertical="center"/>
    </xf>
    <xf numFmtId="43" fontId="9" fillId="8" borderId="36" xfId="1" applyFont="1" applyFill="1" applyBorder="1" applyAlignment="1">
      <alignment horizontal="center" vertical="center"/>
    </xf>
    <xf numFmtId="43" fontId="9" fillId="8" borderId="44" xfId="1" applyFont="1" applyFill="1" applyBorder="1" applyAlignment="1">
      <alignment horizontal="center" vertical="center"/>
    </xf>
    <xf numFmtId="43" fontId="9" fillId="8" borderId="40" xfId="1" applyFont="1" applyFill="1" applyBorder="1" applyAlignment="1">
      <alignment horizontal="center" vertical="center"/>
    </xf>
    <xf numFmtId="0" fontId="3" fillId="3" borderId="51" xfId="0" applyFont="1" applyFill="1" applyBorder="1" applyAlignment="1">
      <alignment vertical="center" shrinkToFit="1"/>
    </xf>
    <xf numFmtId="0" fontId="3" fillId="0" borderId="6" xfId="0" applyFont="1" applyBorder="1" applyAlignment="1">
      <alignment horizontal="center" vertical="center" shrinkToFit="1"/>
    </xf>
    <xf numFmtId="0" fontId="0" fillId="0" borderId="53" xfId="0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 shrinkToFit="1"/>
    </xf>
    <xf numFmtId="0" fontId="3" fillId="3" borderId="29" xfId="0" applyFont="1" applyFill="1" applyBorder="1" applyAlignment="1">
      <alignment horizontal="center" vertical="center" shrinkToFit="1"/>
    </xf>
    <xf numFmtId="43" fontId="3" fillId="3" borderId="6" xfId="1" applyFont="1" applyFill="1" applyBorder="1" applyAlignment="1">
      <alignment vertical="center" shrinkToFit="1"/>
    </xf>
    <xf numFmtId="43" fontId="3" fillId="3" borderId="29" xfId="1" applyFont="1" applyFill="1" applyBorder="1" applyAlignment="1">
      <alignment vertical="center" shrinkToFit="1"/>
    </xf>
    <xf numFmtId="0" fontId="9" fillId="0" borderId="41" xfId="0" applyFont="1" applyBorder="1" applyAlignment="1">
      <alignment horizontal="center" vertical="center"/>
    </xf>
    <xf numFmtId="0" fontId="3" fillId="3" borderId="6" xfId="1" applyNumberFormat="1" applyFont="1" applyFill="1" applyBorder="1" applyAlignment="1">
      <alignment horizontal="center" vertical="center" shrinkToFit="1"/>
    </xf>
    <xf numFmtId="0" fontId="3" fillId="3" borderId="29" xfId="1" applyNumberFormat="1" applyFont="1" applyFill="1" applyBorder="1" applyAlignment="1">
      <alignment horizontal="center" vertical="center" shrinkToFit="1"/>
    </xf>
    <xf numFmtId="43" fontId="3" fillId="0" borderId="3" xfId="1" applyFont="1" applyBorder="1" applyAlignment="1">
      <alignment horizontal="center" vertical="center"/>
    </xf>
    <xf numFmtId="43" fontId="0" fillId="0" borderId="0" xfId="1" applyFont="1" applyAlignment="1">
      <alignment horizontal="center" vertical="center"/>
    </xf>
    <xf numFmtId="43" fontId="3" fillId="0" borderId="3" xfId="1" applyFont="1" applyBorder="1" applyAlignment="1">
      <alignment vertical="center"/>
    </xf>
    <xf numFmtId="43" fontId="0" fillId="0" borderId="0" xfId="1" applyFont="1" applyAlignment="1">
      <alignment vertical="center"/>
    </xf>
    <xf numFmtId="0" fontId="10" fillId="0" borderId="53" xfId="1" applyNumberFormat="1" applyFont="1" applyBorder="1" applyAlignment="1">
      <alignment horizontal="center" vertical="center" wrapText="1"/>
    </xf>
    <xf numFmtId="0" fontId="3" fillId="3" borderId="3" xfId="0" applyFont="1" applyFill="1" applyBorder="1" applyAlignment="1">
      <alignment vertical="center"/>
    </xf>
    <xf numFmtId="0" fontId="3" fillId="3" borderId="23" xfId="0" applyFont="1" applyFill="1" applyBorder="1" applyAlignment="1">
      <alignment vertical="center"/>
    </xf>
    <xf numFmtId="0" fontId="3" fillId="3" borderId="3" xfId="0" applyFont="1" applyFill="1" applyBorder="1" applyAlignment="1">
      <alignment horizontal="center" vertical="center"/>
    </xf>
    <xf numFmtId="0" fontId="10" fillId="3" borderId="53" xfId="0" applyFont="1" applyFill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43" fontId="9" fillId="0" borderId="41" xfId="0" applyNumberFormat="1" applyFont="1" applyBorder="1" applyAlignment="1">
      <alignment horizontal="center" vertical="center"/>
    </xf>
    <xf numFmtId="43" fontId="3" fillId="0" borderId="6" xfId="1" applyFont="1" applyFill="1" applyBorder="1" applyAlignment="1">
      <alignment horizontal="center" vertical="center" shrinkToFit="1"/>
    </xf>
    <xf numFmtId="43" fontId="9" fillId="0" borderId="7" xfId="0" applyNumberFormat="1" applyFont="1" applyBorder="1" applyAlignment="1">
      <alignment horizontal="center" vertical="center"/>
    </xf>
    <xf numFmtId="0" fontId="3" fillId="3" borderId="0" xfId="0" applyFont="1" applyFill="1" applyAlignment="1">
      <alignment vertical="center"/>
    </xf>
    <xf numFmtId="43" fontId="3" fillId="3" borderId="29" xfId="1" applyFont="1" applyFill="1" applyBorder="1" applyAlignment="1">
      <alignment horizontal="center" vertical="center" shrinkToFit="1"/>
    </xf>
    <xf numFmtId="43" fontId="3" fillId="0" borderId="16" xfId="1" applyFont="1" applyFill="1" applyBorder="1" applyAlignment="1">
      <alignment vertical="center"/>
    </xf>
    <xf numFmtId="43" fontId="3" fillId="0" borderId="31" xfId="1" applyFont="1" applyFill="1" applyBorder="1" applyAlignment="1">
      <alignment vertical="center"/>
    </xf>
    <xf numFmtId="43" fontId="9" fillId="0" borderId="39" xfId="1" applyFont="1" applyFill="1" applyBorder="1" applyAlignment="1">
      <alignment vertical="center"/>
    </xf>
    <xf numFmtId="43" fontId="3" fillId="0" borderId="19" xfId="1" applyFont="1" applyFill="1" applyBorder="1" applyAlignment="1">
      <alignment vertical="center"/>
    </xf>
    <xf numFmtId="43" fontId="3" fillId="0" borderId="33" xfId="1" applyFont="1" applyFill="1" applyBorder="1" applyAlignment="1">
      <alignment vertical="center"/>
    </xf>
    <xf numFmtId="43" fontId="9" fillId="0" borderId="46" xfId="1" applyFont="1" applyFill="1" applyBorder="1" applyAlignment="1">
      <alignment vertical="center"/>
    </xf>
    <xf numFmtId="0" fontId="9" fillId="0" borderId="7" xfId="0" applyFont="1" applyBorder="1" applyAlignment="1">
      <alignment horizontal="center" vertical="center"/>
    </xf>
    <xf numFmtId="0" fontId="3" fillId="3" borderId="20" xfId="0" applyFont="1" applyFill="1" applyBorder="1" applyAlignment="1">
      <alignment vertical="center" shrinkToFit="1"/>
    </xf>
    <xf numFmtId="0" fontId="3" fillId="3" borderId="35" xfId="0" applyFont="1" applyFill="1" applyBorder="1" applyAlignment="1">
      <alignment vertical="center" shrinkToFit="1"/>
    </xf>
    <xf numFmtId="43" fontId="0" fillId="0" borderId="0" xfId="0" applyNumberFormat="1" applyAlignment="1">
      <alignment vertical="center"/>
    </xf>
    <xf numFmtId="166" fontId="1" fillId="0" borderId="50" xfId="0" applyNumberFormat="1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3" fillId="3" borderId="57" xfId="0" applyFont="1" applyFill="1" applyBorder="1" applyAlignment="1">
      <alignment vertical="center" shrinkToFit="1"/>
    </xf>
    <xf numFmtId="0" fontId="3" fillId="3" borderId="57" xfId="1" applyNumberFormat="1" applyFont="1" applyFill="1" applyBorder="1" applyAlignment="1">
      <alignment horizontal="center" vertical="center" shrinkToFit="1"/>
    </xf>
    <xf numFmtId="43" fontId="3" fillId="3" borderId="57" xfId="1" applyFont="1" applyFill="1" applyBorder="1" applyAlignment="1">
      <alignment horizontal="center" vertical="center" shrinkToFit="1"/>
    </xf>
    <xf numFmtId="0" fontId="3" fillId="3" borderId="50" xfId="0" applyFont="1" applyFill="1" applyBorder="1" applyAlignment="1">
      <alignment vertical="center" shrinkToFit="1"/>
    </xf>
    <xf numFmtId="43" fontId="3" fillId="0" borderId="57" xfId="1" applyFont="1" applyFill="1" applyBorder="1" applyAlignment="1">
      <alignment horizontal="center" vertical="center" shrinkToFit="1"/>
    </xf>
    <xf numFmtId="0" fontId="3" fillId="0" borderId="0" xfId="0" applyFont="1" applyAlignment="1">
      <alignment vertical="center" shrinkToFit="1"/>
    </xf>
    <xf numFmtId="43" fontId="3" fillId="0" borderId="0" xfId="1" applyFont="1" applyFill="1" applyBorder="1" applyAlignment="1">
      <alignment horizontal="center" vertical="center" shrinkToFit="1"/>
    </xf>
    <xf numFmtId="0" fontId="3" fillId="0" borderId="0" xfId="1" applyNumberFormat="1" applyFont="1" applyFill="1" applyBorder="1" applyAlignment="1">
      <alignment horizontal="center" vertical="center" shrinkToFit="1"/>
    </xf>
    <xf numFmtId="0" fontId="3" fillId="0" borderId="57" xfId="0" applyFont="1" applyBorder="1" applyAlignment="1">
      <alignment vertical="center" shrinkToFit="1"/>
    </xf>
    <xf numFmtId="0" fontId="3" fillId="0" borderId="57" xfId="0" applyFont="1" applyBorder="1" applyAlignment="1">
      <alignment horizontal="center" vertical="center" shrinkToFit="1"/>
    </xf>
    <xf numFmtId="43" fontId="3" fillId="2" borderId="43" xfId="1" applyFont="1" applyFill="1" applyBorder="1" applyAlignment="1">
      <alignment vertical="center"/>
    </xf>
    <xf numFmtId="43" fontId="3" fillId="2" borderId="4" xfId="1" applyFont="1" applyFill="1" applyBorder="1" applyAlignment="1">
      <alignment vertical="center"/>
    </xf>
    <xf numFmtId="43" fontId="3" fillId="0" borderId="4" xfId="1" applyFont="1" applyBorder="1" applyAlignment="1">
      <alignment vertical="center"/>
    </xf>
    <xf numFmtId="43" fontId="3" fillId="0" borderId="4" xfId="1" applyFont="1" applyFill="1" applyBorder="1" applyAlignment="1">
      <alignment vertical="center"/>
    </xf>
    <xf numFmtId="43" fontId="3" fillId="0" borderId="59" xfId="1" applyFont="1" applyFill="1" applyBorder="1" applyAlignment="1">
      <alignment vertical="center"/>
    </xf>
    <xf numFmtId="43" fontId="3" fillId="0" borderId="18" xfId="1" applyFont="1" applyBorder="1" applyAlignment="1">
      <alignment vertical="center"/>
    </xf>
    <xf numFmtId="43" fontId="3" fillId="0" borderId="5" xfId="1" applyFont="1" applyBorder="1" applyAlignment="1">
      <alignment vertical="center"/>
    </xf>
    <xf numFmtId="43" fontId="3" fillId="0" borderId="57" xfId="1" applyFont="1" applyBorder="1" applyAlignment="1">
      <alignment vertical="center"/>
    </xf>
    <xf numFmtId="43" fontId="9" fillId="0" borderId="18" xfId="1" applyFont="1" applyBorder="1" applyAlignment="1">
      <alignment vertical="center"/>
    </xf>
    <xf numFmtId="43" fontId="9" fillId="0" borderId="59" xfId="1" applyFont="1" applyBorder="1" applyAlignment="1">
      <alignment vertical="center"/>
    </xf>
    <xf numFmtId="43" fontId="3" fillId="0" borderId="43" xfId="1" applyFont="1" applyBorder="1" applyAlignment="1">
      <alignment vertical="center"/>
    </xf>
    <xf numFmtId="43" fontId="3" fillId="0" borderId="59" xfId="1" applyFont="1" applyBorder="1" applyAlignment="1">
      <alignment vertical="center"/>
    </xf>
    <xf numFmtId="0" fontId="3" fillId="0" borderId="0" xfId="0" applyFont="1" applyAlignment="1">
      <alignment horizontal="center" vertical="center" shrinkToFit="1"/>
    </xf>
    <xf numFmtId="43" fontId="3" fillId="0" borderId="0" xfId="1" applyFont="1" applyFill="1" applyBorder="1" applyAlignment="1">
      <alignment vertical="center"/>
    </xf>
    <xf numFmtId="43" fontId="9" fillId="0" borderId="0" xfId="1" applyFont="1" applyFill="1" applyBorder="1" applyAlignment="1">
      <alignment vertical="center"/>
    </xf>
    <xf numFmtId="43" fontId="3" fillId="2" borderId="18" xfId="1" applyFont="1" applyFill="1" applyBorder="1" applyAlignment="1">
      <alignment vertical="center"/>
    </xf>
    <xf numFmtId="43" fontId="3" fillId="0" borderId="47" xfId="1" applyFont="1" applyBorder="1" applyAlignment="1">
      <alignment vertical="center"/>
    </xf>
    <xf numFmtId="43" fontId="3" fillId="0" borderId="59" xfId="0" applyNumberFormat="1" applyFont="1" applyBorder="1" applyAlignment="1">
      <alignment vertical="center"/>
    </xf>
    <xf numFmtId="43" fontId="3" fillId="0" borderId="0" xfId="0" applyNumberFormat="1" applyFont="1" applyAlignment="1">
      <alignment vertical="center"/>
    </xf>
    <xf numFmtId="43" fontId="9" fillId="0" borderId="81" xfId="0" applyNumberFormat="1" applyFont="1" applyBorder="1" applyAlignment="1">
      <alignment vertical="center"/>
    </xf>
    <xf numFmtId="0" fontId="9" fillId="0" borderId="81" xfId="0" applyFont="1" applyBorder="1" applyAlignment="1">
      <alignment horizontal="center" vertical="center"/>
    </xf>
    <xf numFmtId="43" fontId="9" fillId="0" borderId="81" xfId="1" applyFont="1" applyBorder="1" applyAlignment="1">
      <alignment horizontal="center" vertical="center"/>
    </xf>
    <xf numFmtId="43" fontId="9" fillId="0" borderId="81" xfId="1" applyFont="1" applyBorder="1" applyAlignment="1">
      <alignment vertical="center"/>
    </xf>
    <xf numFmtId="43" fontId="0" fillId="0" borderId="52" xfId="0" applyNumberFormat="1" applyBorder="1" applyAlignment="1">
      <alignment vertical="center"/>
    </xf>
    <xf numFmtId="43" fontId="10" fillId="0" borderId="52" xfId="0" applyNumberFormat="1" applyFont="1" applyBorder="1" applyAlignment="1">
      <alignment vertical="center"/>
    </xf>
    <xf numFmtId="0" fontId="3" fillId="0" borderId="0" xfId="2" applyAlignment="1">
      <alignment vertical="center"/>
    </xf>
    <xf numFmtId="43" fontId="0" fillId="0" borderId="0" xfId="3" applyFont="1" applyAlignment="1">
      <alignment vertical="center"/>
    </xf>
    <xf numFmtId="43" fontId="0" fillId="0" borderId="0" xfId="3" applyFont="1" applyAlignment="1">
      <alignment horizontal="center" vertical="center"/>
    </xf>
    <xf numFmtId="0" fontId="3" fillId="0" borderId="0" xfId="2" applyAlignment="1">
      <alignment horizontal="center" vertical="center"/>
    </xf>
    <xf numFmtId="43" fontId="3" fillId="0" borderId="0" xfId="3" applyFont="1" applyFill="1" applyBorder="1" applyAlignment="1">
      <alignment vertical="center" shrinkToFit="1"/>
    </xf>
    <xf numFmtId="43" fontId="3" fillId="0" borderId="0" xfId="3" applyFont="1" applyFill="1" applyBorder="1" applyAlignment="1">
      <alignment horizontal="center" vertical="center" shrinkToFit="1"/>
    </xf>
    <xf numFmtId="0" fontId="3" fillId="0" borderId="0" xfId="3" applyNumberFormat="1" applyFont="1" applyFill="1" applyBorder="1" applyAlignment="1">
      <alignment horizontal="center" vertical="center" shrinkToFit="1"/>
    </xf>
    <xf numFmtId="0" fontId="3" fillId="0" borderId="0" xfId="2" applyAlignment="1">
      <alignment horizontal="center" vertical="center" shrinkToFit="1"/>
    </xf>
    <xf numFmtId="0" fontId="3" fillId="0" borderId="0" xfId="2" applyAlignment="1">
      <alignment vertical="center" shrinkToFit="1"/>
    </xf>
    <xf numFmtId="164" fontId="3" fillId="0" borderId="0" xfId="2" applyNumberFormat="1" applyAlignment="1">
      <alignment vertical="center"/>
    </xf>
    <xf numFmtId="43" fontId="9" fillId="0" borderId="81" xfId="3" applyFont="1" applyBorder="1" applyAlignment="1">
      <alignment vertical="center"/>
    </xf>
    <xf numFmtId="43" fontId="9" fillId="0" borderId="81" xfId="3" applyFont="1" applyBorder="1" applyAlignment="1">
      <alignment horizontal="center" vertical="center"/>
    </xf>
    <xf numFmtId="0" fontId="9" fillId="0" borderId="81" xfId="2" applyFont="1" applyBorder="1" applyAlignment="1">
      <alignment horizontal="center" vertical="center"/>
    </xf>
    <xf numFmtId="43" fontId="9" fillId="0" borderId="81" xfId="2" applyNumberFormat="1" applyFont="1" applyBorder="1" applyAlignment="1">
      <alignment vertical="center"/>
    </xf>
    <xf numFmtId="0" fontId="3" fillId="0" borderId="53" xfId="2" applyBorder="1" applyAlignment="1">
      <alignment horizontal="center" vertical="center"/>
    </xf>
    <xf numFmtId="0" fontId="3" fillId="0" borderId="2" xfId="2" applyBorder="1" applyAlignment="1">
      <alignment vertical="center"/>
    </xf>
    <xf numFmtId="0" fontId="3" fillId="0" borderId="53" xfId="2" applyBorder="1" applyAlignment="1">
      <alignment vertical="center"/>
    </xf>
    <xf numFmtId="0" fontId="3" fillId="0" borderId="10" xfId="2" applyBorder="1" applyAlignment="1">
      <alignment vertical="center"/>
    </xf>
    <xf numFmtId="43" fontId="3" fillId="0" borderId="6" xfId="3" applyFont="1" applyBorder="1" applyAlignment="1">
      <alignment vertical="center" shrinkToFit="1"/>
    </xf>
    <xf numFmtId="43" fontId="3" fillId="0" borderId="6" xfId="3" applyFont="1" applyBorder="1" applyAlignment="1">
      <alignment horizontal="center" vertical="center" shrinkToFit="1"/>
    </xf>
    <xf numFmtId="0" fontId="3" fillId="3" borderId="6" xfId="3" applyNumberFormat="1" applyFont="1" applyFill="1" applyBorder="1" applyAlignment="1">
      <alignment horizontal="center" vertical="center" shrinkToFit="1"/>
    </xf>
    <xf numFmtId="43" fontId="3" fillId="0" borderId="6" xfId="3" applyFont="1" applyFill="1" applyBorder="1" applyAlignment="1">
      <alignment vertical="center" shrinkToFit="1"/>
    </xf>
    <xf numFmtId="43" fontId="3" fillId="3" borderId="6" xfId="3" applyFont="1" applyFill="1" applyBorder="1" applyAlignment="1">
      <alignment horizontal="center" vertical="center" shrinkToFit="1"/>
    </xf>
    <xf numFmtId="0" fontId="3" fillId="3" borderId="6" xfId="2" applyFill="1" applyBorder="1" applyAlignment="1">
      <alignment horizontal="center" vertical="center" shrinkToFit="1"/>
    </xf>
    <xf numFmtId="0" fontId="3" fillId="3" borderId="24" xfId="2" applyFill="1" applyBorder="1" applyAlignment="1">
      <alignment vertical="center" shrinkToFit="1"/>
    </xf>
    <xf numFmtId="0" fontId="3" fillId="3" borderId="6" xfId="2" applyFill="1" applyBorder="1" applyAlignment="1">
      <alignment vertical="center" shrinkToFit="1"/>
    </xf>
    <xf numFmtId="0" fontId="3" fillId="0" borderId="13" xfId="2" applyBorder="1" applyAlignment="1">
      <alignment horizontal="center" vertical="center"/>
    </xf>
    <xf numFmtId="43" fontId="3" fillId="0" borderId="67" xfId="3" applyFont="1" applyBorder="1" applyAlignment="1">
      <alignment horizontal="center" vertical="center" shrinkToFit="1"/>
    </xf>
    <xf numFmtId="43" fontId="3" fillId="3" borderId="67" xfId="3" applyFont="1" applyFill="1" applyBorder="1" applyAlignment="1">
      <alignment horizontal="center" vertical="center" shrinkToFit="1"/>
    </xf>
    <xf numFmtId="43" fontId="3" fillId="0" borderId="57" xfId="3" applyFont="1" applyBorder="1" applyAlignment="1">
      <alignment horizontal="center" vertical="center" shrinkToFit="1"/>
    </xf>
    <xf numFmtId="43" fontId="3" fillId="3" borderId="29" xfId="3" applyFont="1" applyFill="1" applyBorder="1" applyAlignment="1">
      <alignment horizontal="center" vertical="center" shrinkToFit="1"/>
    </xf>
    <xf numFmtId="0" fontId="3" fillId="3" borderId="67" xfId="3" applyNumberFormat="1" applyFont="1" applyFill="1" applyBorder="1" applyAlignment="1">
      <alignment horizontal="center" vertical="center" shrinkToFit="1"/>
    </xf>
    <xf numFmtId="0" fontId="3" fillId="3" borderId="0" xfId="2" applyFill="1" applyAlignment="1">
      <alignment vertical="center" shrinkToFit="1"/>
    </xf>
    <xf numFmtId="0" fontId="3" fillId="3" borderId="67" xfId="2" applyFill="1" applyBorder="1" applyAlignment="1">
      <alignment vertical="center" shrinkToFit="1"/>
    </xf>
    <xf numFmtId="0" fontId="3" fillId="3" borderId="29" xfId="2" applyFill="1" applyBorder="1" applyAlignment="1">
      <alignment horizontal="center" vertical="center" shrinkToFit="1"/>
    </xf>
    <xf numFmtId="0" fontId="3" fillId="3" borderId="51" xfId="2" applyFill="1" applyBorder="1" applyAlignment="1">
      <alignment vertical="center" shrinkToFit="1"/>
    </xf>
    <xf numFmtId="0" fontId="3" fillId="3" borderId="29" xfId="2" applyFill="1" applyBorder="1" applyAlignment="1">
      <alignment vertical="center" shrinkToFit="1"/>
    </xf>
    <xf numFmtId="0" fontId="3" fillId="3" borderId="29" xfId="3" applyNumberFormat="1" applyFont="1" applyFill="1" applyBorder="1" applyAlignment="1">
      <alignment horizontal="center" vertical="center" shrinkToFit="1"/>
    </xf>
    <xf numFmtId="43" fontId="3" fillId="0" borderId="6" xfId="3" applyFont="1" applyFill="1" applyBorder="1" applyAlignment="1">
      <alignment horizontal="center" vertical="center" shrinkToFit="1"/>
    </xf>
    <xf numFmtId="43" fontId="3" fillId="3" borderId="6" xfId="3" applyFont="1" applyFill="1" applyBorder="1" applyAlignment="1">
      <alignment vertical="center" shrinkToFit="1"/>
    </xf>
    <xf numFmtId="43" fontId="3" fillId="0" borderId="29" xfId="3" applyFont="1" applyBorder="1" applyAlignment="1">
      <alignment horizontal="center" vertical="center" shrinkToFit="1"/>
    </xf>
    <xf numFmtId="43" fontId="3" fillId="0" borderId="3" xfId="3" applyFont="1" applyBorder="1" applyAlignment="1">
      <alignment vertical="center"/>
    </xf>
    <xf numFmtId="43" fontId="3" fillId="0" borderId="3" xfId="3" applyFont="1" applyBorder="1" applyAlignment="1">
      <alignment horizontal="center" vertical="center"/>
    </xf>
    <xf numFmtId="0" fontId="3" fillId="3" borderId="3" xfId="2" applyFill="1" applyBorder="1" applyAlignment="1">
      <alignment horizontal="center" vertical="center"/>
    </xf>
    <xf numFmtId="0" fontId="3" fillId="0" borderId="3" xfId="2" applyBorder="1" applyAlignment="1">
      <alignment vertical="center"/>
    </xf>
    <xf numFmtId="0" fontId="3" fillId="3" borderId="3" xfId="2" applyFill="1" applyBorder="1" applyAlignment="1">
      <alignment vertical="center"/>
    </xf>
    <xf numFmtId="0" fontId="3" fillId="3" borderId="23" xfId="2" applyFill="1" applyBorder="1" applyAlignment="1">
      <alignment vertical="center"/>
    </xf>
    <xf numFmtId="0" fontId="3" fillId="0" borderId="21" xfId="2" applyBorder="1" applyAlignment="1">
      <alignment vertical="center"/>
    </xf>
    <xf numFmtId="0" fontId="10" fillId="0" borderId="53" xfId="3" applyNumberFormat="1" applyFont="1" applyBorder="1" applyAlignment="1">
      <alignment horizontal="center" vertical="center" wrapText="1"/>
    </xf>
    <xf numFmtId="0" fontId="10" fillId="3" borderId="53" xfId="2" applyFont="1" applyFill="1" applyBorder="1" applyAlignment="1">
      <alignment horizontal="center" vertical="center" wrapText="1"/>
    </xf>
    <xf numFmtId="0" fontId="11" fillId="0" borderId="0" xfId="2" applyFont="1" applyAlignment="1">
      <alignment vertical="center"/>
    </xf>
    <xf numFmtId="43" fontId="3" fillId="0" borderId="0" xfId="3" applyFont="1" applyFill="1" applyBorder="1" applyAlignment="1">
      <alignment vertical="center"/>
    </xf>
    <xf numFmtId="43" fontId="9" fillId="0" borderId="0" xfId="3" applyFont="1" applyFill="1" applyBorder="1" applyAlignment="1">
      <alignment vertical="center"/>
    </xf>
    <xf numFmtId="0" fontId="17" fillId="0" borderId="0" xfId="2" applyFont="1" applyAlignment="1">
      <alignment vertical="center" textRotation="180"/>
    </xf>
    <xf numFmtId="0" fontId="5" fillId="0" borderId="0" xfId="2" applyFont="1" applyAlignment="1">
      <alignment vertical="center"/>
    </xf>
    <xf numFmtId="43" fontId="3" fillId="0" borderId="0" xfId="2" applyNumberFormat="1" applyAlignment="1">
      <alignment vertical="center"/>
    </xf>
    <xf numFmtId="0" fontId="3" fillId="0" borderId="11" xfId="2" applyBorder="1" applyAlignment="1">
      <alignment vertical="center"/>
    </xf>
    <xf numFmtId="0" fontId="3" fillId="0" borderId="10" xfId="2" applyBorder="1" applyAlignment="1">
      <alignment horizontal="center" vertical="center"/>
    </xf>
    <xf numFmtId="0" fontId="7" fillId="0" borderId="2" xfId="2" applyFont="1" applyBorder="1" applyAlignment="1">
      <alignment vertical="center" wrapText="1"/>
    </xf>
    <xf numFmtId="0" fontId="7" fillId="0" borderId="10" xfId="2" applyFont="1" applyBorder="1" applyAlignment="1">
      <alignment horizontal="center" vertical="center" wrapText="1"/>
    </xf>
    <xf numFmtId="0" fontId="7" fillId="0" borderId="11" xfId="2" applyFont="1" applyBorder="1" applyAlignment="1">
      <alignment horizontal="center" vertical="center" wrapText="1"/>
    </xf>
    <xf numFmtId="0" fontId="4" fillId="0" borderId="0" xfId="2" applyFont="1" applyAlignment="1">
      <alignment horizontal="right" vertical="center" textRotation="180"/>
    </xf>
    <xf numFmtId="0" fontId="3" fillId="0" borderId="0" xfId="2" applyAlignment="1">
      <alignment horizontal="left" vertical="center" wrapText="1"/>
    </xf>
    <xf numFmtId="0" fontId="3" fillId="0" borderId="8" xfId="2" applyBorder="1" applyAlignment="1">
      <alignment horizontal="center" vertical="center"/>
    </xf>
    <xf numFmtId="0" fontId="3" fillId="0" borderId="9" xfId="2" applyBorder="1" applyAlignment="1">
      <alignment vertical="center"/>
    </xf>
    <xf numFmtId="0" fontId="7" fillId="0" borderId="8" xfId="2" applyFont="1" applyBorder="1" applyAlignment="1">
      <alignment horizontal="center" vertical="center" wrapText="1"/>
    </xf>
    <xf numFmtId="0" fontId="7" fillId="0" borderId="9" xfId="2" applyFont="1" applyBorder="1" applyAlignment="1">
      <alignment horizontal="center" vertical="center" wrapText="1"/>
    </xf>
    <xf numFmtId="0" fontId="7" fillId="0" borderId="0" xfId="2" applyFont="1" applyAlignment="1">
      <alignment vertical="center" wrapText="1"/>
    </xf>
    <xf numFmtId="0" fontId="3" fillId="0" borderId="8" xfId="2" applyBorder="1" applyAlignment="1">
      <alignment vertical="center"/>
    </xf>
    <xf numFmtId="0" fontId="7" fillId="0" borderId="8" xfId="2" applyFont="1" applyBorder="1" applyAlignment="1">
      <alignment horizontal="center" vertical="center"/>
    </xf>
    <xf numFmtId="0" fontId="7" fillId="0" borderId="8" xfId="2" applyFont="1" applyBorder="1" applyAlignment="1">
      <alignment vertical="center"/>
    </xf>
    <xf numFmtId="0" fontId="7" fillId="0" borderId="9" xfId="2" applyFont="1" applyBorder="1" applyAlignment="1">
      <alignment vertical="center"/>
    </xf>
    <xf numFmtId="0" fontId="7" fillId="0" borderId="0" xfId="2" applyFont="1" applyAlignment="1">
      <alignment vertical="center"/>
    </xf>
    <xf numFmtId="0" fontId="7" fillId="0" borderId="0" xfId="2" applyFont="1" applyAlignment="1">
      <alignment horizontal="center" vertical="center"/>
    </xf>
    <xf numFmtId="0" fontId="3" fillId="0" borderId="12" xfId="2" applyBorder="1" applyAlignment="1">
      <alignment vertical="center"/>
    </xf>
    <xf numFmtId="0" fontId="3" fillId="0" borderId="52" xfId="2" applyBorder="1" applyAlignment="1">
      <alignment vertical="center"/>
    </xf>
    <xf numFmtId="0" fontId="3" fillId="0" borderId="2" xfId="2" applyBorder="1" applyAlignment="1">
      <alignment horizontal="center" vertical="center"/>
    </xf>
    <xf numFmtId="0" fontId="7" fillId="0" borderId="2" xfId="2" applyFont="1" applyBorder="1" applyAlignment="1">
      <alignment horizontal="center" vertical="center" wrapText="1"/>
    </xf>
    <xf numFmtId="0" fontId="7" fillId="0" borderId="2" xfId="2" applyFont="1" applyBorder="1" applyAlignment="1">
      <alignment vertical="center"/>
    </xf>
    <xf numFmtId="0" fontId="7" fillId="0" borderId="2" xfId="2" applyFont="1" applyBorder="1" applyAlignment="1">
      <alignment horizontal="center" vertical="center"/>
    </xf>
    <xf numFmtId="0" fontId="3" fillId="0" borderId="51" xfId="2" applyBorder="1" applyAlignment="1">
      <alignment horizontal="center" vertical="center"/>
    </xf>
    <xf numFmtId="0" fontId="7" fillId="0" borderId="0" xfId="2" applyFont="1" applyAlignment="1">
      <alignment horizontal="center" vertical="center" wrapText="1"/>
    </xf>
    <xf numFmtId="0" fontId="3" fillId="0" borderId="9" xfId="2" applyBorder="1" applyAlignment="1">
      <alignment horizontal="center" vertical="center" wrapText="1"/>
    </xf>
    <xf numFmtId="166" fontId="10" fillId="0" borderId="0" xfId="2" applyNumberFormat="1" applyFont="1" applyAlignment="1">
      <alignment vertical="center"/>
    </xf>
    <xf numFmtId="166" fontId="10" fillId="0" borderId="50" xfId="2" applyNumberFormat="1" applyFont="1" applyBorder="1" applyAlignment="1">
      <alignment horizontal="center" vertical="center"/>
    </xf>
    <xf numFmtId="166" fontId="1" fillId="0" borderId="50" xfId="2" applyNumberFormat="1" applyFont="1" applyBorder="1" applyAlignment="1">
      <alignment horizontal="center" vertical="center"/>
    </xf>
    <xf numFmtId="0" fontId="17" fillId="0" borderId="0" xfId="2" applyFont="1" applyAlignment="1">
      <alignment vertical="center"/>
    </xf>
    <xf numFmtId="0" fontId="17" fillId="0" borderId="0" xfId="2" applyFont="1" applyAlignment="1">
      <alignment horizontal="center" vertical="center"/>
    </xf>
    <xf numFmtId="0" fontId="7" fillId="0" borderId="9" xfId="2" applyFont="1" applyBorder="1" applyAlignment="1">
      <alignment horizontal="center" vertical="center"/>
    </xf>
    <xf numFmtId="0" fontId="28" fillId="0" borderId="9" xfId="2" applyFont="1" applyBorder="1" applyAlignment="1">
      <alignment vertical="center"/>
    </xf>
    <xf numFmtId="0" fontId="28" fillId="0" borderId="0" xfId="2" applyFont="1" applyAlignment="1">
      <alignment vertical="center"/>
    </xf>
    <xf numFmtId="0" fontId="10" fillId="0" borderId="52" xfId="2" applyFont="1" applyBorder="1" applyAlignment="1">
      <alignment vertical="center"/>
    </xf>
    <xf numFmtId="0" fontId="9" fillId="0" borderId="54" xfId="2" applyFont="1" applyBorder="1" applyAlignment="1">
      <alignment horizontal="left" vertical="center" indent="3"/>
    </xf>
    <xf numFmtId="0" fontId="10" fillId="0" borderId="12" xfId="2" applyFont="1" applyBorder="1" applyAlignment="1">
      <alignment vertical="center"/>
    </xf>
    <xf numFmtId="43" fontId="9" fillId="0" borderId="35" xfId="3" applyFont="1" applyBorder="1" applyAlignment="1">
      <alignment vertical="center"/>
    </xf>
    <xf numFmtId="43" fontId="9" fillId="0" borderId="31" xfId="3" applyFont="1" applyBorder="1" applyAlignment="1">
      <alignment vertical="center"/>
    </xf>
    <xf numFmtId="43" fontId="9" fillId="0" borderId="30" xfId="3" applyFont="1" applyBorder="1" applyAlignment="1">
      <alignment vertical="center"/>
    </xf>
    <xf numFmtId="0" fontId="3" fillId="0" borderId="29" xfId="2" applyBorder="1" applyAlignment="1">
      <alignment horizontal="center" vertical="center"/>
    </xf>
    <xf numFmtId="43" fontId="9" fillId="0" borderId="33" xfId="3" applyFont="1" applyBorder="1" applyAlignment="1">
      <alignment vertical="center"/>
    </xf>
    <xf numFmtId="43" fontId="9" fillId="0" borderId="29" xfId="3" applyFont="1" applyBorder="1" applyAlignment="1">
      <alignment vertical="center"/>
    </xf>
    <xf numFmtId="43" fontId="9" fillId="0" borderId="34" xfId="3" applyFont="1" applyBorder="1" applyAlignment="1">
      <alignment vertical="center"/>
    </xf>
    <xf numFmtId="43" fontId="9" fillId="0" borderId="63" xfId="3" applyFont="1" applyFill="1" applyBorder="1" applyAlignment="1">
      <alignment vertical="center"/>
    </xf>
    <xf numFmtId="43" fontId="9" fillId="0" borderId="39" xfId="3" applyFont="1" applyFill="1" applyBorder="1" applyAlignment="1">
      <alignment vertical="center"/>
    </xf>
    <xf numFmtId="43" fontId="9" fillId="0" borderId="39" xfId="3" applyFont="1" applyBorder="1" applyAlignment="1">
      <alignment vertical="center"/>
    </xf>
    <xf numFmtId="43" fontId="9" fillId="2" borderId="39" xfId="3" applyFont="1" applyFill="1" applyBorder="1" applyAlignment="1">
      <alignment vertical="center"/>
    </xf>
    <xf numFmtId="43" fontId="9" fillId="2" borderId="38" xfId="3" applyFont="1" applyFill="1" applyBorder="1" applyAlignment="1">
      <alignment vertical="center"/>
    </xf>
    <xf numFmtId="0" fontId="3" fillId="0" borderId="29" xfId="2" applyBorder="1" applyAlignment="1">
      <alignment vertical="center"/>
    </xf>
    <xf numFmtId="43" fontId="3" fillId="0" borderId="35" xfId="3" applyFont="1" applyBorder="1" applyAlignment="1">
      <alignment vertical="center"/>
    </xf>
    <xf numFmtId="43" fontId="3" fillId="0" borderId="31" xfId="3" applyFont="1" applyBorder="1" applyAlignment="1">
      <alignment vertical="center"/>
    </xf>
    <xf numFmtId="43" fontId="3" fillId="0" borderId="30" xfId="3" applyFont="1" applyBorder="1" applyAlignment="1">
      <alignment vertical="center"/>
    </xf>
    <xf numFmtId="43" fontId="3" fillId="0" borderId="33" xfId="3" applyFont="1" applyBorder="1" applyAlignment="1">
      <alignment vertical="center"/>
    </xf>
    <xf numFmtId="43" fontId="3" fillId="0" borderId="29" xfId="3" applyFont="1" applyBorder="1" applyAlignment="1">
      <alignment vertical="center"/>
    </xf>
    <xf numFmtId="43" fontId="3" fillId="0" borderId="34" xfId="3" applyFont="1" applyBorder="1" applyAlignment="1">
      <alignment vertical="center"/>
    </xf>
    <xf numFmtId="43" fontId="3" fillId="0" borderId="35" xfId="3" applyFont="1" applyFill="1" applyBorder="1" applyAlignment="1">
      <alignment vertical="center"/>
    </xf>
    <xf numFmtId="43" fontId="3" fillId="0" borderId="31" xfId="3" applyFont="1" applyFill="1" applyBorder="1" applyAlignment="1">
      <alignment vertical="center"/>
    </xf>
    <xf numFmtId="43" fontId="3" fillId="2" borderId="31" xfId="3" applyFont="1" applyFill="1" applyBorder="1" applyAlignment="1">
      <alignment vertical="center"/>
    </xf>
    <xf numFmtId="43" fontId="3" fillId="2" borderId="30" xfId="3" applyFont="1" applyFill="1" applyBorder="1" applyAlignment="1">
      <alignment vertical="center"/>
    </xf>
    <xf numFmtId="43" fontId="3" fillId="0" borderId="14" xfId="3" applyFont="1" applyBorder="1" applyAlignment="1">
      <alignment vertical="center"/>
    </xf>
    <xf numFmtId="43" fontId="3" fillId="0" borderId="16" xfId="3" applyFont="1" applyBorder="1" applyAlignment="1">
      <alignment vertical="center"/>
    </xf>
    <xf numFmtId="43" fontId="3" fillId="0" borderId="15" xfId="3" applyFont="1" applyBorder="1" applyAlignment="1">
      <alignment vertical="center"/>
    </xf>
    <xf numFmtId="0" fontId="3" fillId="0" borderId="24" xfId="2" applyBorder="1" applyAlignment="1">
      <alignment horizontal="center" vertical="center"/>
    </xf>
    <xf numFmtId="43" fontId="9" fillId="0" borderId="20" xfId="3" applyFont="1" applyBorder="1" applyAlignment="1">
      <alignment vertical="center"/>
    </xf>
    <xf numFmtId="43" fontId="9" fillId="0" borderId="19" xfId="3" applyFont="1" applyBorder="1" applyAlignment="1">
      <alignment vertical="center"/>
    </xf>
    <xf numFmtId="43" fontId="3" fillId="0" borderId="6" xfId="3" applyFont="1" applyBorder="1" applyAlignment="1">
      <alignment vertical="center"/>
    </xf>
    <xf numFmtId="43" fontId="3" fillId="0" borderId="17" xfId="3" applyFont="1" applyBorder="1" applyAlignment="1">
      <alignment vertical="center"/>
    </xf>
    <xf numFmtId="43" fontId="3" fillId="0" borderId="19" xfId="3" applyFont="1" applyBorder="1" applyAlignment="1">
      <alignment vertical="center"/>
    </xf>
    <xf numFmtId="43" fontId="3" fillId="0" borderId="20" xfId="3" applyFont="1" applyFill="1" applyBorder="1" applyAlignment="1">
      <alignment vertical="center"/>
    </xf>
    <xf numFmtId="43" fontId="3" fillId="0" borderId="16" xfId="3" applyFont="1" applyFill="1" applyBorder="1" applyAlignment="1">
      <alignment vertical="center"/>
    </xf>
    <xf numFmtId="43" fontId="3" fillId="2" borderId="16" xfId="3" applyFont="1" applyFill="1" applyBorder="1" applyAlignment="1">
      <alignment vertical="center"/>
    </xf>
    <xf numFmtId="0" fontId="3" fillId="0" borderId="6" xfId="2" applyBorder="1" applyAlignment="1">
      <alignment horizontal="center" vertical="center" shrinkToFit="1"/>
    </xf>
    <xf numFmtId="0" fontId="3" fillId="0" borderId="6" xfId="2" applyBorder="1" applyAlignment="1">
      <alignment vertical="center" shrinkToFit="1"/>
    </xf>
    <xf numFmtId="43" fontId="3" fillId="0" borderId="47" xfId="3" applyFont="1" applyBorder="1" applyAlignment="1">
      <alignment vertical="center"/>
    </xf>
    <xf numFmtId="43" fontId="3" fillId="0" borderId="4" xfId="3" applyFont="1" applyBorder="1" applyAlignment="1">
      <alignment vertical="center"/>
    </xf>
    <xf numFmtId="43" fontId="3" fillId="0" borderId="43" xfId="3" applyFont="1" applyBorder="1" applyAlignment="1">
      <alignment vertical="center"/>
    </xf>
    <xf numFmtId="0" fontId="3" fillId="0" borderId="50" xfId="2" applyBorder="1" applyAlignment="1">
      <alignment horizontal="center" vertical="center"/>
    </xf>
    <xf numFmtId="43" fontId="9" fillId="0" borderId="59" xfId="3" applyFont="1" applyBorder="1" applyAlignment="1">
      <alignment vertical="center"/>
    </xf>
    <xf numFmtId="43" fontId="9" fillId="0" borderId="18" xfId="3" applyFont="1" applyBorder="1" applyAlignment="1">
      <alignment vertical="center"/>
    </xf>
    <xf numFmtId="43" fontId="3" fillId="0" borderId="57" xfId="3" applyFont="1" applyBorder="1" applyAlignment="1">
      <alignment vertical="center"/>
    </xf>
    <xf numFmtId="43" fontId="3" fillId="0" borderId="5" xfId="3" applyFont="1" applyBorder="1" applyAlignment="1">
      <alignment vertical="center"/>
    </xf>
    <xf numFmtId="43" fontId="3" fillId="0" borderId="18" xfId="3" applyFont="1" applyBorder="1" applyAlignment="1">
      <alignment vertical="center"/>
    </xf>
    <xf numFmtId="43" fontId="3" fillId="0" borderId="59" xfId="3" applyFont="1" applyFill="1" applyBorder="1" applyAlignment="1">
      <alignment vertical="center"/>
    </xf>
    <xf numFmtId="43" fontId="3" fillId="0" borderId="4" xfId="3" applyFont="1" applyFill="1" applyBorder="1" applyAlignment="1">
      <alignment vertical="center"/>
    </xf>
    <xf numFmtId="43" fontId="3" fillId="2" borderId="82" xfId="3" applyFont="1" applyFill="1" applyBorder="1" applyAlignment="1">
      <alignment vertical="center"/>
    </xf>
    <xf numFmtId="43" fontId="3" fillId="2" borderId="43" xfId="3" applyFont="1" applyFill="1" applyBorder="1" applyAlignment="1">
      <alignment vertical="center"/>
    </xf>
    <xf numFmtId="0" fontId="3" fillId="0" borderId="57" xfId="2" applyBorder="1" applyAlignment="1">
      <alignment horizontal="center" vertical="center" shrinkToFit="1"/>
    </xf>
    <xf numFmtId="0" fontId="3" fillId="0" borderId="57" xfId="2" applyBorder="1" applyAlignment="1">
      <alignment vertical="center" shrinkToFit="1"/>
    </xf>
    <xf numFmtId="43" fontId="3" fillId="2" borderId="15" xfId="3" applyFont="1" applyFill="1" applyBorder="1" applyAlignment="1">
      <alignment vertical="center"/>
    </xf>
    <xf numFmtId="43" fontId="3" fillId="2" borderId="19" xfId="3" applyFont="1" applyFill="1" applyBorder="1" applyAlignment="1">
      <alignment vertical="center"/>
    </xf>
    <xf numFmtId="0" fontId="3" fillId="0" borderId="22" xfId="2" applyBorder="1" applyAlignment="1">
      <alignment vertical="center"/>
    </xf>
    <xf numFmtId="0" fontId="3" fillId="0" borderId="26" xfId="2" applyBorder="1" applyAlignment="1">
      <alignment vertical="center"/>
    </xf>
    <xf numFmtId="0" fontId="3" fillId="0" borderId="25" xfId="2" applyBorder="1" applyAlignment="1">
      <alignment vertical="center"/>
    </xf>
    <xf numFmtId="0" fontId="3" fillId="0" borderId="3" xfId="2" applyBorder="1" applyAlignment="1">
      <alignment horizontal="center" vertical="center"/>
    </xf>
    <xf numFmtId="0" fontId="3" fillId="0" borderId="27" xfId="2" applyBorder="1" applyAlignment="1">
      <alignment vertical="center"/>
    </xf>
    <xf numFmtId="0" fontId="3" fillId="0" borderId="5" xfId="2" applyBorder="1" applyAlignment="1">
      <alignment vertical="center"/>
    </xf>
    <xf numFmtId="0" fontId="3" fillId="0" borderId="4" xfId="2" applyBorder="1" applyAlignment="1">
      <alignment vertical="center"/>
    </xf>
    <xf numFmtId="0" fontId="3" fillId="0" borderId="18" xfId="2" applyBorder="1" applyAlignment="1">
      <alignment vertical="center"/>
    </xf>
    <xf numFmtId="0" fontId="3" fillId="0" borderId="59" xfId="2" applyBorder="1" applyAlignment="1">
      <alignment vertical="center"/>
    </xf>
    <xf numFmtId="0" fontId="3" fillId="2" borderId="4" xfId="2" applyFill="1" applyBorder="1" applyAlignment="1">
      <alignment vertical="center"/>
    </xf>
    <xf numFmtId="0" fontId="3" fillId="2" borderId="43" xfId="2" applyFill="1" applyBorder="1" applyAlignment="1">
      <alignment vertical="center"/>
    </xf>
    <xf numFmtId="0" fontId="2" fillId="0" borderId="0" xfId="2" applyFont="1" applyAlignment="1">
      <alignment vertical="center"/>
    </xf>
    <xf numFmtId="0" fontId="9" fillId="0" borderId="0" xfId="2" applyFont="1" applyAlignment="1">
      <alignment vertical="center"/>
    </xf>
    <xf numFmtId="0" fontId="9" fillId="0" borderId="0" xfId="2" applyFont="1" applyAlignment="1">
      <alignment horizontal="center" vertical="center"/>
    </xf>
    <xf numFmtId="0" fontId="12" fillId="0" borderId="0" xfId="2" applyFont="1" applyAlignment="1">
      <alignment horizontal="center" vertical="center" wrapText="1"/>
    </xf>
    <xf numFmtId="0" fontId="12" fillId="0" borderId="0" xfId="2" applyFont="1" applyAlignment="1">
      <alignment vertical="center" wrapText="1"/>
    </xf>
    <xf numFmtId="0" fontId="18" fillId="0" borderId="0" xfId="2" applyFont="1" applyAlignment="1">
      <alignment horizontal="center" vertical="center" wrapText="1"/>
    </xf>
    <xf numFmtId="43" fontId="9" fillId="0" borderId="41" xfId="3" applyFont="1" applyBorder="1" applyAlignment="1">
      <alignment vertical="center"/>
    </xf>
    <xf numFmtId="43" fontId="9" fillId="0" borderId="40" xfId="3" applyFont="1" applyBorder="1" applyAlignment="1">
      <alignment vertical="center"/>
    </xf>
    <xf numFmtId="43" fontId="9" fillId="2" borderId="44" xfId="3" applyFont="1" applyFill="1" applyBorder="1" applyAlignment="1">
      <alignment vertical="center"/>
    </xf>
    <xf numFmtId="43" fontId="9" fillId="2" borderId="45" xfId="3" applyFont="1" applyFill="1" applyBorder="1" applyAlignment="1">
      <alignment vertical="center"/>
    </xf>
    <xf numFmtId="43" fontId="9" fillId="2" borderId="36" xfId="3" applyFont="1" applyFill="1" applyBorder="1" applyAlignment="1">
      <alignment vertical="center"/>
    </xf>
    <xf numFmtId="43" fontId="9" fillId="0" borderId="37" xfId="3" applyFont="1" applyBorder="1" applyAlignment="1">
      <alignment vertical="center"/>
    </xf>
    <xf numFmtId="43" fontId="9" fillId="0" borderId="36" xfId="3" applyFont="1" applyBorder="1" applyAlignment="1">
      <alignment vertical="center"/>
    </xf>
    <xf numFmtId="0" fontId="3" fillId="0" borderId="7" xfId="2" applyBorder="1" applyAlignment="1">
      <alignment horizontal="center" vertical="center"/>
    </xf>
    <xf numFmtId="0" fontId="3" fillId="0" borderId="7" xfId="2" applyBorder="1" applyAlignment="1">
      <alignment vertical="center"/>
    </xf>
    <xf numFmtId="43" fontId="3" fillId="0" borderId="20" xfId="2" applyNumberFormat="1" applyBorder="1" applyAlignment="1">
      <alignment vertical="center"/>
    </xf>
    <xf numFmtId="43" fontId="3" fillId="0" borderId="32" xfId="3" applyFont="1" applyBorder="1" applyAlignment="1">
      <alignment vertical="center"/>
    </xf>
    <xf numFmtId="43" fontId="3" fillId="2" borderId="33" xfId="3" applyFont="1" applyFill="1" applyBorder="1" applyAlignment="1">
      <alignment vertical="center"/>
    </xf>
    <xf numFmtId="0" fontId="3" fillId="0" borderId="6" xfId="2" applyBorder="1" applyAlignment="1">
      <alignment horizontal="center" vertical="center"/>
    </xf>
    <xf numFmtId="43" fontId="3" fillId="0" borderId="20" xfId="3" applyFont="1" applyBorder="1" applyAlignment="1">
      <alignment vertical="center"/>
    </xf>
    <xf numFmtId="0" fontId="3" fillId="0" borderId="56" xfId="2" applyBorder="1" applyAlignment="1">
      <alignment vertical="center"/>
    </xf>
    <xf numFmtId="0" fontId="3" fillId="2" borderId="26" xfId="2" applyFill="1" applyBorder="1" applyAlignment="1">
      <alignment vertical="center"/>
    </xf>
    <xf numFmtId="0" fontId="3" fillId="2" borderId="27" xfId="2" applyFill="1" applyBorder="1" applyAlignment="1">
      <alignment vertical="center"/>
    </xf>
    <xf numFmtId="0" fontId="3" fillId="2" borderId="25" xfId="2" applyFill="1" applyBorder="1" applyAlignment="1">
      <alignment vertical="center"/>
    </xf>
    <xf numFmtId="0" fontId="3" fillId="0" borderId="55" xfId="2" applyBorder="1" applyAlignment="1">
      <alignment vertical="center"/>
    </xf>
    <xf numFmtId="0" fontId="10" fillId="0" borderId="0" xfId="2" applyFont="1" applyAlignment="1">
      <alignment vertical="center"/>
    </xf>
    <xf numFmtId="164" fontId="3" fillId="0" borderId="0" xfId="2" applyNumberFormat="1" applyAlignment="1">
      <alignment horizontal="center" vertical="center"/>
    </xf>
    <xf numFmtId="43" fontId="9" fillId="0" borderId="41" xfId="2" applyNumberFormat="1" applyFont="1" applyBorder="1" applyAlignment="1">
      <alignment horizontal="center" vertical="center"/>
    </xf>
    <xf numFmtId="0" fontId="9" fillId="0" borderId="7" xfId="2" applyFont="1" applyBorder="1" applyAlignment="1">
      <alignment horizontal="center" vertical="center"/>
    </xf>
    <xf numFmtId="43" fontId="0" fillId="0" borderId="20" xfId="3" applyFont="1" applyBorder="1" applyAlignment="1">
      <alignment horizontal="center" vertical="center"/>
    </xf>
    <xf numFmtId="43" fontId="3" fillId="8" borderId="14" xfId="3" applyFont="1" applyFill="1" applyBorder="1" applyAlignment="1">
      <alignment horizontal="center" vertical="center"/>
    </xf>
    <xf numFmtId="43" fontId="3" fillId="8" borderId="16" xfId="3" applyFont="1" applyFill="1" applyBorder="1" applyAlignment="1">
      <alignment horizontal="center" vertical="center"/>
    </xf>
    <xf numFmtId="43" fontId="3" fillId="8" borderId="15" xfId="3" applyFont="1" applyFill="1" applyBorder="1" applyAlignment="1">
      <alignment horizontal="center" vertical="center"/>
    </xf>
    <xf numFmtId="43" fontId="3" fillId="7" borderId="17" xfId="3" applyFont="1" applyFill="1" applyBorder="1" applyAlignment="1">
      <alignment horizontal="center" vertical="center"/>
    </xf>
    <xf numFmtId="43" fontId="3" fillId="7" borderId="16" xfId="3" applyFont="1" applyFill="1" applyBorder="1" applyAlignment="1">
      <alignment horizontal="center" vertical="center"/>
    </xf>
    <xf numFmtId="43" fontId="3" fillId="7" borderId="19" xfId="3" applyFont="1" applyFill="1" applyBorder="1" applyAlignment="1">
      <alignment horizontal="center" vertical="center"/>
    </xf>
    <xf numFmtId="43" fontId="3" fillId="6" borderId="14" xfId="3" applyFont="1" applyFill="1" applyBorder="1" applyAlignment="1">
      <alignment horizontal="center" vertical="center"/>
    </xf>
    <xf numFmtId="43" fontId="3" fillId="6" borderId="16" xfId="3" applyFont="1" applyFill="1" applyBorder="1" applyAlignment="1">
      <alignment horizontal="center" vertical="center"/>
    </xf>
    <xf numFmtId="43" fontId="3" fillId="6" borderId="15" xfId="3" applyFont="1" applyFill="1" applyBorder="1" applyAlignment="1">
      <alignment horizontal="center" vertical="center"/>
    </xf>
    <xf numFmtId="43" fontId="3" fillId="5" borderId="24" xfId="3" applyFont="1" applyFill="1" applyBorder="1" applyAlignment="1">
      <alignment horizontal="center" vertical="center"/>
    </xf>
    <xf numFmtId="43" fontId="3" fillId="5" borderId="14" xfId="3" applyFont="1" applyFill="1" applyBorder="1" applyAlignment="1">
      <alignment horizontal="center" vertical="center"/>
    </xf>
    <xf numFmtId="43" fontId="3" fillId="5" borderId="19" xfId="3" applyFont="1" applyFill="1" applyBorder="1" applyAlignment="1">
      <alignment horizontal="center" vertical="center"/>
    </xf>
    <xf numFmtId="43" fontId="3" fillId="5" borderId="15" xfId="3" applyFont="1" applyFill="1" applyBorder="1" applyAlignment="1">
      <alignment horizontal="center" vertical="center"/>
    </xf>
    <xf numFmtId="43" fontId="3" fillId="5" borderId="17" xfId="3" applyFont="1" applyFill="1" applyBorder="1" applyAlignment="1">
      <alignment horizontal="center" vertical="center"/>
    </xf>
    <xf numFmtId="43" fontId="3" fillId="5" borderId="16" xfId="3" applyFont="1" applyFill="1" applyBorder="1" applyAlignment="1">
      <alignment horizontal="center" vertical="center"/>
    </xf>
    <xf numFmtId="43" fontId="3" fillId="4" borderId="6" xfId="3" applyFont="1" applyFill="1" applyBorder="1" applyAlignment="1">
      <alignment horizontal="center" vertical="center" shrinkToFit="1"/>
    </xf>
    <xf numFmtId="43" fontId="3" fillId="3" borderId="13" xfId="3" applyFont="1" applyFill="1" applyBorder="1" applyAlignment="1">
      <alignment horizontal="center" vertical="center" shrinkToFit="1"/>
    </xf>
    <xf numFmtId="43" fontId="3" fillId="0" borderId="13" xfId="3" applyFont="1" applyBorder="1" applyAlignment="1">
      <alignment horizontal="center" vertical="center" shrinkToFit="1"/>
    </xf>
    <xf numFmtId="43" fontId="3" fillId="8" borderId="19" xfId="3" applyFont="1" applyFill="1" applyBorder="1" applyAlignment="1">
      <alignment horizontal="center" vertical="center"/>
    </xf>
    <xf numFmtId="0" fontId="17" fillId="13" borderId="0" xfId="0" applyFont="1" applyFill="1" applyAlignment="1">
      <alignment vertical="center" textRotation="180"/>
    </xf>
    <xf numFmtId="0" fontId="3" fillId="13" borderId="13" xfId="0" applyFont="1" applyFill="1" applyBorder="1" applyAlignment="1">
      <alignment horizontal="center" vertical="center"/>
    </xf>
    <xf numFmtId="0" fontId="3" fillId="13" borderId="6" xfId="0" applyFont="1" applyFill="1" applyBorder="1" applyAlignment="1">
      <alignment vertical="center" shrinkToFit="1"/>
    </xf>
    <xf numFmtId="0" fontId="3" fillId="13" borderId="24" xfId="0" applyFont="1" applyFill="1" applyBorder="1" applyAlignment="1">
      <alignment vertical="center" shrinkToFit="1"/>
    </xf>
    <xf numFmtId="0" fontId="3" fillId="13" borderId="6" xfId="0" applyFont="1" applyFill="1" applyBorder="1" applyAlignment="1">
      <alignment horizontal="center" vertical="center" shrinkToFit="1"/>
    </xf>
    <xf numFmtId="43" fontId="3" fillId="13" borderId="19" xfId="1" applyFont="1" applyFill="1" applyBorder="1" applyAlignment="1">
      <alignment vertical="center"/>
    </xf>
    <xf numFmtId="43" fontId="3" fillId="13" borderId="16" xfId="1" applyFont="1" applyFill="1" applyBorder="1" applyAlignment="1">
      <alignment vertical="center"/>
    </xf>
    <xf numFmtId="43" fontId="3" fillId="13" borderId="17" xfId="1" applyFont="1" applyFill="1" applyBorder="1" applyAlignment="1">
      <alignment vertical="center"/>
    </xf>
    <xf numFmtId="43" fontId="3" fillId="13" borderId="15" xfId="1" applyFont="1" applyFill="1" applyBorder="1" applyAlignment="1">
      <alignment vertical="center"/>
    </xf>
    <xf numFmtId="43" fontId="3" fillId="13" borderId="14" xfId="1" applyFont="1" applyFill="1" applyBorder="1" applyAlignment="1">
      <alignment vertical="center"/>
    </xf>
    <xf numFmtId="43" fontId="3" fillId="13" borderId="24" xfId="1" applyFont="1" applyFill="1" applyBorder="1" applyAlignment="1">
      <alignment vertical="center"/>
    </xf>
    <xf numFmtId="43" fontId="9" fillId="13" borderId="15" xfId="1" applyFont="1" applyFill="1" applyBorder="1" applyAlignment="1">
      <alignment vertical="center"/>
    </xf>
    <xf numFmtId="43" fontId="9" fillId="13" borderId="14" xfId="1" applyFont="1" applyFill="1" applyBorder="1" applyAlignment="1">
      <alignment vertical="center"/>
    </xf>
    <xf numFmtId="0" fontId="3" fillId="13" borderId="6" xfId="0" applyFont="1" applyFill="1" applyBorder="1" applyAlignment="1">
      <alignment horizontal="center" vertical="center"/>
    </xf>
    <xf numFmtId="0" fontId="0" fillId="13" borderId="0" xfId="0" applyFill="1" applyAlignment="1">
      <alignment vertical="center"/>
    </xf>
    <xf numFmtId="43" fontId="3" fillId="13" borderId="20" xfId="1" applyFont="1" applyFill="1" applyBorder="1" applyAlignment="1">
      <alignment vertical="center"/>
    </xf>
    <xf numFmtId="43" fontId="3" fillId="13" borderId="6" xfId="1" applyFont="1" applyFill="1" applyBorder="1" applyAlignment="1">
      <alignment vertical="center"/>
    </xf>
    <xf numFmtId="43" fontId="9" fillId="13" borderId="19" xfId="1" applyFont="1" applyFill="1" applyBorder="1" applyAlignment="1">
      <alignment vertical="center"/>
    </xf>
    <xf numFmtId="43" fontId="9" fillId="13" borderId="20" xfId="1" applyFont="1" applyFill="1" applyBorder="1" applyAlignment="1">
      <alignment vertical="center"/>
    </xf>
    <xf numFmtId="43" fontId="3" fillId="13" borderId="30" xfId="1" applyFont="1" applyFill="1" applyBorder="1" applyAlignment="1">
      <alignment vertical="center"/>
    </xf>
    <xf numFmtId="43" fontId="3" fillId="13" borderId="31" xfId="1" applyFont="1" applyFill="1" applyBorder="1" applyAlignment="1">
      <alignment vertical="center"/>
    </xf>
    <xf numFmtId="0" fontId="17" fillId="21" borderId="0" xfId="0" applyFont="1" applyFill="1" applyAlignment="1">
      <alignment vertical="center" textRotation="180"/>
    </xf>
    <xf numFmtId="0" fontId="3" fillId="21" borderId="6" xfId="0" applyFont="1" applyFill="1" applyBorder="1" applyAlignment="1">
      <alignment horizontal="center" vertical="center"/>
    </xf>
    <xf numFmtId="0" fontId="3" fillId="21" borderId="6" xfId="0" applyFont="1" applyFill="1" applyBorder="1" applyAlignment="1">
      <alignment vertical="center" shrinkToFit="1"/>
    </xf>
    <xf numFmtId="0" fontId="3" fillId="21" borderId="6" xfId="0" applyFont="1" applyFill="1" applyBorder="1" applyAlignment="1">
      <alignment horizontal="center" vertical="center" shrinkToFit="1"/>
    </xf>
    <xf numFmtId="43" fontId="3" fillId="21" borderId="30" xfId="1" applyFont="1" applyFill="1" applyBorder="1" applyAlignment="1">
      <alignment vertical="center"/>
    </xf>
    <xf numFmtId="43" fontId="3" fillId="21" borderId="31" xfId="1" applyFont="1" applyFill="1" applyBorder="1" applyAlignment="1">
      <alignment vertical="center"/>
    </xf>
    <xf numFmtId="43" fontId="3" fillId="21" borderId="16" xfId="1" applyFont="1" applyFill="1" applyBorder="1" applyAlignment="1">
      <alignment vertical="center"/>
    </xf>
    <xf numFmtId="43" fontId="3" fillId="21" borderId="20" xfId="1" applyFont="1" applyFill="1" applyBorder="1" applyAlignment="1">
      <alignment vertical="center"/>
    </xf>
    <xf numFmtId="43" fontId="3" fillId="21" borderId="19" xfId="1" applyFont="1" applyFill="1" applyBorder="1" applyAlignment="1">
      <alignment vertical="center"/>
    </xf>
    <xf numFmtId="43" fontId="3" fillId="21" borderId="17" xfId="1" applyFont="1" applyFill="1" applyBorder="1" applyAlignment="1">
      <alignment vertical="center"/>
    </xf>
    <xf numFmtId="43" fontId="3" fillId="21" borderId="6" xfId="1" applyFont="1" applyFill="1" applyBorder="1" applyAlignment="1">
      <alignment vertical="center"/>
    </xf>
    <xf numFmtId="43" fontId="9" fillId="21" borderId="19" xfId="1" applyFont="1" applyFill="1" applyBorder="1" applyAlignment="1">
      <alignment vertical="center"/>
    </xf>
    <xf numFmtId="43" fontId="9" fillId="21" borderId="20" xfId="1" applyFont="1" applyFill="1" applyBorder="1" applyAlignment="1">
      <alignment vertical="center"/>
    </xf>
    <xf numFmtId="43" fontId="3" fillId="21" borderId="15" xfId="1" applyFont="1" applyFill="1" applyBorder="1" applyAlignment="1">
      <alignment vertical="center"/>
    </xf>
    <xf numFmtId="0" fontId="0" fillId="21" borderId="0" xfId="0" applyFill="1" applyAlignment="1">
      <alignment vertical="center"/>
    </xf>
    <xf numFmtId="0" fontId="17" fillId="21" borderId="0" xfId="2" applyFont="1" applyFill="1" applyAlignment="1">
      <alignment vertical="center" textRotation="180"/>
    </xf>
    <xf numFmtId="0" fontId="3" fillId="21" borderId="13" xfId="2" applyFill="1" applyBorder="1" applyAlignment="1">
      <alignment horizontal="center" vertical="center"/>
    </xf>
    <xf numFmtId="0" fontId="3" fillId="21" borderId="6" xfId="2" applyFill="1" applyBorder="1" applyAlignment="1">
      <alignment vertical="center" shrinkToFit="1"/>
    </xf>
    <xf numFmtId="0" fontId="3" fillId="21" borderId="6" xfId="2" applyFill="1" applyBorder="1" applyAlignment="1">
      <alignment horizontal="center" vertical="center" shrinkToFit="1"/>
    </xf>
    <xf numFmtId="43" fontId="3" fillId="21" borderId="19" xfId="3" applyFont="1" applyFill="1" applyBorder="1" applyAlignment="1">
      <alignment vertical="center"/>
    </xf>
    <xf numFmtId="43" fontId="3" fillId="21" borderId="16" xfId="3" applyFont="1" applyFill="1" applyBorder="1" applyAlignment="1">
      <alignment vertical="center"/>
    </xf>
    <xf numFmtId="43" fontId="3" fillId="21" borderId="20" xfId="3" applyFont="1" applyFill="1" applyBorder="1" applyAlignment="1">
      <alignment vertical="center"/>
    </xf>
    <xf numFmtId="43" fontId="3" fillId="21" borderId="17" xfId="3" applyFont="1" applyFill="1" applyBorder="1" applyAlignment="1">
      <alignment vertical="center"/>
    </xf>
    <xf numFmtId="43" fontId="3" fillId="21" borderId="6" xfId="3" applyFont="1" applyFill="1" applyBorder="1" applyAlignment="1">
      <alignment vertical="center"/>
    </xf>
    <xf numFmtId="43" fontId="9" fillId="21" borderId="19" xfId="3" applyFont="1" applyFill="1" applyBorder="1" applyAlignment="1">
      <alignment vertical="center"/>
    </xf>
    <xf numFmtId="43" fontId="9" fillId="21" borderId="20" xfId="3" applyFont="1" applyFill="1" applyBorder="1" applyAlignment="1">
      <alignment vertical="center"/>
    </xf>
    <xf numFmtId="0" fontId="3" fillId="21" borderId="24" xfId="2" applyFill="1" applyBorder="1" applyAlignment="1">
      <alignment horizontal="center" vertical="center"/>
    </xf>
    <xf numFmtId="43" fontId="3" fillId="21" borderId="15" xfId="3" applyFont="1" applyFill="1" applyBorder="1" applyAlignment="1">
      <alignment vertical="center"/>
    </xf>
    <xf numFmtId="43" fontId="3" fillId="21" borderId="14" xfId="3" applyFont="1" applyFill="1" applyBorder="1" applyAlignment="1">
      <alignment vertical="center"/>
    </xf>
    <xf numFmtId="0" fontId="3" fillId="21" borderId="0" xfId="2" applyFill="1" applyAlignment="1">
      <alignment vertical="center"/>
    </xf>
    <xf numFmtId="43" fontId="3" fillId="13" borderId="20" xfId="0" applyNumberFormat="1" applyFont="1" applyFill="1" applyBorder="1" applyAlignment="1">
      <alignment vertical="center"/>
    </xf>
    <xf numFmtId="0" fontId="3" fillId="13" borderId="24" xfId="0" applyFont="1" applyFill="1" applyBorder="1" applyAlignment="1">
      <alignment horizontal="center" vertical="center"/>
    </xf>
    <xf numFmtId="0" fontId="17" fillId="22" borderId="0" xfId="0" applyFont="1" applyFill="1" applyAlignment="1">
      <alignment vertical="center" textRotation="180"/>
    </xf>
    <xf numFmtId="0" fontId="3" fillId="22" borderId="6" xfId="0" applyFont="1" applyFill="1" applyBorder="1" applyAlignment="1">
      <alignment horizontal="center" vertical="center"/>
    </xf>
    <xf numFmtId="0" fontId="3" fillId="22" borderId="6" xfId="0" applyFont="1" applyFill="1" applyBorder="1" applyAlignment="1">
      <alignment vertical="center" shrinkToFit="1"/>
    </xf>
    <xf numFmtId="0" fontId="3" fillId="22" borderId="6" xfId="0" applyFont="1" applyFill="1" applyBorder="1" applyAlignment="1">
      <alignment horizontal="center" vertical="center" shrinkToFit="1"/>
    </xf>
    <xf numFmtId="43" fontId="3" fillId="22" borderId="15" xfId="1" applyFont="1" applyFill="1" applyBorder="1" applyAlignment="1">
      <alignment vertical="center"/>
    </xf>
    <xf numFmtId="43" fontId="3" fillId="22" borderId="16" xfId="1" applyFont="1" applyFill="1" applyBorder="1" applyAlignment="1">
      <alignment vertical="center"/>
    </xf>
    <xf numFmtId="43" fontId="3" fillId="22" borderId="20" xfId="1" applyFont="1" applyFill="1" applyBorder="1" applyAlignment="1">
      <alignment vertical="center"/>
    </xf>
    <xf numFmtId="43" fontId="3" fillId="22" borderId="19" xfId="1" applyFont="1" applyFill="1" applyBorder="1" applyAlignment="1">
      <alignment vertical="center"/>
    </xf>
    <xf numFmtId="43" fontId="3" fillId="22" borderId="17" xfId="1" applyFont="1" applyFill="1" applyBorder="1" applyAlignment="1">
      <alignment vertical="center"/>
    </xf>
    <xf numFmtId="43" fontId="3" fillId="22" borderId="6" xfId="1" applyFont="1" applyFill="1" applyBorder="1" applyAlignment="1">
      <alignment vertical="center"/>
    </xf>
    <xf numFmtId="43" fontId="9" fillId="22" borderId="19" xfId="1" applyFont="1" applyFill="1" applyBorder="1" applyAlignment="1">
      <alignment vertical="center"/>
    </xf>
    <xf numFmtId="43" fontId="9" fillId="22" borderId="20" xfId="1" applyFont="1" applyFill="1" applyBorder="1" applyAlignment="1">
      <alignment vertical="center"/>
    </xf>
    <xf numFmtId="0" fontId="3" fillId="22" borderId="24" xfId="0" applyFont="1" applyFill="1" applyBorder="1" applyAlignment="1">
      <alignment horizontal="center" vertical="center"/>
    </xf>
    <xf numFmtId="43" fontId="3" fillId="22" borderId="14" xfId="1" applyFont="1" applyFill="1" applyBorder="1" applyAlignment="1">
      <alignment vertical="center"/>
    </xf>
    <xf numFmtId="0" fontId="0" fillId="22" borderId="0" xfId="0" applyFill="1" applyAlignment="1">
      <alignment vertical="center"/>
    </xf>
    <xf numFmtId="43" fontId="3" fillId="22" borderId="30" xfId="1" applyFont="1" applyFill="1" applyBorder="1" applyAlignment="1">
      <alignment vertical="center"/>
    </xf>
    <xf numFmtId="43" fontId="3" fillId="22" borderId="31" xfId="1" applyFont="1" applyFill="1" applyBorder="1" applyAlignment="1">
      <alignment vertical="center"/>
    </xf>
    <xf numFmtId="0" fontId="7" fillId="2" borderId="26" xfId="2" applyFont="1" applyFill="1" applyBorder="1" applyAlignment="1">
      <alignment horizontal="center" vertical="center" wrapText="1"/>
    </xf>
    <xf numFmtId="0" fontId="7" fillId="2" borderId="39" xfId="2" applyFont="1" applyFill="1" applyBorder="1" applyAlignment="1">
      <alignment horizontal="center" vertical="center" wrapText="1"/>
    </xf>
    <xf numFmtId="0" fontId="2" fillId="2" borderId="26" xfId="2" applyFont="1" applyFill="1" applyBorder="1" applyAlignment="1">
      <alignment horizontal="center" vertical="center" wrapText="1"/>
    </xf>
    <xf numFmtId="0" fontId="2" fillId="2" borderId="39" xfId="2" applyFont="1" applyFill="1" applyBorder="1" applyAlignment="1">
      <alignment horizontal="center" vertical="center" wrapText="1"/>
    </xf>
    <xf numFmtId="0" fontId="24" fillId="2" borderId="26" xfId="2" applyFont="1" applyFill="1" applyBorder="1" applyAlignment="1">
      <alignment horizontal="center" vertical="center" wrapText="1"/>
    </xf>
    <xf numFmtId="0" fontId="24" fillId="2" borderId="39" xfId="2" applyFont="1" applyFill="1" applyBorder="1" applyAlignment="1">
      <alignment horizontal="center" vertical="center" wrapText="1"/>
    </xf>
    <xf numFmtId="0" fontId="24" fillId="0" borderId="22" xfId="2" applyFont="1" applyBorder="1" applyAlignment="1">
      <alignment horizontal="center" vertical="center" wrapText="1"/>
    </xf>
    <xf numFmtId="0" fontId="24" fillId="0" borderId="63" xfId="2" applyFont="1" applyBorder="1" applyAlignment="1">
      <alignment horizontal="center" vertical="center" wrapText="1"/>
    </xf>
    <xf numFmtId="0" fontId="7" fillId="2" borderId="25" xfId="2" applyFont="1" applyFill="1" applyBorder="1" applyAlignment="1">
      <alignment horizontal="center" vertical="center" wrapText="1"/>
    </xf>
    <xf numFmtId="0" fontId="7" fillId="2" borderId="38" xfId="2" applyFont="1" applyFill="1" applyBorder="1" applyAlignment="1">
      <alignment horizontal="center" vertical="center" wrapText="1"/>
    </xf>
    <xf numFmtId="0" fontId="7" fillId="2" borderId="27" xfId="2" applyFont="1" applyFill="1" applyBorder="1" applyAlignment="1">
      <alignment horizontal="center" vertical="center" wrapText="1"/>
    </xf>
    <xf numFmtId="0" fontId="7" fillId="2" borderId="46" xfId="2" applyFont="1" applyFill="1" applyBorder="1" applyAlignment="1">
      <alignment horizontal="center" vertical="center" wrapText="1"/>
    </xf>
    <xf numFmtId="0" fontId="3" fillId="0" borderId="51" xfId="2" applyBorder="1" applyAlignment="1">
      <alignment horizontal="center" vertical="center" wrapText="1"/>
    </xf>
    <xf numFmtId="0" fontId="25" fillId="2" borderId="26" xfId="2" applyFont="1" applyFill="1" applyBorder="1" applyAlignment="1">
      <alignment horizontal="center" vertical="center" wrapText="1"/>
    </xf>
    <xf numFmtId="0" fontId="25" fillId="2" borderId="39" xfId="2" applyFont="1" applyFill="1" applyBorder="1" applyAlignment="1">
      <alignment horizontal="center" vertical="center" wrapText="1"/>
    </xf>
    <xf numFmtId="0" fontId="2" fillId="0" borderId="55" xfId="2" applyFont="1" applyBorder="1" applyAlignment="1">
      <alignment horizontal="center" vertical="center" wrapText="1"/>
    </xf>
    <xf numFmtId="0" fontId="2" fillId="0" borderId="61" xfId="2" applyFont="1" applyBorder="1" applyAlignment="1">
      <alignment horizontal="center" vertical="center" wrapText="1"/>
    </xf>
    <xf numFmtId="0" fontId="24" fillId="2" borderId="25" xfId="2" applyFont="1" applyFill="1" applyBorder="1" applyAlignment="1">
      <alignment horizontal="center" vertical="center" wrapText="1"/>
    </xf>
    <xf numFmtId="0" fontId="24" fillId="2" borderId="38" xfId="2" applyFont="1" applyFill="1" applyBorder="1" applyAlignment="1">
      <alignment horizontal="center" vertical="center" wrapText="1"/>
    </xf>
    <xf numFmtId="0" fontId="24" fillId="2" borderId="27" xfId="2" applyFont="1" applyFill="1" applyBorder="1" applyAlignment="1">
      <alignment horizontal="center" vertical="center" wrapText="1"/>
    </xf>
    <xf numFmtId="0" fontId="24" fillId="2" borderId="46" xfId="2" applyFont="1" applyFill="1" applyBorder="1" applyAlignment="1">
      <alignment horizontal="center" vertical="center" wrapText="1"/>
    </xf>
    <xf numFmtId="0" fontId="1" fillId="0" borderId="50" xfId="2" applyFont="1" applyBorder="1" applyAlignment="1">
      <alignment horizontal="center" vertical="center"/>
    </xf>
    <xf numFmtId="0" fontId="10" fillId="0" borderId="68" xfId="2" applyFont="1" applyBorder="1" applyAlignment="1">
      <alignment horizontal="center" vertical="center"/>
    </xf>
    <xf numFmtId="0" fontId="10" fillId="0" borderId="69" xfId="2" applyFont="1" applyBorder="1" applyAlignment="1">
      <alignment horizontal="center" vertical="center"/>
    </xf>
    <xf numFmtId="0" fontId="10" fillId="0" borderId="49" xfId="2" applyFont="1" applyBorder="1" applyAlignment="1">
      <alignment horizontal="center" vertical="center"/>
    </xf>
    <xf numFmtId="0" fontId="23" fillId="0" borderId="66" xfId="2" applyFont="1" applyBorder="1" applyAlignment="1">
      <alignment horizontal="center" vertical="center" wrapText="1"/>
    </xf>
    <xf numFmtId="0" fontId="23" fillId="0" borderId="67" xfId="2" applyFont="1" applyBorder="1" applyAlignment="1">
      <alignment horizontal="center" vertical="center" wrapText="1"/>
    </xf>
    <xf numFmtId="0" fontId="23" fillId="0" borderId="53" xfId="2" applyFont="1" applyBorder="1" applyAlignment="1">
      <alignment horizontal="center" vertical="center" wrapText="1"/>
    </xf>
    <xf numFmtId="0" fontId="3" fillId="0" borderId="0" xfId="2" applyAlignment="1">
      <alignment horizontal="left" vertical="center"/>
    </xf>
    <xf numFmtId="0" fontId="10" fillId="0" borderId="66" xfId="2" applyFont="1" applyBorder="1" applyAlignment="1">
      <alignment horizontal="center" vertical="center" wrapText="1"/>
    </xf>
    <xf numFmtId="0" fontId="10" fillId="0" borderId="67" xfId="2" applyFont="1" applyBorder="1" applyAlignment="1">
      <alignment horizontal="center" vertical="center" wrapText="1"/>
    </xf>
    <xf numFmtId="0" fontId="10" fillId="0" borderId="53" xfId="2" applyFont="1" applyBorder="1" applyAlignment="1">
      <alignment horizontal="center" vertical="center" wrapText="1"/>
    </xf>
    <xf numFmtId="0" fontId="7" fillId="0" borderId="25" xfId="2" applyFont="1" applyBorder="1" applyAlignment="1">
      <alignment horizontal="center" vertical="center" wrapText="1"/>
    </xf>
    <xf numFmtId="0" fontId="7" fillId="0" borderId="38" xfId="2" applyFont="1" applyBorder="1" applyAlignment="1">
      <alignment horizontal="center" vertical="center" wrapText="1"/>
    </xf>
    <xf numFmtId="0" fontId="7" fillId="2" borderId="26" xfId="2" applyFont="1" applyFill="1" applyBorder="1" applyAlignment="1">
      <alignment horizontal="center" vertical="center"/>
    </xf>
    <xf numFmtId="0" fontId="7" fillId="2" borderId="39" xfId="2" applyFont="1" applyFill="1" applyBorder="1" applyAlignment="1">
      <alignment horizontal="center" vertical="center"/>
    </xf>
    <xf numFmtId="0" fontId="2" fillId="0" borderId="56" xfId="2" applyFont="1" applyBorder="1" applyAlignment="1">
      <alignment horizontal="center" vertical="center" wrapText="1"/>
    </xf>
    <xf numFmtId="0" fontId="2" fillId="0" borderId="42" xfId="2" applyFont="1" applyBorder="1" applyAlignment="1">
      <alignment horizontal="center" vertical="center" wrapText="1"/>
    </xf>
    <xf numFmtId="0" fontId="10" fillId="0" borderId="66" xfId="2" applyFont="1" applyBorder="1" applyAlignment="1">
      <alignment horizontal="center" vertical="center"/>
    </xf>
    <xf numFmtId="0" fontId="10" fillId="0" borderId="67" xfId="2" applyFont="1" applyBorder="1" applyAlignment="1">
      <alignment horizontal="center" vertical="center"/>
    </xf>
    <xf numFmtId="0" fontId="15" fillId="0" borderId="0" xfId="2" applyFont="1" applyAlignment="1">
      <alignment horizontal="center" vertical="center"/>
    </xf>
    <xf numFmtId="0" fontId="16" fillId="0" borderId="0" xfId="2" applyFont="1" applyAlignment="1">
      <alignment horizontal="center" vertical="center"/>
    </xf>
    <xf numFmtId="0" fontId="20" fillId="0" borderId="0" xfId="2" applyFont="1" applyAlignment="1">
      <alignment horizontal="center" vertical="center"/>
    </xf>
    <xf numFmtId="0" fontId="16" fillId="0" borderId="0" xfId="2" quotePrefix="1" applyFont="1" applyAlignment="1">
      <alignment horizontal="center" vertical="center"/>
    </xf>
    <xf numFmtId="0" fontId="18" fillId="0" borderId="0" xfId="2" applyFont="1" applyAlignment="1">
      <alignment horizontal="center" vertical="center" wrapText="1"/>
    </xf>
    <xf numFmtId="0" fontId="21" fillId="0" borderId="0" xfId="2" applyFont="1" applyAlignment="1">
      <alignment horizontal="center" vertical="center"/>
    </xf>
    <xf numFmtId="0" fontId="22" fillId="0" borderId="0" xfId="2" applyFont="1" applyAlignment="1">
      <alignment horizontal="center" vertical="center"/>
    </xf>
    <xf numFmtId="0" fontId="9" fillId="0" borderId="0" xfId="2" applyFont="1" applyAlignment="1">
      <alignment horizontal="right" vertical="center"/>
    </xf>
    <xf numFmtId="0" fontId="16" fillId="0" borderId="50" xfId="2" applyFont="1" applyBorder="1" applyAlignment="1">
      <alignment horizontal="center" vertical="center"/>
    </xf>
    <xf numFmtId="0" fontId="7" fillId="0" borderId="51" xfId="2" applyFont="1" applyBorder="1" applyAlignment="1">
      <alignment horizontal="center" wrapText="1"/>
    </xf>
    <xf numFmtId="0" fontId="7" fillId="0" borderId="2" xfId="2" applyFont="1" applyBorder="1" applyAlignment="1">
      <alignment horizontal="center" wrapText="1"/>
    </xf>
    <xf numFmtId="0" fontId="7" fillId="0" borderId="0" xfId="2" applyFont="1" applyAlignment="1">
      <alignment horizontal="center" vertical="top" wrapText="1"/>
    </xf>
    <xf numFmtId="0" fontId="7" fillId="0" borderId="2" xfId="2" applyFont="1" applyBorder="1" applyAlignment="1">
      <alignment horizontal="center" vertical="top" wrapText="1"/>
    </xf>
    <xf numFmtId="0" fontId="7" fillId="0" borderId="51" xfId="2" applyFont="1" applyBorder="1" applyAlignment="1">
      <alignment horizontal="center" vertical="top" wrapText="1"/>
    </xf>
    <xf numFmtId="0" fontId="7" fillId="0" borderId="51" xfId="2" applyFont="1" applyBorder="1" applyAlignment="1">
      <alignment horizontal="center"/>
    </xf>
    <xf numFmtId="0" fontId="6" fillId="0" borderId="8" xfId="2" applyFont="1" applyBorder="1" applyAlignment="1">
      <alignment horizontal="right" textRotation="180"/>
    </xf>
    <xf numFmtId="0" fontId="6" fillId="0" borderId="0" xfId="2" applyFont="1" applyAlignment="1">
      <alignment horizontal="right" textRotation="180"/>
    </xf>
    <xf numFmtId="0" fontId="7" fillId="0" borderId="52" xfId="2" applyFont="1" applyBorder="1" applyAlignment="1">
      <alignment horizontal="left" vertical="top" wrapText="1"/>
    </xf>
    <xf numFmtId="0" fontId="7" fillId="0" borderId="12" xfId="2" applyFont="1" applyBorder="1" applyAlignment="1">
      <alignment horizontal="left" vertical="top" wrapText="1"/>
    </xf>
    <xf numFmtId="0" fontId="7" fillId="0" borderId="0" xfId="2" applyFont="1" applyAlignment="1">
      <alignment horizontal="left" vertical="top" wrapText="1"/>
    </xf>
    <xf numFmtId="0" fontId="7" fillId="0" borderId="9" xfId="2" applyFont="1" applyBorder="1" applyAlignment="1">
      <alignment horizontal="left" vertical="top" wrapText="1"/>
    </xf>
    <xf numFmtId="0" fontId="3" fillId="0" borderId="52" xfId="2" applyBorder="1" applyAlignment="1">
      <alignment horizontal="left" vertical="top" wrapText="1"/>
    </xf>
    <xf numFmtId="0" fontId="3" fillId="0" borderId="12" xfId="2" applyBorder="1" applyAlignment="1">
      <alignment horizontal="left" vertical="top" wrapText="1"/>
    </xf>
    <xf numFmtId="0" fontId="3" fillId="0" borderId="0" xfId="2" applyAlignment="1">
      <alignment horizontal="left" vertical="top" wrapText="1"/>
    </xf>
    <xf numFmtId="0" fontId="3" fillId="0" borderId="9" xfId="2" applyBorder="1" applyAlignment="1">
      <alignment horizontal="left" vertical="top" wrapText="1"/>
    </xf>
    <xf numFmtId="0" fontId="3" fillId="0" borderId="13" xfId="2" applyBorder="1" applyAlignment="1">
      <alignment horizontal="center"/>
    </xf>
    <xf numFmtId="0" fontId="3" fillId="0" borderId="20" xfId="2" applyBorder="1" applyAlignment="1">
      <alignment horizontal="center"/>
    </xf>
    <xf numFmtId="0" fontId="3" fillId="0" borderId="62" xfId="2" applyBorder="1" applyAlignment="1">
      <alignment horizontal="center"/>
    </xf>
    <xf numFmtId="0" fontId="3" fillId="0" borderId="37" xfId="2" applyBorder="1" applyAlignment="1">
      <alignment horizontal="center"/>
    </xf>
    <xf numFmtId="0" fontId="7" fillId="0" borderId="54" xfId="2" applyFont="1" applyBorder="1" applyAlignment="1">
      <alignment horizontal="left" vertical="center"/>
    </xf>
    <xf numFmtId="0" fontId="7" fillId="0" borderId="52" xfId="2" applyFont="1" applyBorder="1" applyAlignment="1">
      <alignment horizontal="left" vertical="center"/>
    </xf>
    <xf numFmtId="0" fontId="7" fillId="0" borderId="12" xfId="2" applyFont="1" applyBorder="1" applyAlignment="1">
      <alignment horizontal="left" vertical="center"/>
    </xf>
    <xf numFmtId="0" fontId="10" fillId="0" borderId="8" xfId="2" applyFont="1" applyBorder="1" applyAlignment="1">
      <alignment horizontal="left" vertical="center"/>
    </xf>
    <xf numFmtId="0" fontId="10" fillId="0" borderId="0" xfId="2" applyFont="1" applyAlignment="1">
      <alignment horizontal="left" vertical="center"/>
    </xf>
    <xf numFmtId="0" fontId="10" fillId="0" borderId="9" xfId="2" applyFont="1" applyBorder="1" applyAlignment="1">
      <alignment horizontal="left" vertical="center"/>
    </xf>
    <xf numFmtId="0" fontId="28" fillId="0" borderId="0" xfId="2" applyFont="1" applyAlignment="1">
      <alignment horizontal="center" vertical="center"/>
    </xf>
    <xf numFmtId="0" fontId="28" fillId="0" borderId="9" xfId="2" applyFont="1" applyBorder="1" applyAlignment="1">
      <alignment horizontal="center" vertical="center"/>
    </xf>
    <xf numFmtId="0" fontId="3" fillId="0" borderId="21" xfId="2" applyBorder="1" applyAlignment="1">
      <alignment horizontal="center"/>
    </xf>
    <xf numFmtId="0" fontId="3" fillId="0" borderId="22" xfId="2" applyBorder="1" applyAlignment="1">
      <alignment horizontal="center"/>
    </xf>
    <xf numFmtId="0" fontId="7" fillId="0" borderId="26" xfId="2" applyFont="1" applyBorder="1" applyAlignment="1">
      <alignment horizontal="center"/>
    </xf>
    <xf numFmtId="0" fontId="7" fillId="0" borderId="39" xfId="2" applyFont="1" applyBorder="1" applyAlignment="1">
      <alignment horizontal="center"/>
    </xf>
    <xf numFmtId="0" fontId="7" fillId="0" borderId="56" xfId="2" applyFont="1" applyBorder="1" applyAlignment="1">
      <alignment horizontal="center" vertical="center" wrapText="1"/>
    </xf>
    <xf numFmtId="0" fontId="7" fillId="0" borderId="42" xfId="2" applyFont="1" applyBorder="1" applyAlignment="1">
      <alignment horizontal="center" vertical="center" wrapText="1"/>
    </xf>
    <xf numFmtId="0" fontId="7" fillId="0" borderId="25" xfId="2" applyFont="1" applyBorder="1" applyAlignment="1">
      <alignment horizontal="center"/>
    </xf>
    <xf numFmtId="0" fontId="7" fillId="0" borderId="38" xfId="2" applyFont="1" applyBorder="1" applyAlignment="1">
      <alignment horizontal="center"/>
    </xf>
    <xf numFmtId="0" fontId="7" fillId="0" borderId="55" xfId="2" applyFont="1" applyBorder="1" applyAlignment="1">
      <alignment horizontal="center" vertical="center" wrapText="1"/>
    </xf>
    <xf numFmtId="0" fontId="7" fillId="0" borderId="61" xfId="2" applyFont="1" applyBorder="1" applyAlignment="1">
      <alignment horizontal="center" vertical="center" wrapText="1"/>
    </xf>
    <xf numFmtId="0" fontId="17" fillId="0" borderId="0" xfId="2" applyFont="1" applyAlignment="1">
      <alignment horizontal="left" vertical="center" textRotation="180"/>
    </xf>
    <xf numFmtId="0" fontId="15" fillId="0" borderId="0" xfId="2" applyFont="1" applyAlignment="1">
      <alignment horizontal="center" vertical="top"/>
    </xf>
    <xf numFmtId="0" fontId="16" fillId="0" borderId="0" xfId="2" applyFont="1" applyAlignment="1">
      <alignment horizontal="center"/>
    </xf>
    <xf numFmtId="0" fontId="7" fillId="0" borderId="0" xfId="2" applyFont="1" applyAlignment="1">
      <alignment horizontal="left"/>
    </xf>
    <xf numFmtId="0" fontId="10" fillId="0" borderId="68" xfId="2" applyFont="1" applyBorder="1" applyAlignment="1">
      <alignment horizontal="center"/>
    </xf>
    <xf numFmtId="0" fontId="10" fillId="0" borderId="69" xfId="2" applyFont="1" applyBorder="1" applyAlignment="1">
      <alignment horizontal="center"/>
    </xf>
    <xf numFmtId="0" fontId="10" fillId="0" borderId="49" xfId="2" applyFont="1" applyBorder="1" applyAlignment="1">
      <alignment horizontal="center"/>
    </xf>
    <xf numFmtId="0" fontId="10" fillId="0" borderId="54" xfId="2" applyFont="1" applyBorder="1" applyAlignment="1">
      <alignment horizontal="center" vertical="center" wrapText="1"/>
    </xf>
    <xf numFmtId="0" fontId="10" fillId="0" borderId="12" xfId="2" applyFont="1" applyBorder="1" applyAlignment="1">
      <alignment horizontal="center" vertical="center" wrapText="1"/>
    </xf>
    <xf numFmtId="0" fontId="10" fillId="0" borderId="8" xfId="2" applyFont="1" applyBorder="1" applyAlignment="1">
      <alignment horizontal="center" vertical="center" wrapText="1"/>
    </xf>
    <xf numFmtId="0" fontId="10" fillId="0" borderId="9" xfId="2" applyFont="1" applyBorder="1" applyAlignment="1">
      <alignment horizontal="center" vertical="center" wrapText="1"/>
    </xf>
    <xf numFmtId="0" fontId="10" fillId="0" borderId="10" xfId="2" applyFont="1" applyBorder="1" applyAlignment="1">
      <alignment horizontal="center" vertical="center" wrapText="1"/>
    </xf>
    <xf numFmtId="0" fontId="10" fillId="0" borderId="11" xfId="2" applyFont="1" applyBorder="1" applyAlignment="1">
      <alignment horizontal="center" vertical="center" wrapText="1"/>
    </xf>
    <xf numFmtId="0" fontId="9" fillId="0" borderId="70" xfId="0" applyFont="1" applyBorder="1" applyAlignment="1">
      <alignment horizontal="center" vertical="center"/>
    </xf>
    <xf numFmtId="0" fontId="9" fillId="0" borderId="22" xfId="0" applyFont="1" applyBorder="1" applyAlignment="1">
      <alignment horizontal="center" vertical="center" wrapText="1"/>
    </xf>
    <xf numFmtId="0" fontId="9" fillId="0" borderId="20" xfId="0" applyFont="1" applyBorder="1" applyAlignment="1">
      <alignment horizontal="center" vertical="center" wrapText="1"/>
    </xf>
    <xf numFmtId="0" fontId="9" fillId="0" borderId="63" xfId="0" applyFont="1" applyBorder="1" applyAlignment="1">
      <alignment horizontal="center" vertical="center" wrapText="1"/>
    </xf>
    <xf numFmtId="0" fontId="9" fillId="7" borderId="18" xfId="0" applyFont="1" applyFill="1" applyBorder="1" applyAlignment="1">
      <alignment horizontal="center" vertical="center"/>
    </xf>
    <xf numFmtId="0" fontId="9" fillId="7" borderId="4" xfId="0" applyFont="1" applyFill="1" applyBorder="1" applyAlignment="1">
      <alignment horizontal="center" vertical="center"/>
    </xf>
    <xf numFmtId="0" fontId="9" fillId="7" borderId="5" xfId="0" applyFont="1" applyFill="1" applyBorder="1" applyAlignment="1">
      <alignment horizontal="center" vertical="center" shrinkToFit="1"/>
    </xf>
    <xf numFmtId="0" fontId="9" fillId="7" borderId="61" xfId="0" applyFont="1" applyFill="1" applyBorder="1" applyAlignment="1">
      <alignment horizontal="center" vertical="center" shrinkToFit="1"/>
    </xf>
    <xf numFmtId="0" fontId="9" fillId="8" borderId="43" xfId="0" applyFont="1" applyFill="1" applyBorder="1" applyAlignment="1">
      <alignment horizontal="center" vertical="center"/>
    </xf>
    <xf numFmtId="0" fontId="9" fillId="8" borderId="4" xfId="0" applyFont="1" applyFill="1" applyBorder="1" applyAlignment="1">
      <alignment horizontal="center" vertical="center"/>
    </xf>
    <xf numFmtId="0" fontId="10" fillId="9" borderId="68" xfId="0" applyFont="1" applyFill="1" applyBorder="1" applyAlignment="1">
      <alignment horizontal="center" vertical="center" wrapText="1"/>
    </xf>
    <xf numFmtId="0" fontId="10" fillId="9" borderId="69" xfId="0" applyFont="1" applyFill="1" applyBorder="1" applyAlignment="1">
      <alignment horizontal="center" vertical="center" wrapText="1"/>
    </xf>
    <xf numFmtId="0" fontId="10" fillId="9" borderId="49" xfId="0" applyFont="1" applyFill="1" applyBorder="1" applyAlignment="1">
      <alignment horizontal="center" vertical="center" wrapText="1"/>
    </xf>
    <xf numFmtId="0" fontId="9" fillId="6" borderId="4" xfId="0" applyFont="1" applyFill="1" applyBorder="1" applyAlignment="1">
      <alignment horizontal="center" vertical="center"/>
    </xf>
    <xf numFmtId="0" fontId="9" fillId="6" borderId="47" xfId="0" applyFont="1" applyFill="1" applyBorder="1" applyAlignment="1">
      <alignment horizontal="center" vertical="center" shrinkToFit="1"/>
    </xf>
    <xf numFmtId="0" fontId="9" fillId="6" borderId="42" xfId="0" applyFont="1" applyFill="1" applyBorder="1" applyAlignment="1">
      <alignment horizontal="center" vertical="center" shrinkToFit="1"/>
    </xf>
    <xf numFmtId="0" fontId="9" fillId="6" borderId="43" xfId="0" applyFont="1" applyFill="1" applyBorder="1" applyAlignment="1">
      <alignment horizontal="center" vertical="center"/>
    </xf>
    <xf numFmtId="0" fontId="9" fillId="5" borderId="18" xfId="0" applyFont="1" applyFill="1" applyBorder="1" applyAlignment="1">
      <alignment horizontal="center" vertical="center"/>
    </xf>
    <xf numFmtId="0" fontId="9" fillId="5" borderId="4" xfId="0" applyFont="1" applyFill="1" applyBorder="1" applyAlignment="1">
      <alignment horizontal="center" vertical="center"/>
    </xf>
    <xf numFmtId="0" fontId="9" fillId="5" borderId="5" xfId="0" applyFont="1" applyFill="1" applyBorder="1" applyAlignment="1">
      <alignment horizontal="center" vertical="center"/>
    </xf>
    <xf numFmtId="0" fontId="10" fillId="0" borderId="66" xfId="0" applyFont="1" applyBorder="1" applyAlignment="1">
      <alignment horizontal="center" vertical="center"/>
    </xf>
    <xf numFmtId="0" fontId="10" fillId="0" borderId="67" xfId="0" applyFont="1" applyBorder="1" applyAlignment="1">
      <alignment horizontal="center" vertical="center"/>
    </xf>
    <xf numFmtId="0" fontId="10" fillId="0" borderId="53" xfId="0" applyFont="1" applyBorder="1" applyAlignment="1">
      <alignment horizontal="center" vertical="center"/>
    </xf>
    <xf numFmtId="0" fontId="10" fillId="3" borderId="66" xfId="0" applyFont="1" applyFill="1" applyBorder="1" applyAlignment="1">
      <alignment horizontal="center" vertical="center" wrapText="1"/>
    </xf>
    <xf numFmtId="0" fontId="10" fillId="3" borderId="67" xfId="0" applyFont="1" applyFill="1" applyBorder="1" applyAlignment="1">
      <alignment horizontal="center" vertical="center" wrapText="1"/>
    </xf>
    <xf numFmtId="0" fontId="10" fillId="3" borderId="53" xfId="0" applyFont="1" applyFill="1" applyBorder="1" applyAlignment="1">
      <alignment horizontal="center" vertical="center" wrapText="1"/>
    </xf>
    <xf numFmtId="0" fontId="9" fillId="8" borderId="47" xfId="0" applyFont="1" applyFill="1" applyBorder="1" applyAlignment="1">
      <alignment horizontal="center" vertical="center" shrinkToFit="1"/>
    </xf>
    <xf numFmtId="0" fontId="9" fillId="8" borderId="42" xfId="0" applyFont="1" applyFill="1" applyBorder="1" applyAlignment="1">
      <alignment horizontal="center" vertical="center" shrinkToFit="1"/>
    </xf>
    <xf numFmtId="0" fontId="9" fillId="0" borderId="2" xfId="0" applyFont="1" applyBorder="1" applyAlignment="1">
      <alignment horizontal="center" vertical="center"/>
    </xf>
    <xf numFmtId="0" fontId="10" fillId="0" borderId="25" xfId="0" applyFont="1" applyBorder="1" applyAlignment="1">
      <alignment horizontal="center" vertical="center" wrapText="1"/>
    </xf>
    <xf numFmtId="0" fontId="10" fillId="0" borderId="15" xfId="0" applyFont="1" applyBorder="1" applyAlignment="1">
      <alignment horizontal="center" vertical="center" wrapText="1"/>
    </xf>
    <xf numFmtId="0" fontId="10" fillId="0" borderId="38" xfId="0" applyFont="1" applyBorder="1" applyAlignment="1">
      <alignment horizontal="center" vertical="center" wrapText="1"/>
    </xf>
    <xf numFmtId="0" fontId="10" fillId="0" borderId="55" xfId="0" applyFont="1" applyBorder="1" applyAlignment="1">
      <alignment horizontal="center" vertical="center"/>
    </xf>
    <xf numFmtId="0" fontId="10" fillId="0" borderId="17" xfId="0" applyFont="1" applyBorder="1" applyAlignment="1">
      <alignment horizontal="center" vertical="center"/>
    </xf>
    <xf numFmtId="0" fontId="10" fillId="0" borderId="61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0" fontId="10" fillId="0" borderId="6" xfId="0" applyFont="1" applyBorder="1" applyAlignment="1">
      <alignment horizontal="center" vertical="center" wrapText="1"/>
    </xf>
    <xf numFmtId="0" fontId="10" fillId="0" borderId="7" xfId="0" applyFont="1" applyBorder="1" applyAlignment="1">
      <alignment horizontal="center" vertical="center" wrapText="1"/>
    </xf>
    <xf numFmtId="0" fontId="10" fillId="4" borderId="66" xfId="0" applyFont="1" applyFill="1" applyBorder="1" applyAlignment="1">
      <alignment horizontal="center" vertical="center" wrapText="1"/>
    </xf>
    <xf numFmtId="0" fontId="10" fillId="4" borderId="53" xfId="0" applyFont="1" applyFill="1" applyBorder="1" applyAlignment="1">
      <alignment horizontal="center" vertical="center" wrapText="1"/>
    </xf>
    <xf numFmtId="0" fontId="9" fillId="5" borderId="25" xfId="0" applyFont="1" applyFill="1" applyBorder="1" applyAlignment="1">
      <alignment horizontal="center" vertical="center"/>
    </xf>
    <xf numFmtId="0" fontId="9" fillId="5" borderId="26" xfId="0" applyFont="1" applyFill="1" applyBorder="1" applyAlignment="1">
      <alignment horizontal="center" vertical="center"/>
    </xf>
    <xf numFmtId="0" fontId="9" fillId="5" borderId="56" xfId="0" applyFont="1" applyFill="1" applyBorder="1" applyAlignment="1">
      <alignment horizontal="center" vertical="center"/>
    </xf>
    <xf numFmtId="0" fontId="9" fillId="5" borderId="50" xfId="0" applyFont="1" applyFill="1" applyBorder="1" applyAlignment="1">
      <alignment horizontal="center" vertical="center" shrinkToFit="1"/>
    </xf>
    <xf numFmtId="0" fontId="9" fillId="5" borderId="28" xfId="0" applyFont="1" applyFill="1" applyBorder="1" applyAlignment="1">
      <alignment horizontal="center" vertical="center" shrinkToFit="1"/>
    </xf>
    <xf numFmtId="0" fontId="10" fillId="0" borderId="66" xfId="0" applyFont="1" applyBorder="1" applyAlignment="1">
      <alignment horizontal="center" vertical="center" wrapText="1"/>
    </xf>
    <xf numFmtId="0" fontId="10" fillId="0" borderId="67" xfId="0" applyFont="1" applyBorder="1" applyAlignment="1">
      <alignment horizontal="center" vertical="center" wrapText="1"/>
    </xf>
    <xf numFmtId="0" fontId="10" fillId="0" borderId="53" xfId="0" applyFont="1" applyBorder="1" applyAlignment="1">
      <alignment horizontal="center" vertical="center" wrapText="1"/>
    </xf>
    <xf numFmtId="0" fontId="9" fillId="10" borderId="2" xfId="0" applyFont="1" applyFill="1" applyBorder="1" applyAlignment="1">
      <alignment horizontal="center" vertical="center"/>
    </xf>
    <xf numFmtId="0" fontId="10" fillId="3" borderId="66" xfId="0" applyFont="1" applyFill="1" applyBorder="1" applyAlignment="1">
      <alignment horizontal="center" vertical="center"/>
    </xf>
    <xf numFmtId="0" fontId="10" fillId="3" borderId="67" xfId="0" applyFont="1" applyFill="1" applyBorder="1" applyAlignment="1">
      <alignment horizontal="center" vertical="center"/>
    </xf>
    <xf numFmtId="0" fontId="10" fillId="3" borderId="53" xfId="0" applyFont="1" applyFill="1" applyBorder="1" applyAlignment="1">
      <alignment horizontal="center" vertical="center"/>
    </xf>
    <xf numFmtId="0" fontId="10" fillId="3" borderId="54" xfId="0" applyFont="1" applyFill="1" applyBorder="1" applyAlignment="1">
      <alignment horizontal="center" vertical="center" wrapText="1"/>
    </xf>
    <xf numFmtId="0" fontId="10" fillId="3" borderId="52" xfId="0" applyFont="1" applyFill="1" applyBorder="1" applyAlignment="1">
      <alignment horizontal="center" vertical="center" wrapText="1"/>
    </xf>
    <xf numFmtId="0" fontId="10" fillId="3" borderId="12" xfId="0" applyFont="1" applyFill="1" applyBorder="1" applyAlignment="1">
      <alignment horizontal="center" vertical="center" wrapText="1"/>
    </xf>
    <xf numFmtId="0" fontId="10" fillId="3" borderId="10" xfId="0" applyFont="1" applyFill="1" applyBorder="1" applyAlignment="1">
      <alignment horizontal="center" vertical="center" wrapText="1"/>
    </xf>
    <xf numFmtId="0" fontId="10" fillId="3" borderId="2" xfId="0" applyFont="1" applyFill="1" applyBorder="1" applyAlignment="1">
      <alignment horizontal="center" vertical="center" wrapText="1"/>
    </xf>
    <xf numFmtId="0" fontId="10" fillId="3" borderId="11" xfId="0" applyFont="1" applyFill="1" applyBorder="1" applyAlignment="1">
      <alignment horizontal="center" vertical="center" wrapText="1"/>
    </xf>
    <xf numFmtId="0" fontId="10" fillId="3" borderId="54" xfId="0" applyFont="1" applyFill="1" applyBorder="1" applyAlignment="1">
      <alignment horizontal="center" vertical="center"/>
    </xf>
    <xf numFmtId="0" fontId="10" fillId="3" borderId="8" xfId="0" applyFont="1" applyFill="1" applyBorder="1" applyAlignment="1">
      <alignment horizontal="center" vertical="center"/>
    </xf>
    <xf numFmtId="0" fontId="10" fillId="3" borderId="10" xfId="0" applyFont="1" applyFill="1" applyBorder="1" applyAlignment="1">
      <alignment horizontal="center" vertical="center"/>
    </xf>
    <xf numFmtId="0" fontId="3" fillId="0" borderId="52" xfId="0" applyFont="1" applyBorder="1" applyAlignment="1">
      <alignment horizontal="right" vertical="center" wrapText="1"/>
    </xf>
    <xf numFmtId="0" fontId="3" fillId="0" borderId="0" xfId="0" applyFont="1" applyAlignment="1">
      <alignment horizontal="right" vertical="center" wrapText="1"/>
    </xf>
    <xf numFmtId="0" fontId="1" fillId="0" borderId="50" xfId="0" applyFont="1" applyBorder="1" applyAlignment="1">
      <alignment horizontal="center" vertical="center"/>
    </xf>
    <xf numFmtId="0" fontId="7" fillId="0" borderId="50" xfId="0" applyFont="1" applyBorder="1" applyAlignment="1">
      <alignment vertical="center"/>
    </xf>
    <xf numFmtId="0" fontId="1" fillId="0" borderId="59" xfId="0" applyFont="1" applyBorder="1" applyAlignment="1">
      <alignment horizontal="center" vertical="center"/>
    </xf>
    <xf numFmtId="166" fontId="1" fillId="0" borderId="24" xfId="0" applyNumberFormat="1" applyFont="1" applyBorder="1" applyAlignment="1">
      <alignment horizontal="center" vertical="center"/>
    </xf>
    <xf numFmtId="166" fontId="1" fillId="0" borderId="20" xfId="0" applyNumberFormat="1" applyFont="1" applyBorder="1" applyAlignment="1">
      <alignment horizontal="center" vertical="center"/>
    </xf>
    <xf numFmtId="0" fontId="1" fillId="0" borderId="24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3" fillId="0" borderId="51" xfId="0" applyFont="1" applyBorder="1" applyAlignment="1">
      <alignment horizontal="center" vertical="center" wrapText="1"/>
    </xf>
    <xf numFmtId="165" fontId="15" fillId="0" borderId="52" xfId="0" applyNumberFormat="1" applyFont="1" applyBorder="1" applyAlignment="1">
      <alignment horizontal="center" vertical="center" wrapText="1"/>
    </xf>
    <xf numFmtId="165" fontId="15" fillId="0" borderId="12" xfId="0" applyNumberFormat="1" applyFont="1" applyBorder="1" applyAlignment="1">
      <alignment horizontal="center" vertical="center" wrapText="1"/>
    </xf>
    <xf numFmtId="165" fontId="15" fillId="0" borderId="50" xfId="0" applyNumberFormat="1" applyFont="1" applyBorder="1" applyAlignment="1">
      <alignment horizontal="center" vertical="center" wrapText="1"/>
    </xf>
    <xf numFmtId="165" fontId="15" fillId="0" borderId="59" xfId="0" applyNumberFormat="1" applyFont="1" applyBorder="1" applyAlignment="1">
      <alignment horizontal="center" vertical="center" wrapText="1"/>
    </xf>
    <xf numFmtId="0" fontId="16" fillId="0" borderId="50" xfId="0" applyFont="1" applyBorder="1" applyAlignment="1">
      <alignment horizontal="center" vertical="center"/>
    </xf>
    <xf numFmtId="0" fontId="10" fillId="0" borderId="69" xfId="0" applyFont="1" applyBorder="1" applyAlignment="1">
      <alignment horizontal="center" vertical="center"/>
    </xf>
    <xf numFmtId="0" fontId="10" fillId="0" borderId="49" xfId="0" applyFont="1" applyBorder="1" applyAlignment="1">
      <alignment horizontal="center" vertical="center"/>
    </xf>
    <xf numFmtId="0" fontId="3" fillId="0" borderId="52" xfId="0" applyFont="1" applyBorder="1" applyAlignment="1">
      <alignment horizontal="left" vertical="center" wrapText="1"/>
    </xf>
    <xf numFmtId="0" fontId="3" fillId="0" borderId="12" xfId="0" applyFont="1" applyBorder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9" xfId="0" applyFont="1" applyBorder="1" applyAlignment="1">
      <alignment horizontal="left" vertical="center" wrapText="1"/>
    </xf>
    <xf numFmtId="166" fontId="10" fillId="0" borderId="50" xfId="0" applyNumberFormat="1" applyFont="1" applyBorder="1" applyAlignment="1">
      <alignment horizontal="center" vertical="center"/>
    </xf>
    <xf numFmtId="0" fontId="3" fillId="0" borderId="51" xfId="0" applyFont="1" applyBorder="1" applyAlignment="1">
      <alignment horizontal="center" vertical="center"/>
    </xf>
    <xf numFmtId="0" fontId="10" fillId="0" borderId="68" xfId="0" applyFont="1" applyBorder="1" applyAlignment="1">
      <alignment horizontal="center" vertical="center"/>
    </xf>
    <xf numFmtId="0" fontId="6" fillId="0" borderId="8" xfId="0" applyFont="1" applyBorder="1" applyAlignment="1">
      <alignment horizontal="right" vertical="center" textRotation="180"/>
    </xf>
    <xf numFmtId="0" fontId="6" fillId="0" borderId="0" xfId="0" applyFont="1" applyAlignment="1">
      <alignment horizontal="right" vertical="center" textRotation="180"/>
    </xf>
    <xf numFmtId="0" fontId="7" fillId="2" borderId="25" xfId="0" applyFont="1" applyFill="1" applyBorder="1" applyAlignment="1">
      <alignment horizontal="center" vertical="center" wrapText="1"/>
    </xf>
    <xf numFmtId="0" fontId="7" fillId="2" borderId="38" xfId="0" applyFont="1" applyFill="1" applyBorder="1" applyAlignment="1">
      <alignment horizontal="center" vertical="center" wrapText="1"/>
    </xf>
    <xf numFmtId="0" fontId="7" fillId="0" borderId="55" xfId="0" applyFont="1" applyBorder="1" applyAlignment="1">
      <alignment horizontal="center" vertical="center" wrapText="1"/>
    </xf>
    <xf numFmtId="0" fontId="7" fillId="0" borderId="61" xfId="0" applyFont="1" applyBorder="1" applyAlignment="1">
      <alignment horizontal="center" vertical="center" wrapText="1"/>
    </xf>
    <xf numFmtId="0" fontId="7" fillId="0" borderId="22" xfId="0" applyFont="1" applyBorder="1" applyAlignment="1">
      <alignment horizontal="center" vertical="center" wrapText="1"/>
    </xf>
    <xf numFmtId="0" fontId="7" fillId="0" borderId="63" xfId="0" applyFont="1" applyBorder="1" applyAlignment="1">
      <alignment horizontal="center" vertical="center" wrapText="1"/>
    </xf>
    <xf numFmtId="0" fontId="7" fillId="0" borderId="74" xfId="0" applyFont="1" applyBorder="1" applyAlignment="1">
      <alignment horizontal="center" vertical="center"/>
    </xf>
    <xf numFmtId="0" fontId="7" fillId="0" borderId="75" xfId="0" applyFont="1" applyBorder="1" applyAlignment="1">
      <alignment horizontal="center" vertical="center"/>
    </xf>
    <xf numFmtId="0" fontId="7" fillId="0" borderId="76" xfId="0" applyFont="1" applyBorder="1" applyAlignment="1">
      <alignment horizontal="center" vertical="center"/>
    </xf>
    <xf numFmtId="0" fontId="7" fillId="0" borderId="77" xfId="0" applyFont="1" applyBorder="1" applyAlignment="1">
      <alignment horizontal="center" vertical="center"/>
    </xf>
    <xf numFmtId="0" fontId="3" fillId="0" borderId="54" xfId="0" applyFont="1" applyBorder="1" applyAlignment="1">
      <alignment horizontal="left" vertical="center" indent="6"/>
    </xf>
    <xf numFmtId="0" fontId="3" fillId="0" borderId="52" xfId="0" applyFont="1" applyBorder="1" applyAlignment="1">
      <alignment horizontal="left" vertical="center" indent="6"/>
    </xf>
    <xf numFmtId="0" fontId="10" fillId="0" borderId="71" xfId="0" applyFont="1" applyBorder="1" applyAlignment="1">
      <alignment horizontal="center" vertical="center" wrapText="1"/>
    </xf>
    <xf numFmtId="0" fontId="10" fillId="0" borderId="72" xfId="0" applyFont="1" applyBorder="1" applyAlignment="1">
      <alignment horizontal="center" vertical="center" wrapText="1"/>
    </xf>
    <xf numFmtId="0" fontId="10" fillId="0" borderId="73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 wrapText="1"/>
    </xf>
    <xf numFmtId="0" fontId="7" fillId="0" borderId="39" xfId="0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0" fontId="10" fillId="0" borderId="9" xfId="0" applyFont="1" applyBorder="1" applyAlignment="1">
      <alignment horizontal="center" vertical="center" wrapText="1"/>
    </xf>
    <xf numFmtId="0" fontId="10" fillId="0" borderId="11" xfId="0" applyFont="1" applyBorder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9" fillId="0" borderId="0" xfId="0" applyFont="1" applyAlignment="1">
      <alignment horizontal="right" vertical="center"/>
    </xf>
    <xf numFmtId="0" fontId="16" fillId="0" borderId="0" xfId="0" quotePrefix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65" fontId="29" fillId="0" borderId="0" xfId="0" applyNumberFormat="1" applyFont="1" applyAlignment="1">
      <alignment horizontal="center" vertical="center"/>
    </xf>
    <xf numFmtId="165" fontId="29" fillId="0" borderId="9" xfId="0" applyNumberFormat="1" applyFont="1" applyBorder="1" applyAlignment="1">
      <alignment horizontal="center" vertical="center"/>
    </xf>
    <xf numFmtId="0" fontId="30" fillId="0" borderId="8" xfId="0" applyFont="1" applyBorder="1" applyAlignment="1">
      <alignment horizontal="center" vertical="center" shrinkToFit="1"/>
    </xf>
    <xf numFmtId="0" fontId="30" fillId="0" borderId="0" xfId="0" applyFont="1" applyAlignment="1">
      <alignment horizontal="center" vertical="center" shrinkToFit="1"/>
    </xf>
    <xf numFmtId="0" fontId="3" fillId="0" borderId="0" xfId="0" applyFont="1" applyAlignment="1">
      <alignment horizontal="left" vertical="center"/>
    </xf>
    <xf numFmtId="0" fontId="7" fillId="0" borderId="27" xfId="0" applyFont="1" applyBorder="1" applyAlignment="1">
      <alignment horizontal="center" vertical="center" wrapText="1"/>
    </xf>
    <xf numFmtId="0" fontId="7" fillId="0" borderId="46" xfId="0" applyFont="1" applyBorder="1" applyAlignment="1">
      <alignment horizontal="center" vertical="center" wrapText="1"/>
    </xf>
    <xf numFmtId="0" fontId="10" fillId="0" borderId="52" xfId="0" applyFont="1" applyBorder="1" applyAlignment="1">
      <alignment horizontal="center" vertical="center"/>
    </xf>
    <xf numFmtId="0" fontId="10" fillId="0" borderId="12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7" fillId="0" borderId="2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2" fillId="0" borderId="76" xfId="0" applyFont="1" applyBorder="1" applyAlignment="1">
      <alignment horizontal="center" vertical="center" wrapText="1"/>
    </xf>
    <xf numFmtId="0" fontId="2" fillId="0" borderId="77" xfId="0" applyFont="1" applyBorder="1" applyAlignment="1">
      <alignment horizontal="center" vertical="center" wrapText="1"/>
    </xf>
    <xf numFmtId="0" fontId="7" fillId="0" borderId="78" xfId="0" applyFont="1" applyBorder="1" applyAlignment="1">
      <alignment horizontal="center" vertical="center"/>
    </xf>
    <xf numFmtId="0" fontId="7" fillId="0" borderId="79" xfId="0" applyFont="1" applyBorder="1" applyAlignment="1">
      <alignment horizontal="center" vertical="center"/>
    </xf>
    <xf numFmtId="0" fontId="7" fillId="2" borderId="26" xfId="0" applyFont="1" applyFill="1" applyBorder="1" applyAlignment="1">
      <alignment horizontal="center" vertical="center"/>
    </xf>
    <xf numFmtId="0" fontId="7" fillId="2" borderId="39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5" fillId="0" borderId="26" xfId="0" applyFont="1" applyBorder="1" applyAlignment="1">
      <alignment horizontal="center" vertical="center" wrapText="1"/>
    </xf>
    <xf numFmtId="0" fontId="25" fillId="0" borderId="39" xfId="0" applyFont="1" applyBorder="1" applyAlignment="1">
      <alignment horizontal="center" vertical="center" wrapText="1"/>
    </xf>
    <xf numFmtId="0" fontId="2" fillId="2" borderId="26" xfId="0" applyFont="1" applyFill="1" applyBorder="1" applyAlignment="1">
      <alignment horizontal="center" vertical="center" wrapText="1"/>
    </xf>
    <xf numFmtId="0" fontId="2" fillId="2" borderId="39" xfId="0" applyFont="1" applyFill="1" applyBorder="1" applyAlignment="1">
      <alignment horizontal="center" vertical="center" wrapText="1"/>
    </xf>
    <xf numFmtId="0" fontId="24" fillId="2" borderId="26" xfId="0" applyFont="1" applyFill="1" applyBorder="1" applyAlignment="1">
      <alignment horizontal="center" vertical="center" wrapText="1"/>
    </xf>
    <xf numFmtId="0" fontId="24" fillId="2" borderId="39" xfId="0" applyFont="1" applyFill="1" applyBorder="1" applyAlignment="1">
      <alignment horizontal="center" vertical="center" wrapText="1"/>
    </xf>
    <xf numFmtId="0" fontId="7" fillId="2" borderId="26" xfId="0" applyFont="1" applyFill="1" applyBorder="1" applyAlignment="1">
      <alignment horizontal="center" vertical="center" wrapText="1"/>
    </xf>
    <xf numFmtId="0" fontId="7" fillId="2" borderId="39" xfId="0" applyFont="1" applyFill="1" applyBorder="1" applyAlignment="1">
      <alignment horizontal="center" vertical="center" wrapText="1"/>
    </xf>
    <xf numFmtId="0" fontId="24" fillId="2" borderId="25" xfId="0" applyFont="1" applyFill="1" applyBorder="1" applyAlignment="1">
      <alignment horizontal="center" vertical="center" wrapText="1"/>
    </xf>
    <xf numFmtId="0" fontId="24" fillId="2" borderId="38" xfId="0" applyFont="1" applyFill="1" applyBorder="1" applyAlignment="1">
      <alignment horizontal="center" vertical="center" wrapText="1"/>
    </xf>
    <xf numFmtId="0" fontId="24" fillId="2" borderId="27" xfId="0" applyFont="1" applyFill="1" applyBorder="1" applyAlignment="1">
      <alignment horizontal="center" vertical="center" wrapText="1"/>
    </xf>
    <xf numFmtId="0" fontId="24" fillId="2" borderId="46" xfId="0" applyFont="1" applyFill="1" applyBorder="1" applyAlignment="1">
      <alignment horizontal="center" vertical="center" wrapText="1"/>
    </xf>
    <xf numFmtId="0" fontId="2" fillId="0" borderId="55" xfId="0" applyFont="1" applyBorder="1" applyAlignment="1">
      <alignment horizontal="center" vertical="center" wrapText="1"/>
    </xf>
    <xf numFmtId="0" fontId="2" fillId="0" borderId="61" xfId="0" applyFont="1" applyBorder="1" applyAlignment="1">
      <alignment horizontal="center" vertical="center" wrapText="1"/>
    </xf>
    <xf numFmtId="0" fontId="23" fillId="0" borderId="66" xfId="0" applyFont="1" applyBorder="1" applyAlignment="1">
      <alignment horizontal="center" vertical="center" wrapText="1"/>
    </xf>
    <xf numFmtId="0" fontId="23" fillId="0" borderId="67" xfId="0" applyFont="1" applyBorder="1" applyAlignment="1">
      <alignment horizontal="center" vertical="center" wrapText="1"/>
    </xf>
    <xf numFmtId="0" fontId="23" fillId="0" borderId="53" xfId="0" applyFont="1" applyBorder="1" applyAlignment="1">
      <alignment horizontal="center" vertical="center" wrapText="1"/>
    </xf>
    <xf numFmtId="0" fontId="25" fillId="2" borderId="26" xfId="0" applyFont="1" applyFill="1" applyBorder="1" applyAlignment="1">
      <alignment horizontal="center" vertical="center" wrapText="1"/>
    </xf>
    <xf numFmtId="0" fontId="25" fillId="2" borderId="39" xfId="0" applyFont="1" applyFill="1" applyBorder="1" applyAlignment="1">
      <alignment horizontal="center" vertical="center" wrapText="1"/>
    </xf>
    <xf numFmtId="0" fontId="24" fillId="0" borderId="22" xfId="0" applyFont="1" applyBorder="1" applyAlignment="1">
      <alignment horizontal="center" vertical="center" wrapText="1"/>
    </xf>
    <xf numFmtId="0" fontId="24" fillId="0" borderId="63" xfId="0" applyFont="1" applyBorder="1" applyAlignment="1">
      <alignment horizontal="center" vertical="center" wrapText="1"/>
    </xf>
    <xf numFmtId="0" fontId="7" fillId="0" borderId="25" xfId="0" applyFont="1" applyBorder="1" applyAlignment="1">
      <alignment horizontal="center" vertical="center" wrapText="1"/>
    </xf>
    <xf numFmtId="0" fontId="7" fillId="0" borderId="38" xfId="0" applyFont="1" applyBorder="1" applyAlignment="1">
      <alignment horizontal="center" vertical="center" wrapText="1"/>
    </xf>
    <xf numFmtId="0" fontId="7" fillId="2" borderId="27" xfId="0" applyFont="1" applyFill="1" applyBorder="1" applyAlignment="1">
      <alignment horizontal="center" vertical="center" wrapText="1"/>
    </xf>
    <xf numFmtId="0" fontId="7" fillId="2" borderId="46" xfId="0" applyFont="1" applyFill="1" applyBorder="1" applyAlignment="1">
      <alignment horizontal="center" vertical="center" wrapText="1"/>
    </xf>
    <xf numFmtId="0" fontId="2" fillId="0" borderId="56" xfId="0" applyFont="1" applyBorder="1" applyAlignment="1">
      <alignment horizontal="center" vertical="center" wrapText="1"/>
    </xf>
    <xf numFmtId="0" fontId="2" fillId="0" borderId="42" xfId="0" applyFont="1" applyBorder="1" applyAlignment="1">
      <alignment horizontal="center" vertical="center" wrapText="1"/>
    </xf>
    <xf numFmtId="0" fontId="9" fillId="11" borderId="2" xfId="0" applyFont="1" applyFill="1" applyBorder="1" applyAlignment="1">
      <alignment horizontal="center" vertical="center"/>
    </xf>
    <xf numFmtId="166" fontId="1" fillId="0" borderId="50" xfId="0" applyNumberFormat="1" applyFont="1" applyBorder="1" applyAlignment="1">
      <alignment horizontal="center" vertical="center"/>
    </xf>
    <xf numFmtId="166" fontId="1" fillId="0" borderId="59" xfId="0" applyNumberFormat="1" applyFont="1" applyBorder="1" applyAlignment="1">
      <alignment horizontal="center" vertical="center"/>
    </xf>
    <xf numFmtId="0" fontId="10" fillId="12" borderId="2" xfId="0" applyFont="1" applyFill="1" applyBorder="1" applyAlignment="1">
      <alignment horizontal="center" vertical="center"/>
    </xf>
    <xf numFmtId="0" fontId="9" fillId="13" borderId="2" xfId="0" applyFont="1" applyFill="1" applyBorder="1" applyAlignment="1">
      <alignment horizontal="center" vertical="center"/>
    </xf>
    <xf numFmtId="0" fontId="3" fillId="0" borderId="8" xfId="0" applyFont="1" applyBorder="1" applyAlignment="1">
      <alignment horizontal="left" vertical="center" indent="6"/>
    </xf>
    <xf numFmtId="0" fontId="3" fillId="0" borderId="0" xfId="0" applyFont="1" applyAlignment="1">
      <alignment horizontal="left" vertical="center" indent="6"/>
    </xf>
    <xf numFmtId="0" fontId="10" fillId="0" borderId="0" xfId="0" applyFont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0" fontId="7" fillId="0" borderId="56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center" wrapText="1"/>
    </xf>
    <xf numFmtId="0" fontId="7" fillId="0" borderId="23" xfId="0" applyFont="1" applyBorder="1" applyAlignment="1">
      <alignment horizontal="center" vertical="center" wrapText="1"/>
    </xf>
    <xf numFmtId="0" fontId="7" fillId="0" borderId="28" xfId="0" applyFont="1" applyBorder="1" applyAlignment="1">
      <alignment horizontal="center" vertical="center" wrapText="1"/>
    </xf>
    <xf numFmtId="0" fontId="10" fillId="0" borderId="54" xfId="0" applyFont="1" applyBorder="1" applyAlignment="1">
      <alignment horizontal="center" vertical="center" wrapText="1"/>
    </xf>
    <xf numFmtId="0" fontId="10" fillId="0" borderId="8" xfId="0" applyFont="1" applyBorder="1" applyAlignment="1">
      <alignment horizontal="center" vertical="center" wrapText="1"/>
    </xf>
    <xf numFmtId="0" fontId="10" fillId="0" borderId="52" xfId="0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74" xfId="0" applyFont="1" applyBorder="1" applyAlignment="1">
      <alignment horizontal="center" vertical="center" wrapText="1"/>
    </xf>
    <xf numFmtId="0" fontId="10" fillId="0" borderId="80" xfId="0" applyFont="1" applyBorder="1" applyAlignment="1">
      <alignment horizontal="center" vertical="center" wrapText="1"/>
    </xf>
    <xf numFmtId="0" fontId="10" fillId="0" borderId="75" xfId="0" applyFont="1" applyBorder="1" applyAlignment="1">
      <alignment horizontal="center" vertical="center" wrapText="1"/>
    </xf>
    <xf numFmtId="0" fontId="9" fillId="14" borderId="2" xfId="0" applyFont="1" applyFill="1" applyBorder="1" applyAlignment="1">
      <alignment horizontal="center" vertical="center"/>
    </xf>
    <xf numFmtId="0" fontId="31" fillId="15" borderId="2" xfId="0" applyFont="1" applyFill="1" applyBorder="1" applyAlignment="1">
      <alignment horizontal="center" vertical="center"/>
    </xf>
    <xf numFmtId="0" fontId="31" fillId="16" borderId="2" xfId="0" applyFont="1" applyFill="1" applyBorder="1" applyAlignment="1">
      <alignment horizontal="center" vertical="center"/>
    </xf>
    <xf numFmtId="0" fontId="9" fillId="17" borderId="2" xfId="0" applyFont="1" applyFill="1" applyBorder="1" applyAlignment="1">
      <alignment horizontal="center" vertical="center"/>
    </xf>
    <xf numFmtId="0" fontId="26" fillId="2" borderId="26" xfId="0" applyFont="1" applyFill="1" applyBorder="1" applyAlignment="1">
      <alignment horizontal="center" vertical="center" wrapText="1"/>
    </xf>
    <xf numFmtId="0" fontId="26" fillId="2" borderId="39" xfId="0" applyFont="1" applyFill="1" applyBorder="1" applyAlignment="1">
      <alignment horizontal="center" vertical="center" wrapText="1"/>
    </xf>
    <xf numFmtId="0" fontId="9" fillId="18" borderId="2" xfId="0" applyFont="1" applyFill="1" applyBorder="1" applyAlignment="1">
      <alignment horizontal="center" vertical="center"/>
    </xf>
    <xf numFmtId="0" fontId="31" fillId="19" borderId="2" xfId="0" applyFont="1" applyFill="1" applyBorder="1" applyAlignment="1">
      <alignment horizontal="center" vertical="center"/>
    </xf>
    <xf numFmtId="0" fontId="9" fillId="20" borderId="2" xfId="0" applyFont="1" applyFill="1" applyBorder="1" applyAlignment="1">
      <alignment horizontal="center" vertical="center"/>
    </xf>
    <xf numFmtId="0" fontId="9" fillId="0" borderId="2" xfId="2" applyFont="1" applyBorder="1" applyAlignment="1">
      <alignment horizontal="center" vertical="center"/>
    </xf>
    <xf numFmtId="0" fontId="9" fillId="10" borderId="2" xfId="2" applyFont="1" applyFill="1" applyBorder="1" applyAlignment="1">
      <alignment horizontal="center" vertical="center"/>
    </xf>
    <xf numFmtId="0" fontId="10" fillId="3" borderId="66" xfId="2" applyFont="1" applyFill="1" applyBorder="1" applyAlignment="1">
      <alignment horizontal="center" vertical="center"/>
    </xf>
    <xf numFmtId="0" fontId="10" fillId="3" borderId="67" xfId="2" applyFont="1" applyFill="1" applyBorder="1" applyAlignment="1">
      <alignment horizontal="center" vertical="center"/>
    </xf>
    <xf numFmtId="0" fontId="10" fillId="3" borderId="53" xfId="2" applyFont="1" applyFill="1" applyBorder="1" applyAlignment="1">
      <alignment horizontal="center" vertical="center"/>
    </xf>
    <xf numFmtId="0" fontId="10" fillId="3" borderId="54" xfId="2" applyFont="1" applyFill="1" applyBorder="1" applyAlignment="1">
      <alignment horizontal="center" vertical="center" wrapText="1"/>
    </xf>
    <xf numFmtId="0" fontId="10" fillId="3" borderId="52" xfId="2" applyFont="1" applyFill="1" applyBorder="1" applyAlignment="1">
      <alignment horizontal="center" vertical="center" wrapText="1"/>
    </xf>
    <xf numFmtId="0" fontId="10" fillId="3" borderId="12" xfId="2" applyFont="1" applyFill="1" applyBorder="1" applyAlignment="1">
      <alignment horizontal="center" vertical="center" wrapText="1"/>
    </xf>
    <xf numFmtId="0" fontId="10" fillId="3" borderId="10" xfId="2" applyFont="1" applyFill="1" applyBorder="1" applyAlignment="1">
      <alignment horizontal="center" vertical="center" wrapText="1"/>
    </xf>
    <xf numFmtId="0" fontId="10" fillId="3" borderId="2" xfId="2" applyFont="1" applyFill="1" applyBorder="1" applyAlignment="1">
      <alignment horizontal="center" vertical="center" wrapText="1"/>
    </xf>
    <xf numFmtId="0" fontId="10" fillId="3" borderId="11" xfId="2" applyFont="1" applyFill="1" applyBorder="1" applyAlignment="1">
      <alignment horizontal="center" vertical="center" wrapText="1"/>
    </xf>
    <xf numFmtId="0" fontId="10" fillId="3" borderId="54" xfId="2" applyFont="1" applyFill="1" applyBorder="1" applyAlignment="1">
      <alignment horizontal="center" vertical="center"/>
    </xf>
    <xf numFmtId="0" fontId="10" fillId="3" borderId="8" xfId="2" applyFont="1" applyFill="1" applyBorder="1" applyAlignment="1">
      <alignment horizontal="center" vertical="center"/>
    </xf>
    <xf numFmtId="0" fontId="10" fillId="3" borderId="10" xfId="2" applyFont="1" applyFill="1" applyBorder="1" applyAlignment="1">
      <alignment horizontal="center" vertical="center"/>
    </xf>
    <xf numFmtId="0" fontId="10" fillId="3" borderId="66" xfId="2" applyFont="1" applyFill="1" applyBorder="1" applyAlignment="1">
      <alignment horizontal="center" vertical="center" wrapText="1"/>
    </xf>
    <xf numFmtId="0" fontId="10" fillId="3" borderId="67" xfId="2" applyFont="1" applyFill="1" applyBorder="1" applyAlignment="1">
      <alignment horizontal="center" vertical="center" wrapText="1"/>
    </xf>
    <xf numFmtId="0" fontId="10" fillId="3" borderId="53" xfId="2" applyFont="1" applyFill="1" applyBorder="1" applyAlignment="1">
      <alignment horizontal="center" vertical="center" wrapText="1"/>
    </xf>
    <xf numFmtId="0" fontId="7" fillId="0" borderId="50" xfId="2" applyFont="1" applyBorder="1" applyAlignment="1">
      <alignment vertical="center"/>
    </xf>
    <xf numFmtId="165" fontId="15" fillId="0" borderId="52" xfId="2" applyNumberFormat="1" applyFont="1" applyBorder="1" applyAlignment="1">
      <alignment horizontal="center" vertical="center" wrapText="1"/>
    </xf>
    <xf numFmtId="165" fontId="15" fillId="0" borderId="12" xfId="2" applyNumberFormat="1" applyFont="1" applyBorder="1" applyAlignment="1">
      <alignment horizontal="center" vertical="center" wrapText="1"/>
    </xf>
    <xf numFmtId="165" fontId="15" fillId="0" borderId="50" xfId="2" applyNumberFormat="1" applyFont="1" applyBorder="1" applyAlignment="1">
      <alignment horizontal="center" vertical="center" wrapText="1"/>
    </xf>
    <xf numFmtId="165" fontId="15" fillId="0" borderId="59" xfId="2" applyNumberFormat="1" applyFont="1" applyBorder="1" applyAlignment="1">
      <alignment horizontal="center" vertical="center" wrapText="1"/>
    </xf>
    <xf numFmtId="0" fontId="3" fillId="0" borderId="52" xfId="2" applyBorder="1" applyAlignment="1">
      <alignment horizontal="right" vertical="center" wrapText="1"/>
    </xf>
    <xf numFmtId="0" fontId="3" fillId="0" borderId="0" xfId="2" applyAlignment="1">
      <alignment horizontal="right" vertical="center" wrapText="1"/>
    </xf>
    <xf numFmtId="0" fontId="3" fillId="0" borderId="52" xfId="2" applyBorder="1" applyAlignment="1">
      <alignment horizontal="left" vertical="center" wrapText="1"/>
    </xf>
    <xf numFmtId="0" fontId="3" fillId="0" borderId="12" xfId="2" applyBorder="1" applyAlignment="1">
      <alignment horizontal="left" vertical="center" wrapText="1"/>
    </xf>
    <xf numFmtId="0" fontId="3" fillId="0" borderId="0" xfId="2" applyAlignment="1">
      <alignment horizontal="left" vertical="center" wrapText="1"/>
    </xf>
    <xf numFmtId="0" fontId="3" fillId="0" borderId="9" xfId="2" applyBorder="1" applyAlignment="1">
      <alignment horizontal="left" vertical="center" wrapText="1"/>
    </xf>
    <xf numFmtId="0" fontId="6" fillId="0" borderId="8" xfId="2" applyFont="1" applyBorder="1" applyAlignment="1">
      <alignment horizontal="right" vertical="center" textRotation="180"/>
    </xf>
    <xf numFmtId="0" fontId="6" fillId="0" borderId="0" xfId="2" applyFont="1" applyAlignment="1">
      <alignment horizontal="right" vertical="center" textRotation="180"/>
    </xf>
    <xf numFmtId="0" fontId="7" fillId="0" borderId="22" xfId="2" applyFont="1" applyBorder="1" applyAlignment="1">
      <alignment horizontal="center" vertical="center" wrapText="1"/>
    </xf>
    <xf numFmtId="0" fontId="7" fillId="0" borderId="63" xfId="2" applyFont="1" applyBorder="1" applyAlignment="1">
      <alignment horizontal="center" vertical="center" wrapText="1"/>
    </xf>
    <xf numFmtId="0" fontId="7" fillId="0" borderId="74" xfId="2" applyFont="1" applyBorder="1" applyAlignment="1">
      <alignment horizontal="center" vertical="center"/>
    </xf>
    <xf numFmtId="0" fontId="7" fillId="0" borderId="75" xfId="2" applyFont="1" applyBorder="1" applyAlignment="1">
      <alignment horizontal="center" vertical="center"/>
    </xf>
    <xf numFmtId="0" fontId="7" fillId="0" borderId="76" xfId="2" applyFont="1" applyBorder="1" applyAlignment="1">
      <alignment horizontal="center" vertical="center"/>
    </xf>
    <xf numFmtId="0" fontId="7" fillId="0" borderId="77" xfId="2" applyFont="1" applyBorder="1" applyAlignment="1">
      <alignment horizontal="center" vertical="center"/>
    </xf>
    <xf numFmtId="0" fontId="3" fillId="0" borderId="54" xfId="2" applyBorder="1" applyAlignment="1">
      <alignment horizontal="left" vertical="center" indent="6"/>
    </xf>
    <xf numFmtId="0" fontId="3" fillId="0" borderId="52" xfId="2" applyBorder="1" applyAlignment="1">
      <alignment horizontal="left" vertical="center" indent="6"/>
    </xf>
    <xf numFmtId="0" fontId="7" fillId="0" borderId="26" xfId="2" applyFont="1" applyBorder="1" applyAlignment="1">
      <alignment horizontal="center" vertical="center" wrapText="1"/>
    </xf>
    <xf numFmtId="0" fontId="7" fillId="0" borderId="39" xfId="2" applyFont="1" applyBorder="1" applyAlignment="1">
      <alignment horizontal="center" vertical="center" wrapText="1"/>
    </xf>
    <xf numFmtId="0" fontId="10" fillId="0" borderId="71" xfId="2" applyFont="1" applyBorder="1" applyAlignment="1">
      <alignment horizontal="center" vertical="center" wrapText="1"/>
    </xf>
    <xf numFmtId="0" fontId="10" fillId="0" borderId="72" xfId="2" applyFont="1" applyBorder="1" applyAlignment="1">
      <alignment horizontal="center" vertical="center" wrapText="1"/>
    </xf>
    <xf numFmtId="0" fontId="10" fillId="0" borderId="73" xfId="2" applyFont="1" applyBorder="1" applyAlignment="1">
      <alignment horizontal="center" vertical="center" wrapText="1"/>
    </xf>
    <xf numFmtId="165" fontId="29" fillId="0" borderId="0" xfId="2" applyNumberFormat="1" applyFont="1" applyAlignment="1">
      <alignment horizontal="center" vertical="center"/>
    </xf>
    <xf numFmtId="165" fontId="29" fillId="0" borderId="9" xfId="2" applyNumberFormat="1" applyFont="1" applyBorder="1" applyAlignment="1">
      <alignment horizontal="center" vertical="center"/>
    </xf>
    <xf numFmtId="0" fontId="30" fillId="0" borderId="8" xfId="2" applyFont="1" applyBorder="1" applyAlignment="1">
      <alignment horizontal="center" vertical="center" shrinkToFit="1"/>
    </xf>
    <xf numFmtId="0" fontId="30" fillId="0" borderId="0" xfId="2" applyFont="1" applyAlignment="1">
      <alignment horizontal="center" vertical="center" shrinkToFit="1"/>
    </xf>
    <xf numFmtId="0" fontId="7" fillId="0" borderId="27" xfId="2" applyFont="1" applyBorder="1" applyAlignment="1">
      <alignment horizontal="center" vertical="center" wrapText="1"/>
    </xf>
    <xf numFmtId="0" fontId="7" fillId="0" borderId="46" xfId="2" applyFont="1" applyBorder="1" applyAlignment="1">
      <alignment horizontal="center" vertical="center" wrapText="1"/>
    </xf>
    <xf numFmtId="0" fontId="10" fillId="0" borderId="52" xfId="2" applyFont="1" applyBorder="1" applyAlignment="1">
      <alignment horizontal="center" vertical="center"/>
    </xf>
    <xf numFmtId="0" fontId="10" fillId="0" borderId="12" xfId="2" applyFont="1" applyBorder="1" applyAlignment="1">
      <alignment horizontal="center" vertical="center"/>
    </xf>
    <xf numFmtId="0" fontId="25" fillId="0" borderId="26" xfId="2" applyFont="1" applyBorder="1" applyAlignment="1">
      <alignment horizontal="center" vertical="center" wrapText="1"/>
    </xf>
    <xf numFmtId="0" fontId="25" fillId="0" borderId="39" xfId="2" applyFont="1" applyBorder="1" applyAlignment="1">
      <alignment horizontal="center" vertical="center" wrapText="1"/>
    </xf>
    <xf numFmtId="0" fontId="7" fillId="0" borderId="2" xfId="2" applyFont="1" applyBorder="1" applyAlignment="1">
      <alignment horizontal="center" vertical="center" wrapText="1"/>
    </xf>
    <xf numFmtId="0" fontId="3" fillId="0" borderId="0" xfId="2" applyAlignment="1">
      <alignment horizontal="center" vertical="center" wrapText="1"/>
    </xf>
    <xf numFmtId="0" fontId="2" fillId="0" borderId="76" xfId="2" applyFont="1" applyBorder="1" applyAlignment="1">
      <alignment horizontal="center" vertical="center" wrapText="1"/>
    </xf>
    <xf numFmtId="0" fontId="2" fillId="0" borderId="77" xfId="2" applyFont="1" applyBorder="1" applyAlignment="1">
      <alignment horizontal="center" vertical="center" wrapText="1"/>
    </xf>
    <xf numFmtId="0" fontId="7" fillId="0" borderId="78" xfId="2" applyFont="1" applyBorder="1" applyAlignment="1">
      <alignment horizontal="center" vertical="center"/>
    </xf>
    <xf numFmtId="0" fontId="7" fillId="0" borderId="79" xfId="2" applyFont="1" applyBorder="1" applyAlignment="1">
      <alignment horizontal="center" vertical="center"/>
    </xf>
    <xf numFmtId="0" fontId="3" fillId="0" borderId="0" xfId="2" applyAlignment="1">
      <alignment horizontal="center" vertical="center"/>
    </xf>
    <xf numFmtId="0" fontId="31" fillId="15" borderId="2" xfId="2" applyFont="1" applyFill="1" applyBorder="1" applyAlignment="1">
      <alignment horizontal="center" vertical="center"/>
    </xf>
  </cellXfs>
  <cellStyles count="4">
    <cellStyle name="Comma" xfId="1" builtinId="3"/>
    <cellStyle name="Comma 2" xfId="3" xr:uid="{7A0E4F4A-9963-4205-AD5F-91E00E008441}"/>
    <cellStyle name="Normal" xfId="0" builtinId="0"/>
    <cellStyle name="Normal 2" xfId="2" xr:uid="{00000000-0005-0000-0000-000002000000}"/>
  </cellStyles>
  <dxfs count="2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theme" Target="theme/theme1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28575</xdr:colOff>
      <xdr:row>25</xdr:row>
      <xdr:rowOff>57150</xdr:rowOff>
    </xdr:from>
    <xdr:to>
      <xdr:col>15</xdr:col>
      <xdr:colOff>1666875</xdr:colOff>
      <xdr:row>26</xdr:row>
      <xdr:rowOff>85725</xdr:rowOff>
    </xdr:to>
    <xdr:sp macro="" textlink="">
      <xdr:nvSpPr>
        <xdr:cNvPr id="3600" name="Text Box 78">
          <a:extLst>
            <a:ext uri="{FF2B5EF4-FFF2-40B4-BE49-F238E27FC236}">
              <a16:creationId xmlns:a16="http://schemas.microsoft.com/office/drawing/2014/main" id="{68DB8A82-448A-40B0-A823-7473E4365C84}"/>
            </a:ext>
          </a:extLst>
        </xdr:cNvPr>
        <xdr:cNvSpPr txBox="1">
          <a:spLocks noChangeArrowheads="1"/>
        </xdr:cNvSpPr>
      </xdr:nvSpPr>
      <xdr:spPr bwMode="auto">
        <a:xfrm>
          <a:off x="11239500" y="6048375"/>
          <a:ext cx="20955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795271</xdr:colOff>
      <xdr:row>1</xdr:row>
      <xdr:rowOff>175438</xdr:rowOff>
    </xdr:from>
    <xdr:to>
      <xdr:col>9</xdr:col>
      <xdr:colOff>777208</xdr:colOff>
      <xdr:row>6</xdr:row>
      <xdr:rowOff>30389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065505F-14E3-4DE9-B69E-205049FF17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024746" y="470713"/>
          <a:ext cx="1029687" cy="950326"/>
        </a:xfrm>
        <a:prstGeom prst="flowChartConnector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31</xdr:col>
      <xdr:colOff>0</xdr:colOff>
      <xdr:row>162</xdr:row>
      <xdr:rowOff>0</xdr:rowOff>
    </xdr:from>
    <xdr:to>
      <xdr:col>33</xdr:col>
      <xdr:colOff>247650</xdr:colOff>
      <xdr:row>162</xdr:row>
      <xdr:rowOff>304800</xdr:rowOff>
    </xdr:to>
    <xdr:sp macro="" textlink="">
      <xdr:nvSpPr>
        <xdr:cNvPr id="21799" name="Text Box 78">
          <a:extLst>
            <a:ext uri="{FF2B5EF4-FFF2-40B4-BE49-F238E27FC236}">
              <a16:creationId xmlns:a16="http://schemas.microsoft.com/office/drawing/2014/main" id="{FD73D191-BF52-4052-B7A7-6E3BB7D8D421}"/>
            </a:ext>
          </a:extLst>
        </xdr:cNvPr>
        <xdr:cNvSpPr txBox="1">
          <a:spLocks noChangeArrowheads="1"/>
        </xdr:cNvSpPr>
      </xdr:nvSpPr>
      <xdr:spPr bwMode="auto">
        <a:xfrm>
          <a:off x="26336625" y="17897475"/>
          <a:ext cx="20955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695326</xdr:colOff>
      <xdr:row>1</xdr:row>
      <xdr:rowOff>240369</xdr:rowOff>
    </xdr:from>
    <xdr:to>
      <xdr:col>12</xdr:col>
      <xdr:colOff>926523</xdr:colOff>
      <xdr:row>6</xdr:row>
      <xdr:rowOff>86249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5657469-676D-4733-8974-3AEDF243C4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632951" y="541994"/>
          <a:ext cx="1040822" cy="973005"/>
        </a:xfrm>
        <a:prstGeom prst="flowChartConnector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804796</xdr:colOff>
      <xdr:row>1</xdr:row>
      <xdr:rowOff>165913</xdr:rowOff>
    </xdr:from>
    <xdr:to>
      <xdr:col>9</xdr:col>
      <xdr:colOff>834358</xdr:colOff>
      <xdr:row>6</xdr:row>
      <xdr:rowOff>20864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7940045-F486-4564-94E1-4C87BAAF54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034271" y="461188"/>
          <a:ext cx="1029687" cy="950326"/>
        </a:xfrm>
        <a:prstGeom prst="flowChartConnector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31</xdr:col>
      <xdr:colOff>0</xdr:colOff>
      <xdr:row>40</xdr:row>
      <xdr:rowOff>0</xdr:rowOff>
    </xdr:from>
    <xdr:to>
      <xdr:col>33</xdr:col>
      <xdr:colOff>247650</xdr:colOff>
      <xdr:row>40</xdr:row>
      <xdr:rowOff>304800</xdr:rowOff>
    </xdr:to>
    <xdr:sp macro="" textlink="">
      <xdr:nvSpPr>
        <xdr:cNvPr id="8079" name="Text Box 78">
          <a:extLst>
            <a:ext uri="{FF2B5EF4-FFF2-40B4-BE49-F238E27FC236}">
              <a16:creationId xmlns:a16="http://schemas.microsoft.com/office/drawing/2014/main" id="{50B5CE19-75AB-4240-A565-B2659730639C}"/>
            </a:ext>
          </a:extLst>
        </xdr:cNvPr>
        <xdr:cNvSpPr txBox="1">
          <a:spLocks noChangeArrowheads="1"/>
        </xdr:cNvSpPr>
      </xdr:nvSpPr>
      <xdr:spPr bwMode="auto">
        <a:xfrm>
          <a:off x="26336625" y="7181850"/>
          <a:ext cx="20955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695326</xdr:colOff>
      <xdr:row>1</xdr:row>
      <xdr:rowOff>240369</xdr:rowOff>
    </xdr:from>
    <xdr:to>
      <xdr:col>12</xdr:col>
      <xdr:colOff>926523</xdr:colOff>
      <xdr:row>6</xdr:row>
      <xdr:rowOff>86249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8D6B929-B0BA-4844-916B-024311ADA1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686926" y="535644"/>
          <a:ext cx="1040822" cy="941255"/>
        </a:xfrm>
        <a:prstGeom prst="flowChartConnector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395221</xdr:colOff>
      <xdr:row>1</xdr:row>
      <xdr:rowOff>184963</xdr:rowOff>
    </xdr:from>
    <xdr:to>
      <xdr:col>9</xdr:col>
      <xdr:colOff>424783</xdr:colOff>
      <xdr:row>6</xdr:row>
      <xdr:rowOff>39914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1190F47-2C80-43FD-87F4-19CC2619D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24696" y="480238"/>
          <a:ext cx="1029687" cy="950326"/>
        </a:xfrm>
        <a:prstGeom prst="flowChartConnector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31</xdr:col>
      <xdr:colOff>0</xdr:colOff>
      <xdr:row>48</xdr:row>
      <xdr:rowOff>0</xdr:rowOff>
    </xdr:from>
    <xdr:to>
      <xdr:col>33</xdr:col>
      <xdr:colOff>247650</xdr:colOff>
      <xdr:row>48</xdr:row>
      <xdr:rowOff>304800</xdr:rowOff>
    </xdr:to>
    <xdr:sp macro="" textlink="">
      <xdr:nvSpPr>
        <xdr:cNvPr id="11103" name="Text Box 78">
          <a:extLst>
            <a:ext uri="{FF2B5EF4-FFF2-40B4-BE49-F238E27FC236}">
              <a16:creationId xmlns:a16="http://schemas.microsoft.com/office/drawing/2014/main" id="{07FB18FC-4612-4D20-9BEB-6A63AA8107DD}"/>
            </a:ext>
          </a:extLst>
        </xdr:cNvPr>
        <xdr:cNvSpPr txBox="1">
          <a:spLocks noChangeArrowheads="1"/>
        </xdr:cNvSpPr>
      </xdr:nvSpPr>
      <xdr:spPr bwMode="auto">
        <a:xfrm>
          <a:off x="26336625" y="9563100"/>
          <a:ext cx="20955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695326</xdr:colOff>
      <xdr:row>1</xdr:row>
      <xdr:rowOff>240369</xdr:rowOff>
    </xdr:from>
    <xdr:to>
      <xdr:col>12</xdr:col>
      <xdr:colOff>926523</xdr:colOff>
      <xdr:row>6</xdr:row>
      <xdr:rowOff>86249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6F82E93-6025-4369-B7E1-4260D77D0B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96551" y="535644"/>
          <a:ext cx="1040822" cy="941255"/>
        </a:xfrm>
        <a:prstGeom prst="flowChartConnector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395221</xdr:colOff>
      <xdr:row>1</xdr:row>
      <xdr:rowOff>184963</xdr:rowOff>
    </xdr:from>
    <xdr:to>
      <xdr:col>9</xdr:col>
      <xdr:colOff>367633</xdr:colOff>
      <xdr:row>6</xdr:row>
      <xdr:rowOff>39914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E5D520C-FFDF-444C-84E0-19DA5BF13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24696" y="480238"/>
          <a:ext cx="1029687" cy="950326"/>
        </a:xfrm>
        <a:prstGeom prst="flowChartConnector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31</xdr:col>
      <xdr:colOff>0</xdr:colOff>
      <xdr:row>83</xdr:row>
      <xdr:rowOff>0</xdr:rowOff>
    </xdr:from>
    <xdr:to>
      <xdr:col>33</xdr:col>
      <xdr:colOff>247650</xdr:colOff>
      <xdr:row>83</xdr:row>
      <xdr:rowOff>304800</xdr:rowOff>
    </xdr:to>
    <xdr:sp macro="" textlink="">
      <xdr:nvSpPr>
        <xdr:cNvPr id="14123" name="Text Box 78">
          <a:extLst>
            <a:ext uri="{FF2B5EF4-FFF2-40B4-BE49-F238E27FC236}">
              <a16:creationId xmlns:a16="http://schemas.microsoft.com/office/drawing/2014/main" id="{F932FA29-56AA-42C5-8E2D-86474A7422B9}"/>
            </a:ext>
          </a:extLst>
        </xdr:cNvPr>
        <xdr:cNvSpPr txBox="1">
          <a:spLocks noChangeArrowheads="1"/>
        </xdr:cNvSpPr>
      </xdr:nvSpPr>
      <xdr:spPr bwMode="auto">
        <a:xfrm>
          <a:off x="26336625" y="14563725"/>
          <a:ext cx="20955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695326</xdr:colOff>
      <xdr:row>1</xdr:row>
      <xdr:rowOff>240369</xdr:rowOff>
    </xdr:from>
    <xdr:to>
      <xdr:col>12</xdr:col>
      <xdr:colOff>926523</xdr:colOff>
      <xdr:row>6</xdr:row>
      <xdr:rowOff>86249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646E613-467A-4EED-9715-6C87BC8AC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96551" y="535644"/>
          <a:ext cx="1040822" cy="941255"/>
        </a:xfrm>
        <a:prstGeom prst="flowChartConnector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795271</xdr:colOff>
      <xdr:row>1</xdr:row>
      <xdr:rowOff>175438</xdr:rowOff>
    </xdr:from>
    <xdr:to>
      <xdr:col>9</xdr:col>
      <xdr:colOff>824833</xdr:colOff>
      <xdr:row>6</xdr:row>
      <xdr:rowOff>30389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198D4EA-A830-4AF4-AD75-7232D9CDF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024746" y="470713"/>
          <a:ext cx="1029687" cy="950326"/>
        </a:xfrm>
        <a:prstGeom prst="flowChartConnector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695326</xdr:colOff>
      <xdr:row>1</xdr:row>
      <xdr:rowOff>240369</xdr:rowOff>
    </xdr:from>
    <xdr:to>
      <xdr:col>12</xdr:col>
      <xdr:colOff>926523</xdr:colOff>
      <xdr:row>6</xdr:row>
      <xdr:rowOff>86249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E89DE56-1361-490A-8774-8157DEF63C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96551" y="535644"/>
          <a:ext cx="1040822" cy="941255"/>
        </a:xfrm>
        <a:prstGeom prst="flowChartConnector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795271</xdr:colOff>
      <xdr:row>1</xdr:row>
      <xdr:rowOff>175438</xdr:rowOff>
    </xdr:from>
    <xdr:to>
      <xdr:col>9</xdr:col>
      <xdr:colOff>824833</xdr:colOff>
      <xdr:row>6</xdr:row>
      <xdr:rowOff>30389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989B9BA-8BDE-4AC6-B92A-E79F641041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024746" y="470713"/>
          <a:ext cx="1029687" cy="950326"/>
        </a:xfrm>
        <a:prstGeom prst="flowChartConnector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31</xdr:col>
      <xdr:colOff>676275</xdr:colOff>
      <xdr:row>68</xdr:row>
      <xdr:rowOff>28575</xdr:rowOff>
    </xdr:from>
    <xdr:to>
      <xdr:col>34</xdr:col>
      <xdr:colOff>238125</xdr:colOff>
      <xdr:row>68</xdr:row>
      <xdr:rowOff>333375</xdr:rowOff>
    </xdr:to>
    <xdr:sp macro="" textlink="">
      <xdr:nvSpPr>
        <xdr:cNvPr id="20799" name="Text Box 78">
          <a:extLst>
            <a:ext uri="{FF2B5EF4-FFF2-40B4-BE49-F238E27FC236}">
              <a16:creationId xmlns:a16="http://schemas.microsoft.com/office/drawing/2014/main" id="{1F9B241F-4A5B-4B9F-AF25-FC41FFB90D21}"/>
            </a:ext>
          </a:extLst>
        </xdr:cNvPr>
        <xdr:cNvSpPr txBox="1">
          <a:spLocks noChangeArrowheads="1"/>
        </xdr:cNvSpPr>
      </xdr:nvSpPr>
      <xdr:spPr bwMode="auto">
        <a:xfrm>
          <a:off x="27051000" y="12449175"/>
          <a:ext cx="20955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695326</xdr:colOff>
      <xdr:row>1</xdr:row>
      <xdr:rowOff>240369</xdr:rowOff>
    </xdr:from>
    <xdr:to>
      <xdr:col>12</xdr:col>
      <xdr:colOff>926523</xdr:colOff>
      <xdr:row>6</xdr:row>
      <xdr:rowOff>86249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4B53567-E8F8-4ECC-81BB-88D616F990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96551" y="535644"/>
          <a:ext cx="1040822" cy="941255"/>
        </a:xfrm>
        <a:prstGeom prst="flowChartConnector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795271</xdr:colOff>
      <xdr:row>1</xdr:row>
      <xdr:rowOff>175438</xdr:rowOff>
    </xdr:from>
    <xdr:to>
      <xdr:col>9</xdr:col>
      <xdr:colOff>824833</xdr:colOff>
      <xdr:row>6</xdr:row>
      <xdr:rowOff>30389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824163B-EA15-4311-83AC-20B9830B35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024746" y="470713"/>
          <a:ext cx="1029687" cy="950326"/>
        </a:xfrm>
        <a:prstGeom prst="flowChartConnector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31</xdr:col>
      <xdr:colOff>0</xdr:colOff>
      <xdr:row>45</xdr:row>
      <xdr:rowOff>0</xdr:rowOff>
    </xdr:from>
    <xdr:to>
      <xdr:col>33</xdr:col>
      <xdr:colOff>247650</xdr:colOff>
      <xdr:row>45</xdr:row>
      <xdr:rowOff>304800</xdr:rowOff>
    </xdr:to>
    <xdr:sp macro="" textlink="">
      <xdr:nvSpPr>
        <xdr:cNvPr id="24823" name="Text Box 78">
          <a:extLst>
            <a:ext uri="{FF2B5EF4-FFF2-40B4-BE49-F238E27FC236}">
              <a16:creationId xmlns:a16="http://schemas.microsoft.com/office/drawing/2014/main" id="{72F8C3C2-8ACA-4E6E-8780-65C4D8AA7E30}"/>
            </a:ext>
          </a:extLst>
        </xdr:cNvPr>
        <xdr:cNvSpPr txBox="1">
          <a:spLocks noChangeArrowheads="1"/>
        </xdr:cNvSpPr>
      </xdr:nvSpPr>
      <xdr:spPr bwMode="auto">
        <a:xfrm>
          <a:off x="26374725" y="8372475"/>
          <a:ext cx="20955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695326</xdr:colOff>
      <xdr:row>1</xdr:row>
      <xdr:rowOff>240369</xdr:rowOff>
    </xdr:from>
    <xdr:to>
      <xdr:col>12</xdr:col>
      <xdr:colOff>926523</xdr:colOff>
      <xdr:row>6</xdr:row>
      <xdr:rowOff>86249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CAB787E-1BB9-4EFC-A645-310BC6111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96551" y="535644"/>
          <a:ext cx="1040822" cy="941255"/>
        </a:xfrm>
        <a:prstGeom prst="flowChartConnector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795271</xdr:colOff>
      <xdr:row>1</xdr:row>
      <xdr:rowOff>175438</xdr:rowOff>
    </xdr:from>
    <xdr:to>
      <xdr:col>9</xdr:col>
      <xdr:colOff>824833</xdr:colOff>
      <xdr:row>6</xdr:row>
      <xdr:rowOff>30389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2B8E706-9ECE-4C3E-A123-6C7F849881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024746" y="470713"/>
          <a:ext cx="1029687" cy="950326"/>
        </a:xfrm>
        <a:prstGeom prst="flowChartConnector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31</xdr:col>
      <xdr:colOff>0</xdr:colOff>
      <xdr:row>71</xdr:row>
      <xdr:rowOff>0</xdr:rowOff>
    </xdr:from>
    <xdr:to>
      <xdr:col>33</xdr:col>
      <xdr:colOff>247650</xdr:colOff>
      <xdr:row>71</xdr:row>
      <xdr:rowOff>304800</xdr:rowOff>
    </xdr:to>
    <xdr:sp macro="" textlink="">
      <xdr:nvSpPr>
        <xdr:cNvPr id="27841" name="Text Box 78">
          <a:extLst>
            <a:ext uri="{FF2B5EF4-FFF2-40B4-BE49-F238E27FC236}">
              <a16:creationId xmlns:a16="http://schemas.microsoft.com/office/drawing/2014/main" id="{54B19CC8-8929-4BF7-9866-86C8E783E824}"/>
            </a:ext>
          </a:extLst>
        </xdr:cNvPr>
        <xdr:cNvSpPr txBox="1">
          <a:spLocks noChangeArrowheads="1"/>
        </xdr:cNvSpPr>
      </xdr:nvSpPr>
      <xdr:spPr bwMode="auto">
        <a:xfrm>
          <a:off x="26374725" y="11468100"/>
          <a:ext cx="20955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695326</xdr:colOff>
      <xdr:row>1</xdr:row>
      <xdr:rowOff>240369</xdr:rowOff>
    </xdr:from>
    <xdr:to>
      <xdr:col>12</xdr:col>
      <xdr:colOff>926523</xdr:colOff>
      <xdr:row>6</xdr:row>
      <xdr:rowOff>86249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3B8E3BF-3141-4613-BED6-38074DBB4D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96551" y="535644"/>
          <a:ext cx="1040822" cy="941255"/>
        </a:xfrm>
        <a:prstGeom prst="flowChartConnector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795271</xdr:colOff>
      <xdr:row>1</xdr:row>
      <xdr:rowOff>175438</xdr:rowOff>
    </xdr:from>
    <xdr:to>
      <xdr:col>9</xdr:col>
      <xdr:colOff>824833</xdr:colOff>
      <xdr:row>6</xdr:row>
      <xdr:rowOff>30389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64929AA-7AA7-4E92-A1A9-99FC5B4CFD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024746" y="470713"/>
          <a:ext cx="1029687" cy="950326"/>
        </a:xfrm>
        <a:prstGeom prst="flowChartConnector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695326</xdr:colOff>
      <xdr:row>1</xdr:row>
      <xdr:rowOff>240369</xdr:rowOff>
    </xdr:from>
    <xdr:to>
      <xdr:col>12</xdr:col>
      <xdr:colOff>926523</xdr:colOff>
      <xdr:row>6</xdr:row>
      <xdr:rowOff>86249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5A19FC1-B7A0-49C2-B6F7-BB2054D795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96551" y="535644"/>
          <a:ext cx="1040822" cy="941255"/>
        </a:xfrm>
        <a:prstGeom prst="flowChartConnector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795271</xdr:colOff>
      <xdr:row>1</xdr:row>
      <xdr:rowOff>175438</xdr:rowOff>
    </xdr:from>
    <xdr:to>
      <xdr:col>9</xdr:col>
      <xdr:colOff>824833</xdr:colOff>
      <xdr:row>6</xdr:row>
      <xdr:rowOff>30389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0DE7597-74C3-4D94-ADDD-BC99FBC5A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024746" y="470713"/>
          <a:ext cx="1029687" cy="950326"/>
        </a:xfrm>
        <a:prstGeom prst="flowChartConnector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31</xdr:col>
      <xdr:colOff>0</xdr:colOff>
      <xdr:row>34</xdr:row>
      <xdr:rowOff>0</xdr:rowOff>
    </xdr:from>
    <xdr:to>
      <xdr:col>33</xdr:col>
      <xdr:colOff>247650</xdr:colOff>
      <xdr:row>34</xdr:row>
      <xdr:rowOff>304800</xdr:rowOff>
    </xdr:to>
    <xdr:sp macro="" textlink="">
      <xdr:nvSpPr>
        <xdr:cNvPr id="33893" name="Text Box 78">
          <a:extLst>
            <a:ext uri="{FF2B5EF4-FFF2-40B4-BE49-F238E27FC236}">
              <a16:creationId xmlns:a16="http://schemas.microsoft.com/office/drawing/2014/main" id="{5C91E6F4-4669-44BF-8858-6E2768D889C6}"/>
            </a:ext>
          </a:extLst>
        </xdr:cNvPr>
        <xdr:cNvSpPr txBox="1">
          <a:spLocks noChangeArrowheads="1"/>
        </xdr:cNvSpPr>
      </xdr:nvSpPr>
      <xdr:spPr bwMode="auto">
        <a:xfrm>
          <a:off x="26374725" y="5753100"/>
          <a:ext cx="20955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695326</xdr:colOff>
      <xdr:row>1</xdr:row>
      <xdr:rowOff>240369</xdr:rowOff>
    </xdr:from>
    <xdr:to>
      <xdr:col>12</xdr:col>
      <xdr:colOff>926523</xdr:colOff>
      <xdr:row>6</xdr:row>
      <xdr:rowOff>86249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3A3C05D-9F34-4729-AF38-E8D2898497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96551" y="535644"/>
          <a:ext cx="1040822" cy="941255"/>
        </a:xfrm>
        <a:prstGeom prst="flowChartConnector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795271</xdr:colOff>
      <xdr:row>1</xdr:row>
      <xdr:rowOff>175438</xdr:rowOff>
    </xdr:from>
    <xdr:to>
      <xdr:col>9</xdr:col>
      <xdr:colOff>824833</xdr:colOff>
      <xdr:row>6</xdr:row>
      <xdr:rowOff>30389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E4A8514-9E97-4211-B044-F1EEB13676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024746" y="470713"/>
          <a:ext cx="1029687" cy="950326"/>
        </a:xfrm>
        <a:prstGeom prst="flowChartConnector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31</xdr:col>
      <xdr:colOff>0</xdr:colOff>
      <xdr:row>60</xdr:row>
      <xdr:rowOff>0</xdr:rowOff>
    </xdr:from>
    <xdr:to>
      <xdr:col>33</xdr:col>
      <xdr:colOff>247650</xdr:colOff>
      <xdr:row>60</xdr:row>
      <xdr:rowOff>304800</xdr:rowOff>
    </xdr:to>
    <xdr:sp macro="" textlink="">
      <xdr:nvSpPr>
        <xdr:cNvPr id="36931" name="Text Box 78">
          <a:extLst>
            <a:ext uri="{FF2B5EF4-FFF2-40B4-BE49-F238E27FC236}">
              <a16:creationId xmlns:a16="http://schemas.microsoft.com/office/drawing/2014/main" id="{BDD5E11A-74E8-4953-B704-15338FFDE444}"/>
            </a:ext>
          </a:extLst>
        </xdr:cNvPr>
        <xdr:cNvSpPr txBox="1">
          <a:spLocks noChangeArrowheads="1"/>
        </xdr:cNvSpPr>
      </xdr:nvSpPr>
      <xdr:spPr bwMode="auto">
        <a:xfrm>
          <a:off x="26336625" y="11229975"/>
          <a:ext cx="20955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695326</xdr:colOff>
      <xdr:row>1</xdr:row>
      <xdr:rowOff>240369</xdr:rowOff>
    </xdr:from>
    <xdr:to>
      <xdr:col>12</xdr:col>
      <xdr:colOff>926523</xdr:colOff>
      <xdr:row>6</xdr:row>
      <xdr:rowOff>86249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E22EB50-B471-4E63-86CE-ABB856FD48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96551" y="535644"/>
          <a:ext cx="1040822" cy="941255"/>
        </a:xfrm>
        <a:prstGeom prst="flowChartConnector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795271</xdr:colOff>
      <xdr:row>1</xdr:row>
      <xdr:rowOff>175438</xdr:rowOff>
    </xdr:from>
    <xdr:ext cx="1029687" cy="950326"/>
    <xdr:pic>
      <xdr:nvPicPr>
        <xdr:cNvPr id="2" name="Picture 1">
          <a:extLst>
            <a:ext uri="{FF2B5EF4-FFF2-40B4-BE49-F238E27FC236}">
              <a16:creationId xmlns:a16="http://schemas.microsoft.com/office/drawing/2014/main" id="{A6484F2E-DF8A-40E1-A058-A371F99509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76896" y="375463"/>
          <a:ext cx="1029687" cy="950326"/>
        </a:xfrm>
        <a:prstGeom prst="flowChartConnector">
          <a:avLst/>
        </a:prstGeom>
      </xdr:spPr>
    </xdr:pic>
    <xdr:clientData/>
  </xdr:oneCellAnchor>
</xdr:wsDr>
</file>

<file path=xl/drawings/drawing25.xml><?xml version="1.0" encoding="utf-8"?>
<xdr:wsDr xmlns:xdr="http://schemas.openxmlformats.org/drawingml/2006/spreadsheetDrawing" xmlns:a="http://schemas.openxmlformats.org/drawingml/2006/main">
  <xdr:oneCellAnchor>
    <xdr:from>
      <xdr:col>31</xdr:col>
      <xdr:colOff>0</xdr:colOff>
      <xdr:row>86</xdr:row>
      <xdr:rowOff>0</xdr:rowOff>
    </xdr:from>
    <xdr:ext cx="2095500" cy="304800"/>
    <xdr:sp macro="" textlink="">
      <xdr:nvSpPr>
        <xdr:cNvPr id="2" name="Text Box 78">
          <a:extLst>
            <a:ext uri="{FF2B5EF4-FFF2-40B4-BE49-F238E27FC236}">
              <a16:creationId xmlns:a16="http://schemas.microsoft.com/office/drawing/2014/main" id="{1AFB586E-576F-4FAA-B7CC-707267FBA594}"/>
            </a:ext>
          </a:extLst>
        </xdr:cNvPr>
        <xdr:cNvSpPr txBox="1">
          <a:spLocks noChangeArrowheads="1"/>
        </xdr:cNvSpPr>
      </xdr:nvSpPr>
      <xdr:spPr bwMode="auto">
        <a:xfrm>
          <a:off x="21259800" y="12801600"/>
          <a:ext cx="20955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695326</xdr:colOff>
      <xdr:row>1</xdr:row>
      <xdr:rowOff>240369</xdr:rowOff>
    </xdr:from>
    <xdr:ext cx="1040822" cy="941255"/>
    <xdr:pic>
      <xdr:nvPicPr>
        <xdr:cNvPr id="3" name="Picture 2">
          <a:extLst>
            <a:ext uri="{FF2B5EF4-FFF2-40B4-BE49-F238E27FC236}">
              <a16:creationId xmlns:a16="http://schemas.microsoft.com/office/drawing/2014/main" id="{DA769FDA-F659-4DB6-99C0-0936646D8F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29601" y="402294"/>
          <a:ext cx="1040822" cy="941255"/>
        </a:xfrm>
        <a:prstGeom prst="flowChartConnector">
          <a:avLst/>
        </a:prstGeom>
      </xdr:spPr>
    </xdr:pic>
    <xdr:clientData/>
  </xdr:oneCellAnchor>
</xdr:wsDr>
</file>

<file path=xl/drawings/drawing26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795271</xdr:colOff>
      <xdr:row>1</xdr:row>
      <xdr:rowOff>175438</xdr:rowOff>
    </xdr:from>
    <xdr:ext cx="1029687" cy="950326"/>
    <xdr:pic>
      <xdr:nvPicPr>
        <xdr:cNvPr id="2" name="Picture 1">
          <a:extLst>
            <a:ext uri="{FF2B5EF4-FFF2-40B4-BE49-F238E27FC236}">
              <a16:creationId xmlns:a16="http://schemas.microsoft.com/office/drawing/2014/main" id="{1A1BB40B-9CFD-405B-B726-6AED0EEAA9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76896" y="375463"/>
          <a:ext cx="1029687" cy="950326"/>
        </a:xfrm>
        <a:prstGeom prst="flowChartConnector">
          <a:avLst/>
        </a:prstGeom>
      </xdr:spPr>
    </xdr:pic>
    <xdr:clientData/>
  </xdr:oneCellAnchor>
</xdr:wsDr>
</file>

<file path=xl/drawings/drawing27.xml><?xml version="1.0" encoding="utf-8"?>
<xdr:wsDr xmlns:xdr="http://schemas.openxmlformats.org/drawingml/2006/spreadsheetDrawing" xmlns:a="http://schemas.openxmlformats.org/drawingml/2006/main">
  <xdr:oneCellAnchor>
    <xdr:from>
      <xdr:col>31</xdr:col>
      <xdr:colOff>0</xdr:colOff>
      <xdr:row>34</xdr:row>
      <xdr:rowOff>0</xdr:rowOff>
    </xdr:from>
    <xdr:ext cx="2095500" cy="304800"/>
    <xdr:sp macro="" textlink="">
      <xdr:nvSpPr>
        <xdr:cNvPr id="2" name="Text Box 78">
          <a:extLst>
            <a:ext uri="{FF2B5EF4-FFF2-40B4-BE49-F238E27FC236}">
              <a16:creationId xmlns:a16="http://schemas.microsoft.com/office/drawing/2014/main" id="{84544C5A-A213-4920-A117-8F9EC770883B}"/>
            </a:ext>
          </a:extLst>
        </xdr:cNvPr>
        <xdr:cNvSpPr txBox="1">
          <a:spLocks noChangeArrowheads="1"/>
        </xdr:cNvSpPr>
      </xdr:nvSpPr>
      <xdr:spPr bwMode="auto">
        <a:xfrm>
          <a:off x="21259800" y="4800600"/>
          <a:ext cx="20955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695326</xdr:colOff>
      <xdr:row>1</xdr:row>
      <xdr:rowOff>240369</xdr:rowOff>
    </xdr:from>
    <xdr:ext cx="1040822" cy="941255"/>
    <xdr:pic>
      <xdr:nvPicPr>
        <xdr:cNvPr id="3" name="Picture 2">
          <a:extLst>
            <a:ext uri="{FF2B5EF4-FFF2-40B4-BE49-F238E27FC236}">
              <a16:creationId xmlns:a16="http://schemas.microsoft.com/office/drawing/2014/main" id="{3D979E6A-804A-482D-9499-ECDD628F51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29601" y="402294"/>
          <a:ext cx="1040822" cy="941255"/>
        </a:xfrm>
        <a:prstGeom prst="flowChartConnector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1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2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4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5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6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7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8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9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30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31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Q42"/>
  <sheetViews>
    <sheetView showWhiteSpace="0" zoomScaleNormal="100" zoomScaleSheetLayoutView="100" workbookViewId="0">
      <selection activeCell="C44" sqref="C44"/>
    </sheetView>
  </sheetViews>
  <sheetFormatPr defaultRowHeight="30.75" x14ac:dyDescent="0.45"/>
  <cols>
    <col min="1" max="1" width="9.375" style="145" customWidth="1"/>
    <col min="2" max="2" width="6.75" style="99" customWidth="1"/>
    <col min="3" max="3" width="24.625" style="99" customWidth="1"/>
    <col min="4" max="4" width="12.875" style="99" customWidth="1"/>
    <col min="5" max="5" width="9.625" style="99" customWidth="1"/>
    <col min="6" max="6" width="11.5" style="99" customWidth="1"/>
    <col min="7" max="7" width="8.5" style="99" customWidth="1"/>
    <col min="8" max="8" width="7.75" style="99" customWidth="1"/>
    <col min="9" max="9" width="8.875" style="99" customWidth="1"/>
    <col min="10" max="10" width="11.25" style="99" customWidth="1"/>
    <col min="11" max="11" width="10.625" style="99" customWidth="1"/>
    <col min="12" max="12" width="9.875" style="99" customWidth="1"/>
    <col min="13" max="13" width="10.125" style="99" customWidth="1"/>
    <col min="14" max="14" width="5.375" style="99" customWidth="1"/>
    <col min="15" max="15" width="6" style="99" customWidth="1"/>
    <col min="16" max="16" width="29.625" style="99" customWidth="1"/>
    <col min="17" max="17" width="5.625" style="99" customWidth="1"/>
    <col min="18" max="16384" width="9" style="99"/>
  </cols>
  <sheetData>
    <row r="1" spans="1:17" ht="23.25" customHeight="1" x14ac:dyDescent="0.25">
      <c r="A1" s="744">
        <v>94</v>
      </c>
      <c r="M1" s="100"/>
      <c r="N1" s="100"/>
      <c r="O1" s="100"/>
      <c r="P1" s="101" t="s">
        <v>7</v>
      </c>
    </row>
    <row r="2" spans="1:17" ht="24" customHeight="1" x14ac:dyDescent="0.25">
      <c r="A2" s="744"/>
      <c r="M2" s="100"/>
      <c r="N2" s="100"/>
      <c r="O2" s="100"/>
      <c r="P2" s="102"/>
    </row>
    <row r="3" spans="1:17" ht="15.75" customHeight="1" x14ac:dyDescent="0.25">
      <c r="A3" s="744"/>
      <c r="M3" s="103"/>
      <c r="N3" s="103"/>
      <c r="O3" s="103"/>
      <c r="P3" s="103"/>
    </row>
    <row r="4" spans="1:17" ht="22.5" x14ac:dyDescent="0.25">
      <c r="A4" s="744"/>
      <c r="B4" s="745" t="s">
        <v>13</v>
      </c>
      <c r="C4" s="745"/>
      <c r="D4" s="745"/>
      <c r="E4" s="745"/>
      <c r="F4" s="745"/>
      <c r="G4" s="745"/>
      <c r="H4" s="745"/>
      <c r="I4" s="745"/>
      <c r="J4" s="745"/>
      <c r="K4" s="745"/>
      <c r="L4" s="745"/>
      <c r="M4" s="745"/>
      <c r="N4" s="745"/>
      <c r="O4" s="745"/>
      <c r="P4" s="745"/>
    </row>
    <row r="5" spans="1:17" ht="20.25" x14ac:dyDescent="0.3">
      <c r="A5" s="744"/>
      <c r="B5" s="746" t="s">
        <v>31</v>
      </c>
      <c r="C5" s="746"/>
      <c r="D5" s="746"/>
      <c r="E5" s="746"/>
      <c r="F5" s="746"/>
      <c r="G5" s="746"/>
      <c r="H5" s="746"/>
      <c r="I5" s="746"/>
      <c r="J5" s="746"/>
      <c r="K5" s="746"/>
      <c r="L5" s="746"/>
      <c r="M5" s="746"/>
      <c r="N5" s="746"/>
      <c r="O5" s="746"/>
      <c r="P5" s="746"/>
    </row>
    <row r="6" spans="1:17" ht="15.75" x14ac:dyDescent="0.25">
      <c r="A6" s="744"/>
      <c r="B6" s="104"/>
      <c r="C6" s="104"/>
      <c r="D6" s="104"/>
      <c r="E6" s="104"/>
      <c r="F6" s="104"/>
      <c r="G6" s="104"/>
      <c r="H6" s="104"/>
      <c r="I6" s="104"/>
      <c r="J6" s="104"/>
      <c r="K6" s="104"/>
      <c r="L6" s="104"/>
      <c r="M6" s="104"/>
      <c r="N6" s="104"/>
      <c r="O6" s="104"/>
      <c r="P6" s="104"/>
    </row>
    <row r="7" spans="1:17" ht="21.75" customHeight="1" x14ac:dyDescent="0.25">
      <c r="A7" s="744"/>
      <c r="B7" s="105"/>
      <c r="C7" s="105"/>
      <c r="D7" s="105"/>
      <c r="E7" s="105"/>
      <c r="F7" s="105"/>
      <c r="G7" s="105"/>
      <c r="H7" s="105"/>
      <c r="I7" s="105"/>
      <c r="J7" s="105"/>
      <c r="K7" s="105"/>
      <c r="L7" s="105"/>
      <c r="M7" s="105"/>
      <c r="N7" s="105"/>
      <c r="O7" s="105"/>
      <c r="P7" s="105"/>
    </row>
    <row r="8" spans="1:17" s="107" customFormat="1" ht="15.75" customHeight="1" x14ac:dyDescent="0.25">
      <c r="A8" s="744"/>
      <c r="B8" s="106" t="s">
        <v>9</v>
      </c>
      <c r="C8" s="106"/>
      <c r="D8" s="106"/>
      <c r="E8" s="106"/>
      <c r="F8" s="106"/>
      <c r="G8" s="106"/>
      <c r="H8" s="106"/>
      <c r="I8" s="106"/>
      <c r="J8" s="106"/>
      <c r="K8" s="106"/>
      <c r="L8" s="106"/>
      <c r="M8" s="106" t="s">
        <v>19</v>
      </c>
      <c r="N8" s="106"/>
      <c r="O8" s="106"/>
      <c r="P8" s="106"/>
    </row>
    <row r="9" spans="1:17" s="107" customFormat="1" ht="15.75" customHeight="1" x14ac:dyDescent="0.25">
      <c r="A9" s="744"/>
      <c r="B9" s="106" t="s">
        <v>8</v>
      </c>
      <c r="M9" s="106" t="s">
        <v>20</v>
      </c>
      <c r="N9" s="106"/>
    </row>
    <row r="10" spans="1:17" s="107" customFormat="1" ht="15.75" customHeight="1" x14ac:dyDescent="0.25">
      <c r="A10" s="744"/>
      <c r="B10" s="747" t="s">
        <v>0</v>
      </c>
      <c r="C10" s="747"/>
      <c r="D10" s="747"/>
      <c r="E10" s="747"/>
      <c r="F10" s="747"/>
      <c r="G10" s="747"/>
      <c r="H10" s="747"/>
      <c r="I10" s="747"/>
      <c r="J10" s="747"/>
      <c r="K10" s="747"/>
      <c r="L10" s="747"/>
      <c r="M10" s="747"/>
      <c r="N10" s="747"/>
      <c r="O10" s="747"/>
      <c r="P10" s="747"/>
    </row>
    <row r="11" spans="1:17" ht="9" customHeight="1" thickBot="1" x14ac:dyDescent="0.3">
      <c r="A11" s="744"/>
      <c r="C11" s="108"/>
      <c r="D11" s="108"/>
      <c r="E11" s="108"/>
      <c r="F11" s="108"/>
      <c r="G11" s="108"/>
      <c r="H11" s="108"/>
      <c r="I11" s="108"/>
      <c r="M11" s="108"/>
      <c r="N11" s="108"/>
      <c r="O11" s="108"/>
      <c r="P11" s="108"/>
    </row>
    <row r="12" spans="1:17" ht="16.5" customHeight="1" thickBot="1" x14ac:dyDescent="0.3">
      <c r="A12" s="744"/>
      <c r="B12" s="686" t="s">
        <v>6</v>
      </c>
      <c r="C12" s="695" t="s">
        <v>1</v>
      </c>
      <c r="D12" s="695" t="s">
        <v>2</v>
      </c>
      <c r="E12" s="686" t="s">
        <v>14</v>
      </c>
      <c r="F12" s="748" t="s">
        <v>4</v>
      </c>
      <c r="G12" s="749"/>
      <c r="H12" s="749"/>
      <c r="I12" s="749"/>
      <c r="J12" s="750"/>
      <c r="K12" s="748" t="s">
        <v>3</v>
      </c>
      <c r="L12" s="749"/>
      <c r="M12" s="749"/>
      <c r="N12" s="751" t="s">
        <v>16</v>
      </c>
      <c r="O12" s="752"/>
      <c r="P12" s="695" t="s">
        <v>18</v>
      </c>
      <c r="Q12" s="109"/>
    </row>
    <row r="13" spans="1:17" ht="19.5" customHeight="1" x14ac:dyDescent="0.25">
      <c r="A13" s="744"/>
      <c r="B13" s="687"/>
      <c r="C13" s="696"/>
      <c r="D13" s="696"/>
      <c r="E13" s="687"/>
      <c r="F13" s="689" t="s">
        <v>15</v>
      </c>
      <c r="G13" s="736"/>
      <c r="H13" s="736"/>
      <c r="I13" s="736"/>
      <c r="J13" s="738" t="s">
        <v>5</v>
      </c>
      <c r="K13" s="740"/>
      <c r="L13" s="736"/>
      <c r="M13" s="742" t="s">
        <v>17</v>
      </c>
      <c r="N13" s="753"/>
      <c r="O13" s="754"/>
      <c r="P13" s="696"/>
      <c r="Q13" s="109"/>
    </row>
    <row r="14" spans="1:17" ht="26.25" customHeight="1" thickBot="1" x14ac:dyDescent="0.3">
      <c r="A14" s="744"/>
      <c r="B14" s="687"/>
      <c r="C14" s="696"/>
      <c r="D14" s="696"/>
      <c r="E14" s="687"/>
      <c r="F14" s="690"/>
      <c r="G14" s="737"/>
      <c r="H14" s="737"/>
      <c r="I14" s="737"/>
      <c r="J14" s="739"/>
      <c r="K14" s="741"/>
      <c r="L14" s="737"/>
      <c r="M14" s="743"/>
      <c r="N14" s="755"/>
      <c r="O14" s="756"/>
      <c r="P14" s="696"/>
      <c r="Q14" s="109"/>
    </row>
    <row r="15" spans="1:17" ht="18.75" customHeight="1" x14ac:dyDescent="0.25">
      <c r="A15" s="744"/>
      <c r="B15" s="110"/>
      <c r="C15" s="110"/>
      <c r="D15" s="110"/>
      <c r="E15" s="110"/>
      <c r="F15" s="111"/>
      <c r="G15" s="112"/>
      <c r="H15" s="112"/>
      <c r="I15" s="112"/>
      <c r="J15" s="113"/>
      <c r="K15" s="111"/>
      <c r="L15" s="112"/>
      <c r="M15" s="114"/>
      <c r="N15" s="734"/>
      <c r="O15" s="735"/>
      <c r="P15" s="110"/>
    </row>
    <row r="16" spans="1:17" ht="18.75" customHeight="1" x14ac:dyDescent="0.25">
      <c r="A16" s="744"/>
      <c r="B16" s="115"/>
      <c r="C16" s="115"/>
      <c r="D16" s="115"/>
      <c r="E16" s="115"/>
      <c r="F16" s="116"/>
      <c r="G16" s="117"/>
      <c r="H16" s="117"/>
      <c r="I16" s="117"/>
      <c r="J16" s="118"/>
      <c r="K16" s="116"/>
      <c r="L16" s="117"/>
      <c r="M16" s="119"/>
      <c r="N16" s="722"/>
      <c r="O16" s="723"/>
      <c r="P16" s="115"/>
    </row>
    <row r="17" spans="1:17" ht="18.75" customHeight="1" x14ac:dyDescent="0.25">
      <c r="A17" s="744"/>
      <c r="B17" s="115"/>
      <c r="C17" s="115"/>
      <c r="D17" s="115"/>
      <c r="E17" s="115"/>
      <c r="F17" s="116"/>
      <c r="G17" s="117"/>
      <c r="H17" s="117"/>
      <c r="I17" s="117"/>
      <c r="J17" s="118"/>
      <c r="K17" s="116"/>
      <c r="L17" s="117"/>
      <c r="M17" s="119"/>
      <c r="N17" s="722"/>
      <c r="O17" s="723"/>
      <c r="P17" s="115"/>
    </row>
    <row r="18" spans="1:17" ht="18.75" customHeight="1" x14ac:dyDescent="0.25">
      <c r="A18" s="744"/>
      <c r="B18" s="115"/>
      <c r="C18" s="115"/>
      <c r="D18" s="115"/>
      <c r="E18" s="115"/>
      <c r="F18" s="116"/>
      <c r="G18" s="117"/>
      <c r="H18" s="117"/>
      <c r="I18" s="117"/>
      <c r="J18" s="118"/>
      <c r="K18" s="116"/>
      <c r="L18" s="117"/>
      <c r="M18" s="119"/>
      <c r="N18" s="722"/>
      <c r="O18" s="723"/>
      <c r="P18" s="115"/>
    </row>
    <row r="19" spans="1:17" ht="18.75" customHeight="1" x14ac:dyDescent="0.25">
      <c r="A19" s="744"/>
      <c r="B19" s="115"/>
      <c r="C19" s="115"/>
      <c r="D19" s="115"/>
      <c r="E19" s="115"/>
      <c r="F19" s="116"/>
      <c r="G19" s="117"/>
      <c r="H19" s="117"/>
      <c r="I19" s="117"/>
      <c r="J19" s="118"/>
      <c r="K19" s="116"/>
      <c r="L19" s="117"/>
      <c r="M19" s="119"/>
      <c r="N19" s="722"/>
      <c r="O19" s="723"/>
      <c r="P19" s="115"/>
    </row>
    <row r="20" spans="1:17" ht="18.75" customHeight="1" x14ac:dyDescent="0.25">
      <c r="A20" s="744"/>
      <c r="B20" s="115"/>
      <c r="C20" s="115"/>
      <c r="D20" s="115"/>
      <c r="E20" s="115"/>
      <c r="F20" s="116"/>
      <c r="G20" s="117"/>
      <c r="H20" s="117"/>
      <c r="I20" s="117"/>
      <c r="J20" s="118"/>
      <c r="K20" s="116"/>
      <c r="L20" s="117"/>
      <c r="M20" s="119"/>
      <c r="N20" s="722"/>
      <c r="O20" s="723"/>
      <c r="P20" s="115"/>
    </row>
    <row r="21" spans="1:17" ht="18.75" customHeight="1" x14ac:dyDescent="0.25">
      <c r="A21" s="744"/>
      <c r="B21" s="115"/>
      <c r="C21" s="115"/>
      <c r="D21" s="115"/>
      <c r="E21" s="115"/>
      <c r="F21" s="116"/>
      <c r="G21" s="117"/>
      <c r="H21" s="117"/>
      <c r="I21" s="117"/>
      <c r="J21" s="118"/>
      <c r="K21" s="116"/>
      <c r="L21" s="117"/>
      <c r="M21" s="119"/>
      <c r="N21" s="722"/>
      <c r="O21" s="723"/>
      <c r="P21" s="115"/>
    </row>
    <row r="22" spans="1:17" ht="18.75" customHeight="1" x14ac:dyDescent="0.25">
      <c r="A22" s="744"/>
      <c r="B22" s="115"/>
      <c r="C22" s="115"/>
      <c r="D22" s="115"/>
      <c r="E22" s="115"/>
      <c r="F22" s="116"/>
      <c r="G22" s="117"/>
      <c r="H22" s="117"/>
      <c r="I22" s="117"/>
      <c r="J22" s="118"/>
      <c r="K22" s="116"/>
      <c r="L22" s="117"/>
      <c r="M22" s="119"/>
      <c r="N22" s="722"/>
      <c r="O22" s="723"/>
      <c r="P22" s="115"/>
    </row>
    <row r="23" spans="1:17" ht="18.75" customHeight="1" thickBot="1" x14ac:dyDescent="0.3">
      <c r="A23" s="744"/>
      <c r="B23" s="120"/>
      <c r="C23" s="120"/>
      <c r="D23" s="120"/>
      <c r="E23" s="120"/>
      <c r="F23" s="121"/>
      <c r="G23" s="122"/>
      <c r="H23" s="122"/>
      <c r="I23" s="122"/>
      <c r="J23" s="123"/>
      <c r="K23" s="121"/>
      <c r="L23" s="122"/>
      <c r="M23" s="124"/>
      <c r="N23" s="724"/>
      <c r="O23" s="725"/>
      <c r="P23" s="120"/>
    </row>
    <row r="24" spans="1:17" s="127" customFormat="1" ht="21" customHeight="1" thickBot="1" x14ac:dyDescent="0.3">
      <c r="A24" s="744"/>
      <c r="B24" s="125" t="s">
        <v>21</v>
      </c>
      <c r="C24" s="726" t="s">
        <v>37</v>
      </c>
      <c r="D24" s="727"/>
      <c r="E24" s="727"/>
      <c r="F24" s="727"/>
      <c r="G24" s="728"/>
      <c r="H24" s="126" t="s">
        <v>23</v>
      </c>
      <c r="I24" s="729" t="s">
        <v>39</v>
      </c>
      <c r="J24" s="730"/>
      <c r="K24" s="730"/>
      <c r="L24" s="730"/>
      <c r="M24" s="730"/>
      <c r="N24" s="730"/>
      <c r="O24" s="730"/>
      <c r="P24" s="731"/>
    </row>
    <row r="25" spans="1:17" ht="20.25" customHeight="1" x14ac:dyDescent="0.25">
      <c r="A25" s="744"/>
      <c r="B25" s="128" t="s">
        <v>22</v>
      </c>
      <c r="D25" s="107"/>
      <c r="E25" s="107"/>
      <c r="F25" s="107"/>
      <c r="G25" s="129"/>
      <c r="H25" s="107"/>
      <c r="I25" s="732" t="s">
        <v>38</v>
      </c>
      <c r="J25" s="732"/>
      <c r="K25" s="732"/>
      <c r="L25" s="732"/>
      <c r="M25" s="732"/>
      <c r="N25" s="732"/>
      <c r="O25" s="732"/>
      <c r="P25" s="733"/>
    </row>
    <row r="26" spans="1:17" ht="21.75" customHeight="1" x14ac:dyDescent="0.25">
      <c r="A26" s="744"/>
      <c r="B26" s="128"/>
      <c r="C26" s="107"/>
      <c r="D26" s="107"/>
      <c r="E26" s="107"/>
      <c r="F26" s="107"/>
      <c r="G26" s="129"/>
      <c r="H26" s="107"/>
      <c r="I26" s="107"/>
      <c r="J26" s="107"/>
      <c r="K26" s="107"/>
      <c r="L26" s="107"/>
      <c r="M26" s="107"/>
      <c r="N26" s="107"/>
      <c r="P26" s="130"/>
    </row>
    <row r="27" spans="1:17" ht="15.75" x14ac:dyDescent="0.25">
      <c r="A27" s="744"/>
      <c r="B27" s="128"/>
      <c r="C27" s="131"/>
      <c r="D27" s="131"/>
      <c r="E27" s="107"/>
      <c r="F27" s="131"/>
      <c r="G27" s="129"/>
      <c r="H27" s="107"/>
      <c r="I27" s="107"/>
      <c r="J27" s="131"/>
      <c r="K27" s="131"/>
      <c r="L27" s="131"/>
      <c r="M27" s="107"/>
      <c r="N27" s="131"/>
      <c r="O27" s="132"/>
      <c r="P27" s="130"/>
    </row>
    <row r="28" spans="1:17" ht="16.5" customHeight="1" x14ac:dyDescent="0.25">
      <c r="A28" s="744"/>
      <c r="B28" s="128"/>
      <c r="C28" s="710" t="s">
        <v>30</v>
      </c>
      <c r="D28" s="710"/>
      <c r="E28" s="107"/>
      <c r="F28" s="133" t="s">
        <v>29</v>
      </c>
      <c r="G28" s="129"/>
      <c r="H28" s="107"/>
      <c r="I28" s="107"/>
      <c r="J28" s="710" t="s">
        <v>34</v>
      </c>
      <c r="K28" s="710"/>
      <c r="L28" s="710"/>
      <c r="M28" s="107"/>
      <c r="N28" s="711" t="s">
        <v>29</v>
      </c>
      <c r="O28" s="711"/>
      <c r="P28" s="130"/>
    </row>
    <row r="29" spans="1:17" ht="15.75" x14ac:dyDescent="0.25">
      <c r="A29" s="744"/>
      <c r="B29" s="128"/>
      <c r="C29" s="708"/>
      <c r="D29" s="708"/>
      <c r="E29" s="107"/>
      <c r="F29" s="107"/>
      <c r="G29" s="129"/>
      <c r="H29" s="107"/>
      <c r="I29" s="107"/>
      <c r="J29" s="708"/>
      <c r="K29" s="708"/>
      <c r="L29" s="708"/>
      <c r="M29" s="107"/>
      <c r="N29" s="107"/>
      <c r="P29" s="130"/>
    </row>
    <row r="30" spans="1:17" ht="16.5" thickBot="1" x14ac:dyDescent="0.3">
      <c r="A30" s="744"/>
      <c r="B30" s="134"/>
      <c r="C30" s="135"/>
      <c r="D30" s="135"/>
      <c r="E30" s="135"/>
      <c r="F30" s="135"/>
      <c r="G30" s="136"/>
      <c r="H30" s="135"/>
      <c r="I30" s="135"/>
      <c r="J30" s="709"/>
      <c r="K30" s="709"/>
      <c r="L30" s="709"/>
      <c r="M30" s="135"/>
      <c r="N30" s="135"/>
      <c r="O30" s="108"/>
      <c r="P30" s="137"/>
      <c r="Q30" s="712"/>
    </row>
    <row r="31" spans="1:17" ht="21" customHeight="1" thickBot="1" x14ac:dyDescent="0.3">
      <c r="A31" s="744"/>
      <c r="B31" s="138" t="s">
        <v>24</v>
      </c>
      <c r="C31" s="714" t="s">
        <v>36</v>
      </c>
      <c r="D31" s="714"/>
      <c r="E31" s="714"/>
      <c r="F31" s="714"/>
      <c r="G31" s="715"/>
      <c r="H31" s="138" t="s">
        <v>25</v>
      </c>
      <c r="I31" s="718" t="s">
        <v>35</v>
      </c>
      <c r="J31" s="718"/>
      <c r="K31" s="718"/>
      <c r="L31" s="718"/>
      <c r="M31" s="718"/>
      <c r="N31" s="719"/>
      <c r="O31" s="138" t="s">
        <v>27</v>
      </c>
      <c r="P31" s="139"/>
      <c r="Q31" s="713"/>
    </row>
    <row r="32" spans="1:17" ht="18.75" customHeight="1" x14ac:dyDescent="0.25">
      <c r="A32" s="744"/>
      <c r="B32" s="128" t="s">
        <v>26</v>
      </c>
      <c r="C32" s="716"/>
      <c r="D32" s="716"/>
      <c r="E32" s="716"/>
      <c r="F32" s="716"/>
      <c r="G32" s="717"/>
      <c r="H32" s="140"/>
      <c r="I32" s="720"/>
      <c r="J32" s="720"/>
      <c r="K32" s="720"/>
      <c r="L32" s="720"/>
      <c r="M32" s="720"/>
      <c r="N32" s="721"/>
      <c r="O32" s="128"/>
      <c r="P32" s="129" t="s">
        <v>10</v>
      </c>
      <c r="Q32" s="713"/>
    </row>
    <row r="33" spans="1:17" ht="14.25" customHeight="1" x14ac:dyDescent="0.25">
      <c r="A33" s="744"/>
      <c r="B33" s="128"/>
      <c r="C33" s="107" t="s">
        <v>28</v>
      </c>
      <c r="D33" s="107"/>
      <c r="E33" s="107"/>
      <c r="F33" s="107"/>
      <c r="G33" s="129"/>
      <c r="H33" s="140"/>
      <c r="I33" s="107"/>
      <c r="J33" s="107"/>
      <c r="K33" s="107"/>
      <c r="L33" s="107"/>
      <c r="N33" s="130"/>
      <c r="O33" s="128"/>
      <c r="P33" s="130" t="s">
        <v>12</v>
      </c>
      <c r="Q33" s="713"/>
    </row>
    <row r="34" spans="1:17" ht="15.75" x14ac:dyDescent="0.25">
      <c r="A34" s="744"/>
      <c r="B34" s="128"/>
      <c r="C34" s="131"/>
      <c r="D34" s="131"/>
      <c r="E34" s="107"/>
      <c r="F34" s="131"/>
      <c r="G34" s="129"/>
      <c r="H34" s="140"/>
      <c r="I34" s="107"/>
      <c r="J34" s="131"/>
      <c r="K34" s="131"/>
      <c r="L34" s="131"/>
      <c r="N34" s="130"/>
      <c r="O34" s="128"/>
      <c r="P34" s="129" t="s">
        <v>11</v>
      </c>
      <c r="Q34" s="713"/>
    </row>
    <row r="35" spans="1:17" ht="15.75" customHeight="1" x14ac:dyDescent="0.25">
      <c r="A35" s="744"/>
      <c r="B35" s="128"/>
      <c r="C35" s="706" t="s">
        <v>32</v>
      </c>
      <c r="D35" s="706"/>
      <c r="E35" s="107"/>
      <c r="F35" s="133" t="s">
        <v>29</v>
      </c>
      <c r="G35" s="129"/>
      <c r="H35" s="140"/>
      <c r="J35" s="708" t="s">
        <v>33</v>
      </c>
      <c r="K35" s="708"/>
      <c r="L35" s="708"/>
      <c r="M35" s="141"/>
      <c r="N35" s="130"/>
      <c r="O35" s="128"/>
      <c r="P35" s="130" t="s">
        <v>12</v>
      </c>
      <c r="Q35" s="142"/>
    </row>
    <row r="36" spans="1:17" ht="16.5" thickBot="1" x14ac:dyDescent="0.3">
      <c r="A36" s="744"/>
      <c r="B36" s="134"/>
      <c r="C36" s="707"/>
      <c r="D36" s="707"/>
      <c r="E36" s="135"/>
      <c r="F36" s="135"/>
      <c r="G36" s="136"/>
      <c r="H36" s="143"/>
      <c r="I36" s="108"/>
      <c r="J36" s="709"/>
      <c r="K36" s="709"/>
      <c r="L36" s="709"/>
      <c r="M36" s="144"/>
      <c r="N36" s="136"/>
      <c r="O36" s="134"/>
      <c r="P36" s="137"/>
    </row>
    <row r="38" spans="1:17" x14ac:dyDescent="0.45">
      <c r="C38" s="146"/>
    </row>
    <row r="39" spans="1:17" x14ac:dyDescent="0.45">
      <c r="C39" s="146"/>
    </row>
    <row r="40" spans="1:17" x14ac:dyDescent="0.45">
      <c r="C40" s="146"/>
    </row>
    <row r="41" spans="1:17" x14ac:dyDescent="0.45">
      <c r="C41" s="146"/>
    </row>
    <row r="42" spans="1:17" x14ac:dyDescent="0.45">
      <c r="C42" s="146"/>
    </row>
  </sheetData>
  <mergeCells count="40">
    <mergeCell ref="A1:A36"/>
    <mergeCell ref="B4:P4"/>
    <mergeCell ref="B5:P5"/>
    <mergeCell ref="B10:P10"/>
    <mergeCell ref="B12:B14"/>
    <mergeCell ref="C12:C14"/>
    <mergeCell ref="D12:D14"/>
    <mergeCell ref="E12:E14"/>
    <mergeCell ref="F12:J12"/>
    <mergeCell ref="K12:M12"/>
    <mergeCell ref="N20:O20"/>
    <mergeCell ref="N12:O14"/>
    <mergeCell ref="P12:P14"/>
    <mergeCell ref="F13:F14"/>
    <mergeCell ref="G13:G14"/>
    <mergeCell ref="H13:H14"/>
    <mergeCell ref="I13:I14"/>
    <mergeCell ref="J13:J14"/>
    <mergeCell ref="K13:K14"/>
    <mergeCell ref="L13:L14"/>
    <mergeCell ref="M13:M14"/>
    <mergeCell ref="N15:O15"/>
    <mergeCell ref="N16:O16"/>
    <mergeCell ref="N17:O17"/>
    <mergeCell ref="N18:O18"/>
    <mergeCell ref="N19:O19"/>
    <mergeCell ref="Q30:Q34"/>
    <mergeCell ref="C31:G32"/>
    <mergeCell ref="I31:N32"/>
    <mergeCell ref="N21:O21"/>
    <mergeCell ref="N22:O22"/>
    <mergeCell ref="N23:O23"/>
    <mergeCell ref="C24:G24"/>
    <mergeCell ref="I24:P24"/>
    <mergeCell ref="I25:P25"/>
    <mergeCell ref="C35:D36"/>
    <mergeCell ref="J35:L36"/>
    <mergeCell ref="C28:D29"/>
    <mergeCell ref="J28:L30"/>
    <mergeCell ref="N28:O28"/>
  </mergeCells>
  <printOptions horizontalCentered="1"/>
  <pageMargins left="0.5" right="1" top="1.25" bottom="1" header="0" footer="0"/>
  <pageSetup paperSize="9" scale="66" orientation="landscape" horizontalDpi="429496729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1"/>
    <pageSetUpPr fitToPage="1"/>
  </sheetPr>
  <dimension ref="B2:AT25"/>
  <sheetViews>
    <sheetView zoomScaleNormal="100" workbookViewId="0">
      <pane xSplit="7" ySplit="6" topLeftCell="S7" activePane="bottomRight" state="frozen"/>
      <selection pane="topRight" activeCell="H1" sqref="H1"/>
      <selection pane="bottomLeft" activeCell="A7" sqref="A7"/>
      <selection pane="bottomRight" activeCell="C20" sqref="C8:C20"/>
    </sheetView>
  </sheetViews>
  <sheetFormatPr defaultRowHeight="15.75" x14ac:dyDescent="0.25"/>
  <cols>
    <col min="1" max="1" width="3.25" style="57" customWidth="1"/>
    <col min="2" max="2" width="13" style="57" customWidth="1"/>
    <col min="3" max="3" width="31.625" style="57" bestFit="1" customWidth="1"/>
    <col min="4" max="4" width="13.5" style="57" customWidth="1"/>
    <col min="5" max="5" width="11.125" style="57" bestFit="1" customWidth="1"/>
    <col min="6" max="6" width="13.875" style="57" bestFit="1" customWidth="1"/>
    <col min="7" max="7" width="11.75" style="57" customWidth="1"/>
    <col min="8" max="8" width="12.625" style="57" customWidth="1"/>
    <col min="9" max="9" width="11.875" style="57" customWidth="1"/>
    <col min="10" max="10" width="13.125" style="57" customWidth="1"/>
    <col min="11" max="11" width="10.625" style="57" customWidth="1"/>
    <col min="12" max="12" width="12.625" style="57" customWidth="1"/>
    <col min="13" max="14" width="10.625" style="57" customWidth="1"/>
    <col min="15" max="15" width="11.875" style="57" customWidth="1"/>
    <col min="16" max="16" width="10.625" style="57" customWidth="1"/>
    <col min="17" max="17" width="11.5" style="57" customWidth="1"/>
    <col min="18" max="18" width="11.125" style="57" customWidth="1"/>
    <col min="19" max="21" width="10.625" style="57" customWidth="1"/>
    <col min="22" max="22" width="13.25" style="57" customWidth="1"/>
    <col min="23" max="23" width="12.625" style="57" customWidth="1"/>
    <col min="24" max="29" width="10.625" style="57" customWidth="1"/>
    <col min="30" max="30" width="11.875" style="57" customWidth="1"/>
    <col min="31" max="31" width="11.5" style="57" customWidth="1"/>
    <col min="32" max="32" width="12.625" style="57" customWidth="1"/>
    <col min="33" max="33" width="11.875" style="57" customWidth="1"/>
    <col min="34" max="34" width="13.125" style="57" customWidth="1"/>
    <col min="35" max="35" width="11.375" style="57" customWidth="1"/>
    <col min="36" max="38" width="10.625" style="57" customWidth="1"/>
    <col min="39" max="39" width="12.75" style="57" customWidth="1"/>
    <col min="40" max="40" width="14.5" style="57" bestFit="1" customWidth="1"/>
    <col min="41" max="41" width="13.5" style="57" customWidth="1"/>
    <col min="42" max="42" width="12.875" style="57" customWidth="1"/>
    <col min="43" max="43" width="13" style="57" bestFit="1" customWidth="1"/>
    <col min="44" max="44" width="11.375" style="57" bestFit="1" customWidth="1"/>
    <col min="45" max="45" width="13" style="57" bestFit="1" customWidth="1"/>
    <col min="46" max="46" width="11.375" style="57" bestFit="1" customWidth="1"/>
    <col min="47" max="16384" width="9" style="57"/>
  </cols>
  <sheetData>
    <row r="2" spans="2:46" ht="16.5" thickBot="1" x14ac:dyDescent="0.3">
      <c r="B2" s="785" t="s">
        <v>124</v>
      </c>
      <c r="C2" s="785"/>
      <c r="D2" s="785"/>
      <c r="E2" s="169"/>
      <c r="F2" s="169"/>
      <c r="G2" s="178"/>
    </row>
    <row r="3" spans="2:46" ht="16.5" thickBot="1" x14ac:dyDescent="0.3">
      <c r="B3" s="6"/>
      <c r="C3" s="6"/>
      <c r="D3" s="6"/>
      <c r="E3" s="6"/>
      <c r="F3" s="6"/>
      <c r="G3" s="6"/>
    </row>
    <row r="4" spans="2:46" ht="33.75" customHeight="1" thickBot="1" x14ac:dyDescent="0.3">
      <c r="B4" s="786" t="s">
        <v>6</v>
      </c>
      <c r="C4" s="789" t="s">
        <v>116</v>
      </c>
      <c r="D4" s="792" t="s">
        <v>133</v>
      </c>
      <c r="E4" s="777" t="s">
        <v>134</v>
      </c>
      <c r="F4" s="780" t="s">
        <v>139</v>
      </c>
      <c r="G4" s="767" t="s">
        <v>125</v>
      </c>
      <c r="H4" s="768"/>
      <c r="I4" s="768"/>
      <c r="J4" s="768"/>
      <c r="K4" s="768"/>
      <c r="L4" s="768"/>
      <c r="M4" s="768"/>
      <c r="N4" s="768"/>
      <c r="O4" s="768"/>
      <c r="P4" s="768"/>
      <c r="Q4" s="768"/>
      <c r="R4" s="768"/>
      <c r="S4" s="768"/>
      <c r="T4" s="768"/>
      <c r="U4" s="768"/>
      <c r="V4" s="768"/>
      <c r="W4" s="768"/>
      <c r="X4" s="768"/>
      <c r="Y4" s="768"/>
      <c r="Z4" s="768"/>
      <c r="AA4" s="768"/>
      <c r="AB4" s="768"/>
      <c r="AC4" s="768"/>
      <c r="AD4" s="768"/>
      <c r="AE4" s="768"/>
      <c r="AF4" s="768"/>
      <c r="AG4" s="768"/>
      <c r="AH4" s="768"/>
      <c r="AI4" s="768"/>
      <c r="AJ4" s="768"/>
      <c r="AK4" s="768"/>
      <c r="AL4" s="768"/>
      <c r="AM4" s="769"/>
      <c r="AN4" s="758" t="s">
        <v>135</v>
      </c>
      <c r="AO4" s="758" t="s">
        <v>51</v>
      </c>
      <c r="AP4" s="758" t="s">
        <v>52</v>
      </c>
    </row>
    <row r="5" spans="2:46" x14ac:dyDescent="0.25">
      <c r="B5" s="787"/>
      <c r="C5" s="790"/>
      <c r="D5" s="793"/>
      <c r="E5" s="778"/>
      <c r="F5" s="781"/>
      <c r="G5" s="795" t="s">
        <v>54</v>
      </c>
      <c r="H5" s="774" t="s">
        <v>136</v>
      </c>
      <c r="I5" s="774"/>
      <c r="J5" s="775"/>
      <c r="K5" s="775"/>
      <c r="L5" s="776"/>
      <c r="M5" s="797" t="s">
        <v>127</v>
      </c>
      <c r="N5" s="798"/>
      <c r="O5" s="798"/>
      <c r="P5" s="798"/>
      <c r="Q5" s="798"/>
      <c r="R5" s="798"/>
      <c r="S5" s="798"/>
      <c r="T5" s="798"/>
      <c r="U5" s="798"/>
      <c r="V5" s="799"/>
      <c r="W5" s="800" t="s">
        <v>130</v>
      </c>
      <c r="X5" s="773" t="s">
        <v>75</v>
      </c>
      <c r="Y5" s="770"/>
      <c r="Z5" s="770" t="s">
        <v>128</v>
      </c>
      <c r="AA5" s="770"/>
      <c r="AB5" s="770"/>
      <c r="AC5" s="770"/>
      <c r="AD5" s="771" t="s">
        <v>131</v>
      </c>
      <c r="AE5" s="761" t="s">
        <v>57</v>
      </c>
      <c r="AF5" s="762"/>
      <c r="AG5" s="763" t="s">
        <v>132</v>
      </c>
      <c r="AH5" s="765" t="s">
        <v>80</v>
      </c>
      <c r="AI5" s="766"/>
      <c r="AJ5" s="766"/>
      <c r="AK5" s="766"/>
      <c r="AL5" s="766"/>
      <c r="AM5" s="783" t="s">
        <v>85</v>
      </c>
      <c r="AN5" s="759"/>
      <c r="AO5" s="759"/>
      <c r="AP5" s="759"/>
    </row>
    <row r="6" spans="2:46" ht="16.5" thickBot="1" x14ac:dyDescent="0.3">
      <c r="B6" s="788"/>
      <c r="C6" s="791"/>
      <c r="D6" s="794"/>
      <c r="E6" s="779"/>
      <c r="F6" s="782"/>
      <c r="G6" s="796"/>
      <c r="H6" s="232" t="s">
        <v>126</v>
      </c>
      <c r="I6" s="232" t="s">
        <v>62</v>
      </c>
      <c r="J6" s="233" t="s">
        <v>60</v>
      </c>
      <c r="K6" s="233" t="s">
        <v>110</v>
      </c>
      <c r="L6" s="234" t="s">
        <v>129</v>
      </c>
      <c r="M6" s="247" t="s">
        <v>67</v>
      </c>
      <c r="N6" s="233" t="s">
        <v>68</v>
      </c>
      <c r="O6" s="233" t="s">
        <v>69</v>
      </c>
      <c r="P6" s="233" t="s">
        <v>70</v>
      </c>
      <c r="Q6" s="233" t="s">
        <v>71</v>
      </c>
      <c r="R6" s="233" t="s">
        <v>72</v>
      </c>
      <c r="S6" s="233" t="s">
        <v>73</v>
      </c>
      <c r="T6" s="233" t="s">
        <v>111</v>
      </c>
      <c r="U6" s="233" t="s">
        <v>78</v>
      </c>
      <c r="V6" s="248" t="s">
        <v>129</v>
      </c>
      <c r="W6" s="801"/>
      <c r="X6" s="262" t="s">
        <v>126</v>
      </c>
      <c r="Y6" s="263" t="s">
        <v>60</v>
      </c>
      <c r="Z6" s="263" t="s">
        <v>76</v>
      </c>
      <c r="AA6" s="263" t="s">
        <v>71</v>
      </c>
      <c r="AB6" s="263" t="s">
        <v>77</v>
      </c>
      <c r="AC6" s="263" t="s">
        <v>78</v>
      </c>
      <c r="AD6" s="772"/>
      <c r="AE6" s="276" t="s">
        <v>126</v>
      </c>
      <c r="AF6" s="277" t="s">
        <v>60</v>
      </c>
      <c r="AG6" s="764"/>
      <c r="AH6" s="290" t="s">
        <v>81</v>
      </c>
      <c r="AI6" s="291" t="s">
        <v>82</v>
      </c>
      <c r="AJ6" s="291" t="s">
        <v>83</v>
      </c>
      <c r="AK6" s="291" t="s">
        <v>84</v>
      </c>
      <c r="AL6" s="291" t="s">
        <v>86</v>
      </c>
      <c r="AM6" s="784"/>
      <c r="AN6" s="760"/>
      <c r="AO6" s="760"/>
      <c r="AP6" s="760"/>
      <c r="AR6" s="757" t="s">
        <v>148</v>
      </c>
      <c r="AS6" s="757"/>
      <c r="AT6" s="757"/>
    </row>
    <row r="7" spans="2:46" x14ac:dyDescent="0.25">
      <c r="B7" s="191"/>
      <c r="C7" s="192"/>
      <c r="D7" s="194"/>
      <c r="E7" s="195"/>
      <c r="F7" s="223"/>
      <c r="G7" s="228"/>
      <c r="H7" s="235"/>
      <c r="I7" s="235"/>
      <c r="J7" s="236"/>
      <c r="K7" s="236"/>
      <c r="L7" s="237"/>
      <c r="M7" s="249"/>
      <c r="N7" s="236"/>
      <c r="O7" s="236"/>
      <c r="P7" s="236"/>
      <c r="Q7" s="236"/>
      <c r="R7" s="236"/>
      <c r="S7" s="236"/>
      <c r="T7" s="236"/>
      <c r="U7" s="236"/>
      <c r="V7" s="250"/>
      <c r="W7" s="258"/>
      <c r="X7" s="264"/>
      <c r="Y7" s="265"/>
      <c r="Z7" s="265"/>
      <c r="AA7" s="265"/>
      <c r="AB7" s="265"/>
      <c r="AC7" s="265"/>
      <c r="AD7" s="266"/>
      <c r="AE7" s="278"/>
      <c r="AF7" s="279"/>
      <c r="AG7" s="280"/>
      <c r="AH7" s="292"/>
      <c r="AI7" s="293"/>
      <c r="AJ7" s="293"/>
      <c r="AK7" s="293"/>
      <c r="AL7" s="293"/>
      <c r="AM7" s="294"/>
      <c r="AN7" s="197"/>
      <c r="AO7" s="197"/>
      <c r="AP7" s="197"/>
    </row>
    <row r="8" spans="2:46" x14ac:dyDescent="0.25">
      <c r="B8" s="190" t="s">
        <v>160</v>
      </c>
      <c r="C8" s="193" t="s">
        <v>107</v>
      </c>
      <c r="D8" s="188">
        <f>'GEN.AD - PAY'!I163</f>
        <v>0</v>
      </c>
      <c r="E8" s="196">
        <f>'GEN.AD - PAY'!J163</f>
        <v>0</v>
      </c>
      <c r="F8" s="224">
        <f>'GEN.AD - PAY'!K163</f>
        <v>0</v>
      </c>
      <c r="G8" s="229">
        <f>'GEN.AD - PAY'!L163</f>
        <v>0</v>
      </c>
      <c r="H8" s="238">
        <f>'GEN.AD - DEDS'!G162</f>
        <v>0</v>
      </c>
      <c r="I8" s="238">
        <f>'GEN.AD - PAY'!W163</f>
        <v>14100</v>
      </c>
      <c r="J8" s="239">
        <f>'GEN.AD - PAY'!V163</f>
        <v>0</v>
      </c>
      <c r="K8" s="239">
        <f>'GEN.AD - DEDS'!H162</f>
        <v>0</v>
      </c>
      <c r="L8" s="240">
        <f>SUM(H8:K8)</f>
        <v>14100</v>
      </c>
      <c r="M8" s="251">
        <f>'GEN.AD - DEDS'!I162</f>
        <v>0</v>
      </c>
      <c r="N8" s="239">
        <f>'GEN.AD - DEDS'!J162</f>
        <v>0</v>
      </c>
      <c r="O8" s="239">
        <f>'GEN.AD - DEDS'!K162</f>
        <v>0</v>
      </c>
      <c r="P8" s="239">
        <f>'GEN.AD - DEDS'!L162</f>
        <v>0</v>
      </c>
      <c r="Q8" s="239">
        <f>'GEN.AD - DEDS'!M162</f>
        <v>0</v>
      </c>
      <c r="R8" s="239">
        <f>'GEN.AD - DEDS'!N162</f>
        <v>0</v>
      </c>
      <c r="S8" s="239">
        <f>'GEN.AD - DEDS'!O162</f>
        <v>0</v>
      </c>
      <c r="T8" s="239">
        <f>'GEN.AD - DEDS'!P162</f>
        <v>0</v>
      </c>
      <c r="U8" s="239">
        <f>'GEN.AD - DEDS'!Q162</f>
        <v>0</v>
      </c>
      <c r="V8" s="252">
        <f>SUM(M8:U8)</f>
        <v>0</v>
      </c>
      <c r="W8" s="259">
        <f>L8+V8</f>
        <v>14100</v>
      </c>
      <c r="X8" s="267">
        <f>'GEN.AD - DEDS'!S162</f>
        <v>0</v>
      </c>
      <c r="Y8" s="268">
        <f>'GEN.AD - PAY'!Y163</f>
        <v>28200</v>
      </c>
      <c r="Z8" s="268">
        <f>'GEN.AD - DEDS'!T162</f>
        <v>0</v>
      </c>
      <c r="AA8" s="268">
        <f>'GEN.AD - DEDS'!U162</f>
        <v>0</v>
      </c>
      <c r="AB8" s="268">
        <f>'GEN.AD - DEDS'!V162</f>
        <v>0</v>
      </c>
      <c r="AC8" s="268">
        <f>'GEN.AD - DEDS'!W162</f>
        <v>0</v>
      </c>
      <c r="AD8" s="269">
        <f>SUM(X8:AC8)</f>
        <v>28200</v>
      </c>
      <c r="AE8" s="281">
        <f>'GEN.AD - DEDS'!Y162</f>
        <v>0</v>
      </c>
      <c r="AF8" s="282">
        <f>'GEN.AD - PAY'!X163</f>
        <v>0</v>
      </c>
      <c r="AG8" s="283">
        <f>SUM(AE8:AF8)</f>
        <v>0</v>
      </c>
      <c r="AH8" s="295">
        <f>'GEN.AD - DEDS'!Z162</f>
        <v>0</v>
      </c>
      <c r="AI8" s="296">
        <f>'GEN.AD - DEDS'!AA162</f>
        <v>0</v>
      </c>
      <c r="AJ8" s="296">
        <f>'GEN.AD - DEDS'!AB162</f>
        <v>0</v>
      </c>
      <c r="AK8" s="296">
        <f>'GEN.AD - DEDS'!AC162</f>
        <v>0</v>
      </c>
      <c r="AL8" s="296">
        <f>'GEN.AD - DEDS'!AD162</f>
        <v>0</v>
      </c>
      <c r="AM8" s="297">
        <f>SUM(AH8:AL8)</f>
        <v>0</v>
      </c>
      <c r="AN8" s="198">
        <f t="shared" ref="AN8:AN18" si="0">D8-E8-G8-H8-V8-X8-SUM(Z8:AC8)-AE8-AM8</f>
        <v>0</v>
      </c>
      <c r="AO8" s="198">
        <f>'GEN.AD - PAY'!S163</f>
        <v>0</v>
      </c>
      <c r="AP8" s="198">
        <f>AN8-AO8</f>
        <v>0</v>
      </c>
      <c r="AR8" s="205">
        <f>AN8-'GEN.AD - PAY'!R163</f>
        <v>0</v>
      </c>
      <c r="AS8" s="205">
        <f>AO8-'GEN.AD - PAY'!S163</f>
        <v>0</v>
      </c>
      <c r="AT8" s="205">
        <f>AP8-'GEN.AD - PAY'!T163</f>
        <v>0</v>
      </c>
    </row>
    <row r="9" spans="2:46" x14ac:dyDescent="0.25">
      <c r="B9" s="190" t="str">
        <f>LEFT(B8,8) &amp; TEXT(RIGHT(B8,3) + 1,"000")</f>
        <v>2026-01-015</v>
      </c>
      <c r="C9" s="193" t="s">
        <v>108</v>
      </c>
      <c r="D9" s="188">
        <f>'AUX - PAY'!I41</f>
        <v>0</v>
      </c>
      <c r="E9" s="188">
        <f>'AUX - PAY'!J41</f>
        <v>0</v>
      </c>
      <c r="F9" s="225">
        <f>'AUX - PAY'!K41</f>
        <v>0</v>
      </c>
      <c r="G9" s="229">
        <f>'AUX - PAY'!L41</f>
        <v>0</v>
      </c>
      <c r="H9" s="238">
        <f>'AUX - DEDS'!G40</f>
        <v>0</v>
      </c>
      <c r="I9" s="238">
        <f>'AUX - PAY'!W41</f>
        <v>1600</v>
      </c>
      <c r="J9" s="239">
        <f>'AUX - PAY'!V41</f>
        <v>0</v>
      </c>
      <c r="K9" s="239">
        <f>'AUX - DEDS'!H40</f>
        <v>0</v>
      </c>
      <c r="L9" s="240">
        <f t="shared" ref="L9:L18" si="1">SUM(H9:K9)</f>
        <v>1600</v>
      </c>
      <c r="M9" s="251">
        <f>'AUX - DEDS'!I40</f>
        <v>0</v>
      </c>
      <c r="N9" s="239">
        <f>'AUX - DEDS'!J40</f>
        <v>0</v>
      </c>
      <c r="O9" s="239">
        <f>'AUX - DEDS'!K40</f>
        <v>0</v>
      </c>
      <c r="P9" s="239">
        <f>'AUX - DEDS'!L40</f>
        <v>0</v>
      </c>
      <c r="Q9" s="239">
        <f>'AUX - DEDS'!M40</f>
        <v>0</v>
      </c>
      <c r="R9" s="239">
        <f>'AUX - DEDS'!N40</f>
        <v>0</v>
      </c>
      <c r="S9" s="239">
        <f>'AUX - DEDS'!O40</f>
        <v>0</v>
      </c>
      <c r="T9" s="239">
        <f>'AUX - DEDS'!P40</f>
        <v>0</v>
      </c>
      <c r="U9" s="239">
        <f>'AUX - DEDS'!Q40</f>
        <v>0</v>
      </c>
      <c r="V9" s="252">
        <f t="shared" ref="V9:V18" si="2">SUM(M9:U9)</f>
        <v>0</v>
      </c>
      <c r="W9" s="259">
        <f t="shared" ref="W9:W18" si="3">L9+V9</f>
        <v>1600</v>
      </c>
      <c r="X9" s="267">
        <f>'AUX - DEDS'!S40</f>
        <v>0</v>
      </c>
      <c r="Y9" s="268">
        <f>'AUX - PAY'!Y41</f>
        <v>3200</v>
      </c>
      <c r="Z9" s="268">
        <f>'AUX - DEDS'!T40</f>
        <v>0</v>
      </c>
      <c r="AA9" s="268">
        <f>'AUX - DEDS'!U40</f>
        <v>0</v>
      </c>
      <c r="AB9" s="268">
        <f>'AUX - DEDS'!V40</f>
        <v>0</v>
      </c>
      <c r="AC9" s="268">
        <f>'AUX - DEDS'!W40</f>
        <v>0</v>
      </c>
      <c r="AD9" s="269">
        <f t="shared" ref="AD9:AD18" si="4">SUM(X9:AC9)</f>
        <v>3200</v>
      </c>
      <c r="AE9" s="281">
        <f>'AUX - DEDS'!Y40</f>
        <v>0</v>
      </c>
      <c r="AF9" s="282">
        <f>'AUX - PAY'!X41</f>
        <v>0</v>
      </c>
      <c r="AG9" s="283">
        <f t="shared" ref="AG9:AG18" si="5">SUM(AE9:AF9)</f>
        <v>0</v>
      </c>
      <c r="AH9" s="295">
        <f>'AUX - DEDS'!Z40</f>
        <v>0</v>
      </c>
      <c r="AI9" s="298">
        <f>'AUX - DEDS'!AA40</f>
        <v>0</v>
      </c>
      <c r="AJ9" s="298">
        <f>'AUX - DEDS'!AB40</f>
        <v>0</v>
      </c>
      <c r="AK9" s="298">
        <f>'AUX - DEDS'!AC40</f>
        <v>0</v>
      </c>
      <c r="AL9" s="298">
        <f>'AUX - DEDS'!AD40</f>
        <v>0</v>
      </c>
      <c r="AM9" s="297">
        <f t="shared" ref="AM9:AM18" si="6">SUM(AH9:AL9)</f>
        <v>0</v>
      </c>
      <c r="AN9" s="198">
        <f t="shared" si="0"/>
        <v>0</v>
      </c>
      <c r="AO9" s="198">
        <f>'AUX - PAY'!S41</f>
        <v>0</v>
      </c>
      <c r="AP9" s="198">
        <f t="shared" ref="AP9:AP18" si="7">AN9-AO9</f>
        <v>0</v>
      </c>
      <c r="AR9" s="206">
        <f>'AUX - PAY'!R41-SUMMARY!AN9</f>
        <v>0</v>
      </c>
      <c r="AS9" s="206">
        <f>'AUX - PAY'!S41-SUMMARY!AO9</f>
        <v>0</v>
      </c>
      <c r="AT9" s="206">
        <f>'AUX - PAY'!T41-SUMMARY!AP9</f>
        <v>0</v>
      </c>
    </row>
    <row r="10" spans="2:46" x14ac:dyDescent="0.25">
      <c r="B10" s="190" t="str">
        <f t="shared" ref="B10:B20" si="8">LEFT(B9,8) &amp; TEXT(RIGHT(B9,3) + 1,"000")</f>
        <v>2026-01-016</v>
      </c>
      <c r="C10" s="193" t="s">
        <v>112</v>
      </c>
      <c r="D10" s="188">
        <f>'CEN - PAY'!I49</f>
        <v>0</v>
      </c>
      <c r="E10" s="188">
        <f>'CEN - PAY'!J49</f>
        <v>0</v>
      </c>
      <c r="F10" s="225">
        <f>'CEN - PAY'!K49</f>
        <v>0</v>
      </c>
      <c r="G10" s="229">
        <f>'CEN - PAY'!L49</f>
        <v>0</v>
      </c>
      <c r="H10" s="238">
        <f>'CEN - DEDS'!G48</f>
        <v>0</v>
      </c>
      <c r="I10" s="238">
        <f>'CEN - PAY'!W49</f>
        <v>2700</v>
      </c>
      <c r="J10" s="239">
        <f>'CEN - PAY'!V49</f>
        <v>0</v>
      </c>
      <c r="K10" s="239">
        <f>'CEN - DEDS'!H48</f>
        <v>0</v>
      </c>
      <c r="L10" s="240">
        <f t="shared" si="1"/>
        <v>2700</v>
      </c>
      <c r="M10" s="251">
        <f>'CEN - DEDS'!I48</f>
        <v>0</v>
      </c>
      <c r="N10" s="239">
        <f>'CEN - DEDS'!J48</f>
        <v>0</v>
      </c>
      <c r="O10" s="239">
        <f>'CEN - DEDS'!K48</f>
        <v>0</v>
      </c>
      <c r="P10" s="239">
        <f>'CEN - DEDS'!L48</f>
        <v>0</v>
      </c>
      <c r="Q10" s="239">
        <f>'CEN - DEDS'!M48</f>
        <v>0</v>
      </c>
      <c r="R10" s="239">
        <f>'CEN - DEDS'!N48</f>
        <v>0</v>
      </c>
      <c r="S10" s="239">
        <f>'CEN - DEDS'!O48</f>
        <v>0</v>
      </c>
      <c r="T10" s="239">
        <f>'CEN - DEDS'!P48</f>
        <v>0</v>
      </c>
      <c r="U10" s="239">
        <f>'CEN - DEDS'!Q48</f>
        <v>0</v>
      </c>
      <c r="V10" s="252">
        <f t="shared" si="2"/>
        <v>0</v>
      </c>
      <c r="W10" s="259">
        <f t="shared" si="3"/>
        <v>2700</v>
      </c>
      <c r="X10" s="267">
        <f>'CEN - DEDS'!S48</f>
        <v>0</v>
      </c>
      <c r="Y10" s="268">
        <f>'CEN - PAY'!Y49</f>
        <v>5400</v>
      </c>
      <c r="Z10" s="268">
        <f>'CEN - DEDS'!T48</f>
        <v>0</v>
      </c>
      <c r="AA10" s="268">
        <f>'CEN - DEDS'!U48</f>
        <v>0</v>
      </c>
      <c r="AB10" s="268">
        <f>'CEN - DEDS'!V48</f>
        <v>0</v>
      </c>
      <c r="AC10" s="268">
        <f>'CEN - DEDS'!W48</f>
        <v>0</v>
      </c>
      <c r="AD10" s="269">
        <f t="shared" si="4"/>
        <v>5400</v>
      </c>
      <c r="AE10" s="281">
        <f>'CEN - DEDS'!Y48</f>
        <v>0</v>
      </c>
      <c r="AF10" s="282">
        <f>'CEN - PAY'!X49</f>
        <v>0</v>
      </c>
      <c r="AG10" s="283">
        <f t="shared" si="5"/>
        <v>0</v>
      </c>
      <c r="AH10" s="295">
        <f>'CEN - DEDS'!Z48</f>
        <v>0</v>
      </c>
      <c r="AI10" s="298">
        <f>'CEN - DEDS'!AA48</f>
        <v>0</v>
      </c>
      <c r="AJ10" s="298">
        <f>'CEN - DEDS'!AB48</f>
        <v>0</v>
      </c>
      <c r="AK10" s="298">
        <f>'CEN - DEDS'!AC48</f>
        <v>0</v>
      </c>
      <c r="AL10" s="298">
        <f>'CEN - DEDS'!AD48</f>
        <v>0</v>
      </c>
      <c r="AM10" s="297">
        <f t="shared" si="6"/>
        <v>0</v>
      </c>
      <c r="AN10" s="198">
        <f t="shared" si="0"/>
        <v>0</v>
      </c>
      <c r="AO10" s="198">
        <f>'CEN - PAY'!S49</f>
        <v>0</v>
      </c>
      <c r="AP10" s="198">
        <f t="shared" si="7"/>
        <v>0</v>
      </c>
      <c r="AR10" s="205">
        <f>AN10-'CEN - PAY'!R49</f>
        <v>0</v>
      </c>
      <c r="AS10" s="205">
        <f>AO10-'CEN - PAY'!S49</f>
        <v>0</v>
      </c>
      <c r="AT10" s="205">
        <f>AP10-'CEN - PAY'!T49</f>
        <v>0</v>
      </c>
    </row>
    <row r="11" spans="2:46" x14ac:dyDescent="0.25">
      <c r="B11" s="190" t="str">
        <f t="shared" si="8"/>
        <v>2026-01-017</v>
      </c>
      <c r="C11" s="193" t="s">
        <v>114</v>
      </c>
      <c r="D11" s="188">
        <f>'CIT - PAY'!I84</f>
        <v>0</v>
      </c>
      <c r="E11" s="188">
        <f>'CIT - PAY'!J84</f>
        <v>0</v>
      </c>
      <c r="F11" s="225">
        <f>'CIT - PAY'!K84</f>
        <v>0</v>
      </c>
      <c r="G11" s="229">
        <f>'CIT - PAY'!L84</f>
        <v>0</v>
      </c>
      <c r="H11" s="238">
        <f>'CIT - DEDS'!G83</f>
        <v>0</v>
      </c>
      <c r="I11" s="238">
        <f>'CIT - PAY'!W84</f>
        <v>6200</v>
      </c>
      <c r="J11" s="239">
        <f>'CIT - PAY'!V84</f>
        <v>0</v>
      </c>
      <c r="K11" s="239">
        <f>'CIT - DEDS'!H83</f>
        <v>0</v>
      </c>
      <c r="L11" s="240">
        <f t="shared" si="1"/>
        <v>6200</v>
      </c>
      <c r="M11" s="253">
        <f>'CIT - DEDS'!I83</f>
        <v>0</v>
      </c>
      <c r="N11" s="239">
        <f>'CIT - DEDS'!J83</f>
        <v>0</v>
      </c>
      <c r="O11" s="239">
        <f>'CIT - DEDS'!K83</f>
        <v>0</v>
      </c>
      <c r="P11" s="239">
        <f>'CIT - DEDS'!L83</f>
        <v>0</v>
      </c>
      <c r="Q11" s="239">
        <f>'CIT - DEDS'!M83</f>
        <v>0</v>
      </c>
      <c r="R11" s="239">
        <f>'CIT - DEDS'!N83</f>
        <v>0</v>
      </c>
      <c r="S11" s="239">
        <f>'CIT - DEDS'!O83</f>
        <v>0</v>
      </c>
      <c r="T11" s="239">
        <f>'CIT - DEDS'!P83</f>
        <v>0</v>
      </c>
      <c r="U11" s="239">
        <f>'CIT - DEDS'!Q83</f>
        <v>0</v>
      </c>
      <c r="V11" s="252">
        <f t="shared" si="2"/>
        <v>0</v>
      </c>
      <c r="W11" s="259">
        <f t="shared" si="3"/>
        <v>6200</v>
      </c>
      <c r="X11" s="267">
        <f>'CIT - DEDS'!S83</f>
        <v>0</v>
      </c>
      <c r="Y11" s="268">
        <f>'CIT - PAY'!Y84</f>
        <v>12400</v>
      </c>
      <c r="Z11" s="268">
        <f>'CIT - DEDS'!T83</f>
        <v>0</v>
      </c>
      <c r="AA11" s="268">
        <f>'CIT - DEDS'!U83</f>
        <v>0</v>
      </c>
      <c r="AB11" s="268">
        <f>'CIT - DEDS'!V83</f>
        <v>0</v>
      </c>
      <c r="AC11" s="268">
        <f>'CIT - DEDS'!W83</f>
        <v>0</v>
      </c>
      <c r="AD11" s="269">
        <f t="shared" si="4"/>
        <v>12400</v>
      </c>
      <c r="AE11" s="281">
        <f>'CIT - DEDS'!Y83</f>
        <v>0</v>
      </c>
      <c r="AF11" s="282">
        <f>'CIT - PAY'!X84</f>
        <v>0</v>
      </c>
      <c r="AG11" s="283">
        <f t="shared" si="5"/>
        <v>0</v>
      </c>
      <c r="AH11" s="295">
        <f>'CIT - DEDS'!Z83</f>
        <v>0</v>
      </c>
      <c r="AI11" s="298">
        <f>'CIT - DEDS'!AA83</f>
        <v>0</v>
      </c>
      <c r="AJ11" s="298">
        <f>'CIT - DEDS'!AB83</f>
        <v>0</v>
      </c>
      <c r="AK11" s="298">
        <f>'CIT - DEDS'!AC83</f>
        <v>0</v>
      </c>
      <c r="AL11" s="298">
        <f>'CIT - DEDS'!AD83</f>
        <v>0</v>
      </c>
      <c r="AM11" s="297">
        <f t="shared" si="6"/>
        <v>0</v>
      </c>
      <c r="AN11" s="198">
        <f t="shared" si="0"/>
        <v>0</v>
      </c>
      <c r="AO11" s="198">
        <f>'CIT - PAY'!S84</f>
        <v>0</v>
      </c>
      <c r="AP11" s="198">
        <f t="shared" si="7"/>
        <v>0</v>
      </c>
      <c r="AR11" s="205">
        <f>AN11-'CIT - PAY'!R84</f>
        <v>0</v>
      </c>
      <c r="AS11" s="205">
        <f>AO11-'CIT - PAY'!S84</f>
        <v>0</v>
      </c>
      <c r="AT11" s="205" t="e">
        <f>AP11-'CIT - PAY'!T84</f>
        <v>#VALUE!</v>
      </c>
    </row>
    <row r="12" spans="2:46" x14ac:dyDescent="0.25">
      <c r="B12" s="190" t="str">
        <f t="shared" si="8"/>
        <v>2026-01-018</v>
      </c>
      <c r="C12" s="193" t="s">
        <v>117</v>
      </c>
      <c r="D12" s="188">
        <f>'CBPA - PAY'!I93</f>
        <v>0</v>
      </c>
      <c r="E12" s="196">
        <f>'CBPA - PAY'!J93</f>
        <v>0</v>
      </c>
      <c r="F12" s="224">
        <f>'CBPA - PAY'!K93</f>
        <v>0</v>
      </c>
      <c r="G12" s="229">
        <f>'CBPA - PAY'!L93</f>
        <v>0</v>
      </c>
      <c r="H12" s="238">
        <f>'CBPA - DEDS'!G92</f>
        <v>0</v>
      </c>
      <c r="I12" s="238">
        <f>'CBPA - PAY'!W93</f>
        <v>7100</v>
      </c>
      <c r="J12" s="238">
        <f>'CBPA - PAY'!V93</f>
        <v>0</v>
      </c>
      <c r="K12" s="239">
        <f>'CBPA - DEDS'!H92</f>
        <v>0</v>
      </c>
      <c r="L12" s="240">
        <f t="shared" si="1"/>
        <v>7100</v>
      </c>
      <c r="M12" s="251">
        <f>'CBPA - DEDS'!I92</f>
        <v>0</v>
      </c>
      <c r="N12" s="239">
        <f>'CBPA - DEDS'!J92</f>
        <v>0</v>
      </c>
      <c r="O12" s="239">
        <f>'CBPA - DEDS'!K92</f>
        <v>0</v>
      </c>
      <c r="P12" s="239">
        <f>'CBPA - DEDS'!L92</f>
        <v>0</v>
      </c>
      <c r="Q12" s="239">
        <f>'CBPA - DEDS'!M92</f>
        <v>0</v>
      </c>
      <c r="R12" s="239">
        <f>'CBPA - DEDS'!N92</f>
        <v>0</v>
      </c>
      <c r="S12" s="239">
        <f>'CBPA - DEDS'!O92</f>
        <v>0</v>
      </c>
      <c r="T12" s="239">
        <f>'CBPA - DEDS'!P92</f>
        <v>0</v>
      </c>
      <c r="U12" s="239">
        <f>'CBPA - DEDS'!Q92</f>
        <v>0</v>
      </c>
      <c r="V12" s="252">
        <f t="shared" si="2"/>
        <v>0</v>
      </c>
      <c r="W12" s="259">
        <f t="shared" si="3"/>
        <v>7100</v>
      </c>
      <c r="X12" s="267">
        <f>'CBPA - DEDS'!S92</f>
        <v>0</v>
      </c>
      <c r="Y12" s="268">
        <f>'CBPA - PAY'!Y93</f>
        <v>14200</v>
      </c>
      <c r="Z12" s="268">
        <f>'CBPA - DEDS'!T92</f>
        <v>0</v>
      </c>
      <c r="AA12" s="268">
        <f>'CBPA - DEDS'!U92</f>
        <v>0</v>
      </c>
      <c r="AB12" s="268">
        <f>'CBPA - DEDS'!V92</f>
        <v>0</v>
      </c>
      <c r="AC12" s="268">
        <f>'CBPA - DEDS'!W92</f>
        <v>0</v>
      </c>
      <c r="AD12" s="269">
        <f t="shared" si="4"/>
        <v>14200</v>
      </c>
      <c r="AE12" s="281">
        <f>'CBPA - DEDS'!Y92</f>
        <v>0</v>
      </c>
      <c r="AF12" s="282">
        <f>'CBPA - PAY'!X93</f>
        <v>0</v>
      </c>
      <c r="AG12" s="283">
        <f t="shared" si="5"/>
        <v>0</v>
      </c>
      <c r="AH12" s="295">
        <f>'CBPA - DEDS'!Z92</f>
        <v>0</v>
      </c>
      <c r="AI12" s="298">
        <f>'CBPA - DEDS'!AA92</f>
        <v>0</v>
      </c>
      <c r="AJ12" s="298">
        <f>'CBPA - DEDS'!AB92</f>
        <v>0</v>
      </c>
      <c r="AK12" s="298">
        <f>'CBPA - DEDS'!AC92</f>
        <v>0</v>
      </c>
      <c r="AL12" s="298">
        <f>'CBPA - DEDS'!AD92</f>
        <v>0</v>
      </c>
      <c r="AM12" s="297">
        <f t="shared" si="6"/>
        <v>0</v>
      </c>
      <c r="AN12" s="198">
        <f t="shared" si="0"/>
        <v>0</v>
      </c>
      <c r="AO12" s="198">
        <f>'CBPA - PAY'!S93</f>
        <v>0</v>
      </c>
      <c r="AP12" s="198">
        <f t="shared" si="7"/>
        <v>0</v>
      </c>
      <c r="AR12" s="205">
        <f>AN12-'CBPA - PAY'!R93</f>
        <v>0</v>
      </c>
      <c r="AS12" s="205">
        <f>AO12-'CBPA - PAY'!S93</f>
        <v>0</v>
      </c>
      <c r="AT12" s="205">
        <f>AP12-'CBPA - PAY'!T93</f>
        <v>0</v>
      </c>
    </row>
    <row r="13" spans="2:46" x14ac:dyDescent="0.25">
      <c r="B13" s="190" t="str">
        <f t="shared" si="8"/>
        <v>2026-01-019</v>
      </c>
      <c r="C13" s="193" t="s">
        <v>118</v>
      </c>
      <c r="D13" s="188">
        <f>'CAS - PAY'!I69</f>
        <v>0</v>
      </c>
      <c r="E13" s="196">
        <f>'CAS - PAY'!J69</f>
        <v>0</v>
      </c>
      <c r="F13" s="224">
        <f>'CAS - PAY'!K69</f>
        <v>0</v>
      </c>
      <c r="G13" s="229">
        <f>'CAS - PAY'!L69</f>
        <v>0</v>
      </c>
      <c r="H13" s="238">
        <f>'CAS - DEDS'!G68</f>
        <v>0</v>
      </c>
      <c r="I13" s="238">
        <f>'CAS - PAY'!W69</f>
        <v>4700</v>
      </c>
      <c r="J13" s="239">
        <f>'CAS - PAY'!V69</f>
        <v>0</v>
      </c>
      <c r="K13" s="239">
        <f>'CAS - DEDS'!H68</f>
        <v>0</v>
      </c>
      <c r="L13" s="240">
        <f t="shared" si="1"/>
        <v>4700</v>
      </c>
      <c r="M13" s="251">
        <f>'CAS - DEDS'!I68</f>
        <v>0</v>
      </c>
      <c r="N13" s="238">
        <f>'CAS - DEDS'!J68</f>
        <v>0</v>
      </c>
      <c r="O13" s="238">
        <f>'CAS - DEDS'!K68</f>
        <v>0</v>
      </c>
      <c r="P13" s="238">
        <f>'CAS - DEDS'!L68</f>
        <v>0</v>
      </c>
      <c r="Q13" s="238">
        <f>'CAS - DEDS'!M68</f>
        <v>0</v>
      </c>
      <c r="R13" s="238">
        <f>'CAS - DEDS'!N68</f>
        <v>0</v>
      </c>
      <c r="S13" s="238">
        <f>'CAS - DEDS'!O68</f>
        <v>0</v>
      </c>
      <c r="T13" s="238">
        <f>'CAS - DEDS'!P68</f>
        <v>0</v>
      </c>
      <c r="U13" s="238">
        <f>'CAS - DEDS'!Q68</f>
        <v>0</v>
      </c>
      <c r="V13" s="252">
        <f t="shared" si="2"/>
        <v>0</v>
      </c>
      <c r="W13" s="259">
        <f t="shared" si="3"/>
        <v>4700</v>
      </c>
      <c r="X13" s="267">
        <f>'CAS - DEDS'!S68</f>
        <v>0</v>
      </c>
      <c r="Y13" s="268">
        <f>'CAS - PAY'!Y69</f>
        <v>9400</v>
      </c>
      <c r="Z13" s="268">
        <f>'CAS - DEDS'!T68</f>
        <v>0</v>
      </c>
      <c r="AA13" s="268">
        <f>'CAS - DEDS'!U68</f>
        <v>0</v>
      </c>
      <c r="AB13" s="268">
        <f>'CAS - DEDS'!V68</f>
        <v>0</v>
      </c>
      <c r="AC13" s="268">
        <f>'CAS - DEDS'!W68</f>
        <v>0</v>
      </c>
      <c r="AD13" s="269">
        <f t="shared" si="4"/>
        <v>9400</v>
      </c>
      <c r="AE13" s="281">
        <f>'CAS - DEDS'!Y68</f>
        <v>0</v>
      </c>
      <c r="AF13" s="282">
        <f>'CAS - PAY'!X69</f>
        <v>0</v>
      </c>
      <c r="AG13" s="283">
        <f t="shared" si="5"/>
        <v>0</v>
      </c>
      <c r="AH13" s="295">
        <f>'CAS - DEDS'!Z68</f>
        <v>0</v>
      </c>
      <c r="AI13" s="298">
        <f>'CAS - DEDS'!AA68</f>
        <v>0</v>
      </c>
      <c r="AJ13" s="298">
        <f>'CAS - DEDS'!AB68</f>
        <v>0</v>
      </c>
      <c r="AK13" s="298">
        <f>'CAS - DEDS'!AC68</f>
        <v>0</v>
      </c>
      <c r="AL13" s="298">
        <f>'CAS - DEDS'!AD68</f>
        <v>0</v>
      </c>
      <c r="AM13" s="297">
        <f t="shared" si="6"/>
        <v>0</v>
      </c>
      <c r="AN13" s="198">
        <f t="shared" si="0"/>
        <v>0</v>
      </c>
      <c r="AO13" s="198">
        <f>'CAS - PAY'!S69</f>
        <v>0</v>
      </c>
      <c r="AP13" s="198">
        <f t="shared" si="7"/>
        <v>0</v>
      </c>
      <c r="AR13" s="205">
        <f>AN13-'CAS - PAY'!R69</f>
        <v>0</v>
      </c>
      <c r="AS13" s="205">
        <f>AO13-'CAS - PAY'!S69</f>
        <v>0</v>
      </c>
      <c r="AT13" s="205">
        <f>AP13-'CAS - PAY'!T69</f>
        <v>0</v>
      </c>
    </row>
    <row r="14" spans="2:46" x14ac:dyDescent="0.25">
      <c r="B14" s="190" t="str">
        <f t="shared" si="8"/>
        <v>2026-01-020</v>
      </c>
      <c r="C14" s="193" t="s">
        <v>119</v>
      </c>
      <c r="D14" s="188">
        <f>'CAFA - PAY'!I46</f>
        <v>0</v>
      </c>
      <c r="E14" s="196">
        <f>'CAFA - PAY'!J46</f>
        <v>0</v>
      </c>
      <c r="F14" s="224">
        <f>'CAFA - PAY'!K46</f>
        <v>0</v>
      </c>
      <c r="G14" s="229">
        <f>'CAFA - PAY'!L46</f>
        <v>0</v>
      </c>
      <c r="H14" s="238">
        <f>'CAFA - DEDS'!G45</f>
        <v>0</v>
      </c>
      <c r="I14" s="238">
        <f>'CAFA - PAY'!W46</f>
        <v>2400</v>
      </c>
      <c r="J14" s="239">
        <f>'CAFA - PAY'!V46</f>
        <v>0</v>
      </c>
      <c r="K14" s="239">
        <f>'CAFA - DEDS'!H45</f>
        <v>0</v>
      </c>
      <c r="L14" s="240">
        <f t="shared" si="1"/>
        <v>2400</v>
      </c>
      <c r="M14" s="251">
        <f>'CAFA - DEDS'!I45</f>
        <v>0</v>
      </c>
      <c r="N14" s="239">
        <f>'CAFA - DEDS'!J45</f>
        <v>0</v>
      </c>
      <c r="O14" s="239">
        <f>'CAFA - DEDS'!K45</f>
        <v>0</v>
      </c>
      <c r="P14" s="239">
        <f>'CAFA - DEDS'!L45</f>
        <v>0</v>
      </c>
      <c r="Q14" s="239">
        <f>'CAFA - DEDS'!M45</f>
        <v>0</v>
      </c>
      <c r="R14" s="239">
        <f>'CAFA - DEDS'!N45</f>
        <v>0</v>
      </c>
      <c r="S14" s="239">
        <f>'CAFA - DEDS'!O45</f>
        <v>0</v>
      </c>
      <c r="T14" s="239">
        <f>'CAFA - DEDS'!P45</f>
        <v>0</v>
      </c>
      <c r="U14" s="239">
        <f>'CAFA - DEDS'!Q45</f>
        <v>0</v>
      </c>
      <c r="V14" s="252">
        <f t="shared" si="2"/>
        <v>0</v>
      </c>
      <c r="W14" s="259">
        <f t="shared" si="3"/>
        <v>2400</v>
      </c>
      <c r="X14" s="267">
        <f>'CAFA - DEDS'!S45</f>
        <v>0</v>
      </c>
      <c r="Y14" s="268">
        <f>'CAFA - PAY'!Y46</f>
        <v>4800</v>
      </c>
      <c r="Z14" s="268">
        <f>'CAFA - DEDS'!T45</f>
        <v>0</v>
      </c>
      <c r="AA14" s="268">
        <f>'CAFA - DEDS'!U45</f>
        <v>0</v>
      </c>
      <c r="AB14" s="268">
        <f>'CAFA - DEDS'!V45</f>
        <v>0</v>
      </c>
      <c r="AC14" s="268">
        <f>'CAFA - DEDS'!W45</f>
        <v>0</v>
      </c>
      <c r="AD14" s="269">
        <f t="shared" si="4"/>
        <v>4800</v>
      </c>
      <c r="AE14" s="281">
        <f>'CAFA - DEDS'!Y45</f>
        <v>0</v>
      </c>
      <c r="AF14" s="282">
        <f>'CAFA - PAY'!X46</f>
        <v>0</v>
      </c>
      <c r="AG14" s="283">
        <f t="shared" si="5"/>
        <v>0</v>
      </c>
      <c r="AH14" s="295">
        <f>'CAFA - DEDS'!Z45</f>
        <v>0</v>
      </c>
      <c r="AI14" s="298">
        <f>'CAFA - DEDS'!AA45</f>
        <v>0</v>
      </c>
      <c r="AJ14" s="298">
        <f>'CAFA - DEDS'!AB45</f>
        <v>0</v>
      </c>
      <c r="AK14" s="298">
        <f>'CAFA - DEDS'!AC45</f>
        <v>0</v>
      </c>
      <c r="AL14" s="298">
        <f>'CAFA - DEDS'!AD45</f>
        <v>0</v>
      </c>
      <c r="AM14" s="297">
        <f t="shared" si="6"/>
        <v>0</v>
      </c>
      <c r="AN14" s="198">
        <f t="shared" si="0"/>
        <v>0</v>
      </c>
      <c r="AO14" s="198">
        <f>'CAFA - PAY'!S46</f>
        <v>0</v>
      </c>
      <c r="AP14" s="198">
        <f t="shared" si="7"/>
        <v>0</v>
      </c>
      <c r="AR14" s="205">
        <f>AN14-'CAFA - PAY'!R46</f>
        <v>0</v>
      </c>
      <c r="AS14" s="205">
        <f>AO14-'CAFA - PAY'!S46</f>
        <v>0</v>
      </c>
      <c r="AT14" s="205">
        <f>AP14-'CAFA - PAY'!T46</f>
        <v>0</v>
      </c>
    </row>
    <row r="15" spans="2:46" x14ac:dyDescent="0.25">
      <c r="B15" s="190" t="str">
        <f t="shared" si="8"/>
        <v>2026-01-021</v>
      </c>
      <c r="C15" s="193" t="s">
        <v>120</v>
      </c>
      <c r="D15" s="188">
        <f>'CED - PAY'!I72</f>
        <v>0</v>
      </c>
      <c r="E15" s="196">
        <f>'CED - PAY'!J72</f>
        <v>0</v>
      </c>
      <c r="F15" s="224">
        <f>'CED - PAY'!K72</f>
        <v>0</v>
      </c>
      <c r="G15" s="229">
        <f>'CED - PAY'!L72</f>
        <v>0</v>
      </c>
      <c r="H15" s="238">
        <f>'CED - DEDS'!G71</f>
        <v>0</v>
      </c>
      <c r="I15" s="238">
        <f>'CED - PAY'!W72</f>
        <v>5000</v>
      </c>
      <c r="J15" s="239">
        <f>'CED - PAY'!V72</f>
        <v>0</v>
      </c>
      <c r="K15" s="239">
        <f>'CED - DEDS'!H71</f>
        <v>0</v>
      </c>
      <c r="L15" s="240">
        <f t="shared" si="1"/>
        <v>5000</v>
      </c>
      <c r="M15" s="251">
        <f>'CED - DEDS'!I71</f>
        <v>0</v>
      </c>
      <c r="N15" s="239">
        <f>'CED - DEDS'!J71</f>
        <v>0</v>
      </c>
      <c r="O15" s="239">
        <f>'CED - DEDS'!K71</f>
        <v>0</v>
      </c>
      <c r="P15" s="239">
        <f>'CED - DEDS'!L71</f>
        <v>0</v>
      </c>
      <c r="Q15" s="239">
        <f>'CED - DEDS'!M71</f>
        <v>0</v>
      </c>
      <c r="R15" s="239">
        <f>'CED - DEDS'!N71</f>
        <v>0</v>
      </c>
      <c r="S15" s="239">
        <f>'CED - DEDS'!O71</f>
        <v>0</v>
      </c>
      <c r="T15" s="239">
        <f>'CED - DEDS'!P71</f>
        <v>0</v>
      </c>
      <c r="U15" s="239">
        <f>'CED - DEDS'!Q71</f>
        <v>0</v>
      </c>
      <c r="V15" s="252">
        <f t="shared" si="2"/>
        <v>0</v>
      </c>
      <c r="W15" s="259">
        <f t="shared" si="3"/>
        <v>5000</v>
      </c>
      <c r="X15" s="267">
        <f>'CED - DEDS'!S71</f>
        <v>0</v>
      </c>
      <c r="Y15" s="268">
        <f>'CED - PAY'!Y72</f>
        <v>10000</v>
      </c>
      <c r="Z15" s="268">
        <f>'CED - DEDS'!T71</f>
        <v>0</v>
      </c>
      <c r="AA15" s="268">
        <f>'CED - DEDS'!U71</f>
        <v>0</v>
      </c>
      <c r="AB15" s="268">
        <f>'CED - DEDS'!V71</f>
        <v>0</v>
      </c>
      <c r="AC15" s="268">
        <f>'CED - DEDS'!W71</f>
        <v>0</v>
      </c>
      <c r="AD15" s="269">
        <f t="shared" si="4"/>
        <v>10000</v>
      </c>
      <c r="AE15" s="281">
        <f>'CED - DEDS'!Y71</f>
        <v>0</v>
      </c>
      <c r="AF15" s="282">
        <f>'CED - PAY'!X72</f>
        <v>0</v>
      </c>
      <c r="AG15" s="283">
        <f t="shared" si="5"/>
        <v>0</v>
      </c>
      <c r="AH15" s="295">
        <f>'CED - DEDS'!Z71</f>
        <v>0</v>
      </c>
      <c r="AI15" s="298">
        <f>'CED - DEDS'!AA71</f>
        <v>0</v>
      </c>
      <c r="AJ15" s="298">
        <f>'CED - DEDS'!AB71</f>
        <v>0</v>
      </c>
      <c r="AK15" s="298">
        <f>'CED - DEDS'!AC71</f>
        <v>0</v>
      </c>
      <c r="AL15" s="298">
        <f>'CED - DEDS'!AD71</f>
        <v>0</v>
      </c>
      <c r="AM15" s="297">
        <f t="shared" si="6"/>
        <v>0</v>
      </c>
      <c r="AN15" s="198">
        <f t="shared" si="0"/>
        <v>0</v>
      </c>
      <c r="AO15" s="198">
        <f>'CED - PAY'!S72</f>
        <v>0</v>
      </c>
      <c r="AP15" s="198">
        <f t="shared" si="7"/>
        <v>0</v>
      </c>
      <c r="AR15" s="205">
        <f>AN15-'CED - PAY'!R72</f>
        <v>0</v>
      </c>
      <c r="AS15" s="205">
        <f>AO15-'CED - PAY'!S72</f>
        <v>0</v>
      </c>
      <c r="AT15" s="205">
        <f>AP15-'CED - PAY'!T72</f>
        <v>0</v>
      </c>
    </row>
    <row r="16" spans="2:46" x14ac:dyDescent="0.25">
      <c r="B16" s="190" t="str">
        <f t="shared" si="8"/>
        <v>2026-01-022</v>
      </c>
      <c r="C16" s="193" t="s">
        <v>121</v>
      </c>
      <c r="D16" s="188">
        <f>'PE - PAY'!I35</f>
        <v>0</v>
      </c>
      <c r="E16" s="196" t="e">
        <f>'PE - PAY'!J35</f>
        <v>#VALUE!</v>
      </c>
      <c r="F16" s="224" t="e">
        <f>'PE - PAY'!K35</f>
        <v>#VALUE!</v>
      </c>
      <c r="G16" s="229">
        <f>'PE - PAY'!L35</f>
        <v>0</v>
      </c>
      <c r="H16" s="238">
        <f>'PE - DEDS'!G34</f>
        <v>0</v>
      </c>
      <c r="I16" s="238">
        <f>'PE - PAY'!W35</f>
        <v>400</v>
      </c>
      <c r="J16" s="239">
        <f>'PE - PAY'!V35</f>
        <v>0</v>
      </c>
      <c r="K16" s="239">
        <f>'PE - DEDS'!H34</f>
        <v>0</v>
      </c>
      <c r="L16" s="240">
        <f t="shared" si="1"/>
        <v>400</v>
      </c>
      <c r="M16" s="251">
        <f>'PE - DEDS'!I34</f>
        <v>0</v>
      </c>
      <c r="N16" s="239">
        <f>'PE - DEDS'!J34</f>
        <v>0</v>
      </c>
      <c r="O16" s="239">
        <f>'PE - DEDS'!K34</f>
        <v>0</v>
      </c>
      <c r="P16" s="239">
        <f>'PE - DEDS'!L34</f>
        <v>0</v>
      </c>
      <c r="Q16" s="239">
        <f>'PE - DEDS'!M34</f>
        <v>0</v>
      </c>
      <c r="R16" s="239">
        <f>'PE - DEDS'!N34</f>
        <v>0</v>
      </c>
      <c r="S16" s="239">
        <f>'PE - DEDS'!O34</f>
        <v>0</v>
      </c>
      <c r="T16" s="239">
        <f>'PE - DEDS'!P34</f>
        <v>0</v>
      </c>
      <c r="U16" s="239">
        <f>'PE - DEDS'!Q34</f>
        <v>0</v>
      </c>
      <c r="V16" s="252">
        <f t="shared" si="2"/>
        <v>0</v>
      </c>
      <c r="W16" s="259">
        <f t="shared" si="3"/>
        <v>400</v>
      </c>
      <c r="X16" s="267">
        <f>'PE - DEDS'!S34</f>
        <v>0</v>
      </c>
      <c r="Y16" s="268">
        <f>'PE - PAY'!Y35</f>
        <v>800</v>
      </c>
      <c r="Z16" s="268">
        <f>'PE - DEDS'!T34</f>
        <v>0</v>
      </c>
      <c r="AA16" s="268">
        <f>'PE - DEDS'!U34</f>
        <v>0</v>
      </c>
      <c r="AB16" s="268">
        <f>'PE - DEDS'!V34</f>
        <v>0</v>
      </c>
      <c r="AC16" s="268">
        <f>'PE - DEDS'!W34</f>
        <v>0</v>
      </c>
      <c r="AD16" s="269">
        <f t="shared" si="4"/>
        <v>800</v>
      </c>
      <c r="AE16" s="281">
        <f>'PE - DEDS'!Y34</f>
        <v>0</v>
      </c>
      <c r="AF16" s="282" t="e">
        <f>'PE - PAY'!X35</f>
        <v>#VALUE!</v>
      </c>
      <c r="AG16" s="283" t="e">
        <f t="shared" si="5"/>
        <v>#VALUE!</v>
      </c>
      <c r="AH16" s="295">
        <f>'PE - DEDS'!Z34</f>
        <v>0</v>
      </c>
      <c r="AI16" s="298">
        <f>'PE - DEDS'!AA34</f>
        <v>0</v>
      </c>
      <c r="AJ16" s="298">
        <f>'PE - DEDS'!AB34</f>
        <v>0</v>
      </c>
      <c r="AK16" s="298">
        <f>'PE - DEDS'!AC34</f>
        <v>0</v>
      </c>
      <c r="AL16" s="298">
        <f>'PE - DEDS'!AD34</f>
        <v>0</v>
      </c>
      <c r="AM16" s="297">
        <f t="shared" si="6"/>
        <v>0</v>
      </c>
      <c r="AN16" s="198" t="e">
        <f t="shared" si="0"/>
        <v>#VALUE!</v>
      </c>
      <c r="AO16" s="198" t="e">
        <f>'PE - PAY'!S35</f>
        <v>#VALUE!</v>
      </c>
      <c r="AP16" s="198" t="e">
        <f t="shared" si="7"/>
        <v>#VALUE!</v>
      </c>
      <c r="AR16" s="205" t="e">
        <f>AN16-'PE - PAY'!R35</f>
        <v>#VALUE!</v>
      </c>
      <c r="AS16" s="205" t="e">
        <f>AO16-'PE - PAY'!S35</f>
        <v>#VALUE!</v>
      </c>
      <c r="AT16" s="205" t="e">
        <f>AP16-'PE - PAY'!T35</f>
        <v>#VALUE!</v>
      </c>
    </row>
    <row r="17" spans="2:46" x14ac:dyDescent="0.25">
      <c r="B17" s="190" t="str">
        <f t="shared" si="8"/>
        <v>2026-01-023</v>
      </c>
      <c r="C17" s="193" t="s">
        <v>122</v>
      </c>
      <c r="D17" s="188">
        <f>'RESEARCH - PAY'!I35</f>
        <v>0</v>
      </c>
      <c r="E17" s="196" t="e">
        <f>'RESEARCH - PAY'!J35</f>
        <v>#VALUE!</v>
      </c>
      <c r="F17" s="224" t="e">
        <f>'RESEARCH - PAY'!K35</f>
        <v>#VALUE!</v>
      </c>
      <c r="G17" s="229">
        <f>'RESEARCH - PAY'!L35</f>
        <v>0</v>
      </c>
      <c r="H17" s="238">
        <f>'RESEARCH - DEDS'!G34</f>
        <v>0</v>
      </c>
      <c r="I17" s="238">
        <f>'RESEARCH - PAY'!W35</f>
        <v>400</v>
      </c>
      <c r="J17" s="239">
        <f>'RESEARCH - PAY'!V35</f>
        <v>0</v>
      </c>
      <c r="K17" s="239">
        <f>'RESEARCH - DEDS'!H34</f>
        <v>0</v>
      </c>
      <c r="L17" s="240">
        <f t="shared" si="1"/>
        <v>400</v>
      </c>
      <c r="M17" s="251">
        <f>'RESEARCH - DEDS'!I34</f>
        <v>0</v>
      </c>
      <c r="N17" s="239">
        <f>'RESEARCH - DEDS'!J34</f>
        <v>0</v>
      </c>
      <c r="O17" s="239">
        <f>'RESEARCH - DEDS'!K34</f>
        <v>0</v>
      </c>
      <c r="P17" s="239">
        <f>'RESEARCH - DEDS'!L34</f>
        <v>0</v>
      </c>
      <c r="Q17" s="239">
        <f>'RESEARCH - DEDS'!M34</f>
        <v>0</v>
      </c>
      <c r="R17" s="239">
        <f>'RESEARCH - DEDS'!N34</f>
        <v>0</v>
      </c>
      <c r="S17" s="239">
        <f>'RESEARCH - DEDS'!O34</f>
        <v>0</v>
      </c>
      <c r="T17" s="239">
        <f>'RESEARCH - DEDS'!P34</f>
        <v>0</v>
      </c>
      <c r="U17" s="239">
        <f>'RESEARCH - DEDS'!Q34</f>
        <v>0</v>
      </c>
      <c r="V17" s="252">
        <f t="shared" si="2"/>
        <v>0</v>
      </c>
      <c r="W17" s="259">
        <f t="shared" si="3"/>
        <v>400</v>
      </c>
      <c r="X17" s="267">
        <f>'RESEARCH - DEDS'!S34</f>
        <v>0</v>
      </c>
      <c r="Y17" s="268">
        <f>'RESEARCH - PAY'!Y35</f>
        <v>800</v>
      </c>
      <c r="Z17" s="268">
        <f>'RESEARCH - DEDS'!T34</f>
        <v>0</v>
      </c>
      <c r="AA17" s="268">
        <f>'RESEARCH - DEDS'!U34</f>
        <v>0</v>
      </c>
      <c r="AB17" s="268">
        <f>'RESEARCH - DEDS'!V34</f>
        <v>0</v>
      </c>
      <c r="AC17" s="268">
        <f>'RESEARCH - DEDS'!W34</f>
        <v>0</v>
      </c>
      <c r="AD17" s="269">
        <f t="shared" si="4"/>
        <v>800</v>
      </c>
      <c r="AE17" s="281">
        <f>'RESEARCH - DEDS'!Y34</f>
        <v>0</v>
      </c>
      <c r="AF17" s="282" t="e">
        <f>'RESEARCH - PAY'!X35</f>
        <v>#VALUE!</v>
      </c>
      <c r="AG17" s="283" t="e">
        <f t="shared" si="5"/>
        <v>#VALUE!</v>
      </c>
      <c r="AH17" s="295">
        <f>'RESEARCH - DEDS'!Z34</f>
        <v>0</v>
      </c>
      <c r="AI17" s="298">
        <f>'RESEARCH - DEDS'!AA34</f>
        <v>0</v>
      </c>
      <c r="AJ17" s="298">
        <f>'RESEARCH - DEDS'!AB34</f>
        <v>0</v>
      </c>
      <c r="AK17" s="298">
        <f>'RESEARCH - DEDS'!AC34</f>
        <v>0</v>
      </c>
      <c r="AL17" s="298">
        <f>'RESEARCH - DEDS'!AD34</f>
        <v>0</v>
      </c>
      <c r="AM17" s="297">
        <f t="shared" si="6"/>
        <v>0</v>
      </c>
      <c r="AN17" s="198" t="e">
        <f t="shared" si="0"/>
        <v>#VALUE!</v>
      </c>
      <c r="AO17" s="198" t="e">
        <f>'RESEARCH - PAY'!S35</f>
        <v>#VALUE!</v>
      </c>
      <c r="AP17" s="198" t="e">
        <f t="shared" si="7"/>
        <v>#VALUE!</v>
      </c>
      <c r="AR17" s="205" t="e">
        <f>AN17-'RESEARCH - PAY'!R35</f>
        <v>#VALUE!</v>
      </c>
      <c r="AS17" s="205" t="e">
        <f>AO17-'RESEARCH - PAY'!S35</f>
        <v>#VALUE!</v>
      </c>
      <c r="AT17" s="205" t="e">
        <f>AP17-'RESEARCH - PAY'!T35</f>
        <v>#VALUE!</v>
      </c>
    </row>
    <row r="18" spans="2:46" x14ac:dyDescent="0.25">
      <c r="B18" s="190" t="str">
        <f t="shared" si="8"/>
        <v>2026-01-024</v>
      </c>
      <c r="C18" s="193" t="s">
        <v>123</v>
      </c>
      <c r="D18" s="188">
        <f>'EXTENSION - PAY'!I61</f>
        <v>0</v>
      </c>
      <c r="E18" s="196">
        <f>'EXTENSION - PAY'!J61</f>
        <v>0</v>
      </c>
      <c r="F18" s="224">
        <f>'EXTENSION - PAY'!K61</f>
        <v>0</v>
      </c>
      <c r="G18" s="229">
        <f>'EXTENSION - PAY'!L61</f>
        <v>0</v>
      </c>
      <c r="H18" s="238">
        <f>'EXTENSION - DEDS'!G60</f>
        <v>0</v>
      </c>
      <c r="I18" s="238">
        <f>'EXTENSION - PAY'!W61</f>
        <v>3900</v>
      </c>
      <c r="J18" s="239">
        <f>'EXTENSION - PAY'!V61</f>
        <v>0</v>
      </c>
      <c r="K18" s="239">
        <f>'EXTENSION - DEDS'!H60</f>
        <v>0</v>
      </c>
      <c r="L18" s="240">
        <f t="shared" si="1"/>
        <v>3900</v>
      </c>
      <c r="M18" s="251">
        <f>'EXTENSION - DEDS'!I60</f>
        <v>0</v>
      </c>
      <c r="N18" s="239">
        <f>'EXTENSION - DEDS'!J60</f>
        <v>0</v>
      </c>
      <c r="O18" s="239">
        <f>'EXTENSION - DEDS'!K60</f>
        <v>0</v>
      </c>
      <c r="P18" s="239">
        <f>'EXTENSION - DEDS'!L60</f>
        <v>0</v>
      </c>
      <c r="Q18" s="239">
        <f>'EXTENSION - DEDS'!M60</f>
        <v>0</v>
      </c>
      <c r="R18" s="239">
        <f>'EXTENSION - DEDS'!N60</f>
        <v>0</v>
      </c>
      <c r="S18" s="239">
        <f>'EXTENSION - DEDS'!O60</f>
        <v>0</v>
      </c>
      <c r="T18" s="239">
        <f>'EXTENSION - DEDS'!P60</f>
        <v>0</v>
      </c>
      <c r="U18" s="239">
        <f>'EXTENSION - DEDS'!Q60</f>
        <v>0</v>
      </c>
      <c r="V18" s="252">
        <f t="shared" si="2"/>
        <v>0</v>
      </c>
      <c r="W18" s="259">
        <f t="shared" si="3"/>
        <v>3900</v>
      </c>
      <c r="X18" s="267">
        <f>'EXTENSION - DEDS'!S60</f>
        <v>0</v>
      </c>
      <c r="Y18" s="268">
        <f>'EXTENSION - PAY'!Y61</f>
        <v>7800</v>
      </c>
      <c r="Z18" s="268">
        <f>'EXTENSION - DEDS'!T60</f>
        <v>0</v>
      </c>
      <c r="AA18" s="268">
        <f>'EXTENSION - DEDS'!U60</f>
        <v>0</v>
      </c>
      <c r="AB18" s="268">
        <f>'EXTENSION - DEDS'!V60</f>
        <v>0</v>
      </c>
      <c r="AC18" s="268">
        <f>'EXTENSION - DEDS'!W60</f>
        <v>0</v>
      </c>
      <c r="AD18" s="269">
        <f t="shared" si="4"/>
        <v>7800</v>
      </c>
      <c r="AE18" s="281">
        <f>'EXTENSION - DEDS'!Y60</f>
        <v>0</v>
      </c>
      <c r="AF18" s="282">
        <f>'EXTENSION - PAY'!X61</f>
        <v>0</v>
      </c>
      <c r="AG18" s="283">
        <f t="shared" si="5"/>
        <v>0</v>
      </c>
      <c r="AH18" s="295">
        <f>'EXTENSION - DEDS'!Z60</f>
        <v>0</v>
      </c>
      <c r="AI18" s="298">
        <f>'EXTENSION - DEDS'!AA60</f>
        <v>0</v>
      </c>
      <c r="AJ18" s="298">
        <f>'EXTENSION - DEDS'!AB60</f>
        <v>0</v>
      </c>
      <c r="AK18" s="298">
        <f>'EXTENSION - DEDS'!AC60</f>
        <v>0</v>
      </c>
      <c r="AL18" s="298">
        <f>'EXTENSION - DEDS'!AD60</f>
        <v>0</v>
      </c>
      <c r="AM18" s="297">
        <f t="shared" si="6"/>
        <v>0</v>
      </c>
      <c r="AN18" s="198">
        <f t="shared" si="0"/>
        <v>0</v>
      </c>
      <c r="AO18" s="198">
        <f>'EXTENSION - PAY'!S61</f>
        <v>0</v>
      </c>
      <c r="AP18" s="198">
        <f t="shared" si="7"/>
        <v>0</v>
      </c>
      <c r="AR18" s="205">
        <f>AN18-'EXTENSION - PAY'!R61</f>
        <v>0</v>
      </c>
      <c r="AS18" s="205">
        <f>AO18-'EXTENSION - PAY'!S61</f>
        <v>0</v>
      </c>
      <c r="AT18" s="205">
        <f>AP18-'EXTENSION - PAY'!T61</f>
        <v>0</v>
      </c>
    </row>
    <row r="19" spans="2:46" x14ac:dyDescent="0.25">
      <c r="B19" s="190" t="str">
        <f t="shared" si="8"/>
        <v>2026-01-025</v>
      </c>
      <c r="C19" s="193" t="s">
        <v>158</v>
      </c>
      <c r="D19" s="398">
        <f>'TEMPO - PAY'!I87</f>
        <v>0</v>
      </c>
      <c r="E19" s="585">
        <f>'TEMPO - PAY'!J87</f>
        <v>0</v>
      </c>
      <c r="F19" s="584">
        <f>'TEMPO - PAY'!K87</f>
        <v>0</v>
      </c>
      <c r="G19" s="583">
        <f>'TEMPO - PAY'!L87</f>
        <v>0</v>
      </c>
      <c r="H19" s="579">
        <f>'TEMPO - DEDS'!G86</f>
        <v>0</v>
      </c>
      <c r="I19" s="579">
        <f>'TEMPO - PAY'!W87</f>
        <v>6500</v>
      </c>
      <c r="J19" s="582">
        <f>'TEMPO - PAY'!V87</f>
        <v>0</v>
      </c>
      <c r="K19" s="582">
        <f>'TEMPO - DEDS'!H86</f>
        <v>0</v>
      </c>
      <c r="L19" s="581">
        <f>SUM(H19:K19)</f>
        <v>6500</v>
      </c>
      <c r="M19" s="580">
        <f>'TEMPO - DEDS'!I86</f>
        <v>0</v>
      </c>
      <c r="N19" s="582">
        <f>'TEMPO - DEDS'!J86</f>
        <v>0</v>
      </c>
      <c r="O19" s="582">
        <f>'TEMPO - DEDS'!K86</f>
        <v>0</v>
      </c>
      <c r="P19" s="582">
        <f>'TEMPO - DEDS'!L86</f>
        <v>0</v>
      </c>
      <c r="Q19" s="582">
        <f>'TEMPO - DEDS'!M86</f>
        <v>0</v>
      </c>
      <c r="R19" s="582">
        <f>'TEMPO - DEDS'!N86</f>
        <v>0</v>
      </c>
      <c r="S19" s="582">
        <f>'TEMPO - DEDS'!O86</f>
        <v>0</v>
      </c>
      <c r="T19" s="582">
        <f>'TEMPO - DEDS'!P86</f>
        <v>0</v>
      </c>
      <c r="U19" s="582">
        <f>'TEMPO - DEDS'!Q86</f>
        <v>0</v>
      </c>
      <c r="V19" s="578">
        <f>SUM(M19:U19)</f>
        <v>0</v>
      </c>
      <c r="W19" s="577">
        <f>L19+V19</f>
        <v>6500</v>
      </c>
      <c r="X19" s="576">
        <f>'TEMPO - DEDS'!S86</f>
        <v>0</v>
      </c>
      <c r="Y19" s="575">
        <f>'TEMPO - PAY'!Y87</f>
        <v>13000</v>
      </c>
      <c r="Z19" s="575">
        <f>'TEMPO - DEDS'!T86</f>
        <v>0</v>
      </c>
      <c r="AA19" s="575">
        <f>'TEMPO - DEDS'!U86</f>
        <v>0</v>
      </c>
      <c r="AB19" s="575">
        <f>'TEMPO - DEDS'!V86</f>
        <v>0</v>
      </c>
      <c r="AC19" s="575">
        <f>'TEMPO - DEDS'!W86</f>
        <v>0</v>
      </c>
      <c r="AD19" s="574">
        <f>SUM(X19:AC19)</f>
        <v>13000</v>
      </c>
      <c r="AE19" s="573">
        <f>'TEMPO - DEDS'!Y86</f>
        <v>0</v>
      </c>
      <c r="AF19" s="572">
        <f>'TEMPO - PAY'!X87</f>
        <v>0</v>
      </c>
      <c r="AG19" s="571">
        <f>SUM(AE19:AF19)</f>
        <v>0</v>
      </c>
      <c r="AH19" s="570">
        <f>'TEMPO - DEDS'!Z86</f>
        <v>0</v>
      </c>
      <c r="AI19" s="586">
        <f>'TEMPO - DEDS'!AA86</f>
        <v>0</v>
      </c>
      <c r="AJ19" s="586">
        <f>'TEMPO - DEDS'!AB86</f>
        <v>0</v>
      </c>
      <c r="AK19" s="586">
        <f>'TEMPO - DEDS'!AC86</f>
        <v>0</v>
      </c>
      <c r="AL19" s="586">
        <f>'TEMPO - DEDS'!AD86</f>
        <v>0</v>
      </c>
      <c r="AM19" s="568">
        <f>SUM(AH19:AL19)</f>
        <v>0</v>
      </c>
      <c r="AN19" s="567">
        <f>D19-E19-G19-H19-V19-X19-SUM(Z19:AC19)-AE19-AM19</f>
        <v>0</v>
      </c>
      <c r="AO19" s="567">
        <f>'TEMPO - PAY'!S87</f>
        <v>0</v>
      </c>
      <c r="AP19" s="567">
        <f>AN19-AO19</f>
        <v>0</v>
      </c>
      <c r="AR19" s="205">
        <f>AN19-'TEMPO - PAY'!R87</f>
        <v>0</v>
      </c>
      <c r="AS19" s="205">
        <f>AO19-'TEMPO - PAY'!S87</f>
        <v>0</v>
      </c>
      <c r="AT19" s="205">
        <f>AP19-'TEMPO - PAY'!T87</f>
        <v>0</v>
      </c>
    </row>
    <row r="20" spans="2:46" x14ac:dyDescent="0.25">
      <c r="B20" s="190" t="str">
        <f t="shared" si="8"/>
        <v>2026-01-026</v>
      </c>
      <c r="C20" s="193" t="s">
        <v>159</v>
      </c>
      <c r="D20" s="398">
        <f>'CONTRACTUAL - PAY'!I35</f>
        <v>0</v>
      </c>
      <c r="E20" s="585" t="e">
        <f>'CONTRACTUAL - PAY'!J35</f>
        <v>#VALUE!</v>
      </c>
      <c r="F20" s="584" t="e">
        <f>'CONTRACTUAL - PAY'!K35</f>
        <v>#VALUE!</v>
      </c>
      <c r="G20" s="583">
        <f>'CONTRACTUAL - PAY'!L35</f>
        <v>0</v>
      </c>
      <c r="H20" s="579">
        <f>'CONTRACTUAL - DEDS'!G34</f>
        <v>0</v>
      </c>
      <c r="I20" s="579">
        <f>'CONTRACTUAL - PAY'!W35</f>
        <v>400</v>
      </c>
      <c r="J20" s="582">
        <f>'CONTRACTUAL - PAY'!V35</f>
        <v>0</v>
      </c>
      <c r="K20" s="582">
        <f>'CONTRACTUAL - DEDS'!H34</f>
        <v>0</v>
      </c>
      <c r="L20" s="581">
        <f>SUM(H20:K20)</f>
        <v>400</v>
      </c>
      <c r="M20" s="580">
        <f>'CONTRACTUAL - DEDS'!I34</f>
        <v>0</v>
      </c>
      <c r="N20" s="579">
        <f>'CONTRACTUAL - DEDS'!J34</f>
        <v>0</v>
      </c>
      <c r="O20" s="579">
        <f>'CONTRACTUAL - DEDS'!K34</f>
        <v>0</v>
      </c>
      <c r="P20" s="579">
        <f>'CONTRACTUAL - DEDS'!L34</f>
        <v>0</v>
      </c>
      <c r="Q20" s="579">
        <f>'CONTRACTUAL - DEDS'!M34</f>
        <v>0</v>
      </c>
      <c r="R20" s="579">
        <f>'CONTRACTUAL - DEDS'!N34</f>
        <v>0</v>
      </c>
      <c r="S20" s="579">
        <f>'CONTRACTUAL - DEDS'!O34</f>
        <v>0</v>
      </c>
      <c r="T20" s="579">
        <f>'CONTRACTUAL - DEDS'!P34</f>
        <v>0</v>
      </c>
      <c r="U20" s="579">
        <f>'CONTRACTUAL - DEDS'!Q34</f>
        <v>0</v>
      </c>
      <c r="V20" s="578">
        <f>SUM(M20:U20)</f>
        <v>0</v>
      </c>
      <c r="W20" s="577">
        <f>L20+V20</f>
        <v>400</v>
      </c>
      <c r="X20" s="576">
        <f>'CONTRACTUAL - DEDS'!S34</f>
        <v>0</v>
      </c>
      <c r="Y20" s="575">
        <f>'CONTRACTUAL - PAY'!Y35</f>
        <v>800</v>
      </c>
      <c r="Z20" s="575">
        <f>'CONTRACTUAL - DEDS'!T34</f>
        <v>0</v>
      </c>
      <c r="AA20" s="575">
        <f>'CONTRACTUAL - DEDS'!U34</f>
        <v>0</v>
      </c>
      <c r="AB20" s="575">
        <f>'CONTRACTUAL - DEDS'!V34</f>
        <v>0</v>
      </c>
      <c r="AC20" s="575">
        <f>'CONTRACTUAL - DEDS'!W34</f>
        <v>0</v>
      </c>
      <c r="AD20" s="574">
        <f>SUM(X20:AC20)</f>
        <v>800</v>
      </c>
      <c r="AE20" s="573">
        <f>'CONTRACTUAL - DEDS'!Y34</f>
        <v>0</v>
      </c>
      <c r="AF20" s="572" t="e">
        <f>'CONTRACTUAL - PAY'!X35</f>
        <v>#VALUE!</v>
      </c>
      <c r="AG20" s="571" t="e">
        <f>SUM(AE20:AF20)</f>
        <v>#VALUE!</v>
      </c>
      <c r="AH20" s="570">
        <f>'CONTRACTUAL - DEDS'!Z34</f>
        <v>0</v>
      </c>
      <c r="AI20" s="569">
        <f>'CONTRACTUAL - DEDS'!AA34</f>
        <v>0</v>
      </c>
      <c r="AJ20" s="569">
        <f>'CONTRACTUAL - DEDS'!AB34</f>
        <v>0</v>
      </c>
      <c r="AK20" s="569">
        <f>'CONTRACTUAL - DEDS'!AC34</f>
        <v>0</v>
      </c>
      <c r="AL20" s="569">
        <f>'CONTRACTUAL - DEDS'!AD34</f>
        <v>0</v>
      </c>
      <c r="AM20" s="568">
        <f>SUM(AH20:AL20)</f>
        <v>0</v>
      </c>
      <c r="AN20" s="567" t="e">
        <f>D20-E20-G20-H20-V20-X20-SUM(Z20:AC20)-AE20-AM20</f>
        <v>#VALUE!</v>
      </c>
      <c r="AO20" s="567" t="e">
        <f>'CONTRACTUAL - PAY'!S35</f>
        <v>#VALUE!</v>
      </c>
      <c r="AP20" s="567" t="e">
        <f>AN20-AO20</f>
        <v>#VALUE!</v>
      </c>
      <c r="AR20" s="205" t="e">
        <f>AN20-'CONTRACTUAL - PAY'!R35</f>
        <v>#VALUE!</v>
      </c>
      <c r="AS20" s="205" t="e">
        <f>AO20-'CONTRACTUAL - PAY'!S35</f>
        <v>#VALUE!</v>
      </c>
      <c r="AT20" s="205" t="e">
        <f>AP20-'CONTRACTUAL - PAY'!T35</f>
        <v>#VALUE!</v>
      </c>
    </row>
    <row r="21" spans="2:46" x14ac:dyDescent="0.25">
      <c r="B21" s="199"/>
      <c r="C21" s="200"/>
      <c r="D21" s="189"/>
      <c r="E21" s="201"/>
      <c r="F21" s="226"/>
      <c r="G21" s="230"/>
      <c r="H21" s="241"/>
      <c r="I21" s="241"/>
      <c r="J21" s="242"/>
      <c r="K21" s="242"/>
      <c r="L21" s="243"/>
      <c r="M21" s="254"/>
      <c r="N21" s="242"/>
      <c r="O21" s="242"/>
      <c r="P21" s="242"/>
      <c r="Q21" s="242"/>
      <c r="R21" s="242"/>
      <c r="S21" s="242"/>
      <c r="T21" s="242"/>
      <c r="U21" s="242"/>
      <c r="V21" s="255"/>
      <c r="W21" s="260"/>
      <c r="X21" s="270"/>
      <c r="Y21" s="271"/>
      <c r="Z21" s="271"/>
      <c r="AA21" s="271"/>
      <c r="AB21" s="271"/>
      <c r="AC21" s="271"/>
      <c r="AD21" s="272"/>
      <c r="AE21" s="284"/>
      <c r="AF21" s="285"/>
      <c r="AG21" s="286"/>
      <c r="AH21" s="299"/>
      <c r="AI21" s="300"/>
      <c r="AJ21" s="300"/>
      <c r="AK21" s="300"/>
      <c r="AL21" s="300"/>
      <c r="AM21" s="301"/>
      <c r="AN21" s="202"/>
      <c r="AO21" s="202"/>
      <c r="AP21" s="202"/>
    </row>
    <row r="22" spans="2:46" s="178" customFormat="1" ht="16.5" thickBot="1" x14ac:dyDescent="0.3">
      <c r="B22" s="203"/>
      <c r="C22" s="204"/>
      <c r="D22" s="207">
        <f t="shared" ref="D22:AP22" si="9">SUM(D8:D21)</f>
        <v>0</v>
      </c>
      <c r="E22" s="208" t="e">
        <f t="shared" si="9"/>
        <v>#VALUE!</v>
      </c>
      <c r="F22" s="227" t="e">
        <f t="shared" si="9"/>
        <v>#VALUE!</v>
      </c>
      <c r="G22" s="231">
        <f t="shared" si="9"/>
        <v>0</v>
      </c>
      <c r="H22" s="244">
        <f t="shared" si="9"/>
        <v>0</v>
      </c>
      <c r="I22" s="244">
        <f t="shared" si="9"/>
        <v>55400</v>
      </c>
      <c r="J22" s="245">
        <f t="shared" si="9"/>
        <v>0</v>
      </c>
      <c r="K22" s="245">
        <f t="shared" si="9"/>
        <v>0</v>
      </c>
      <c r="L22" s="246">
        <f t="shared" si="9"/>
        <v>55400</v>
      </c>
      <c r="M22" s="256">
        <f t="shared" si="9"/>
        <v>0</v>
      </c>
      <c r="N22" s="245">
        <f t="shared" si="9"/>
        <v>0</v>
      </c>
      <c r="O22" s="245">
        <f t="shared" si="9"/>
        <v>0</v>
      </c>
      <c r="P22" s="245">
        <f t="shared" si="9"/>
        <v>0</v>
      </c>
      <c r="Q22" s="245">
        <f t="shared" si="9"/>
        <v>0</v>
      </c>
      <c r="R22" s="245">
        <f t="shared" si="9"/>
        <v>0</v>
      </c>
      <c r="S22" s="245">
        <f t="shared" si="9"/>
        <v>0</v>
      </c>
      <c r="T22" s="245">
        <f t="shared" si="9"/>
        <v>0</v>
      </c>
      <c r="U22" s="245">
        <f t="shared" si="9"/>
        <v>0</v>
      </c>
      <c r="V22" s="257">
        <f t="shared" si="9"/>
        <v>0</v>
      </c>
      <c r="W22" s="261">
        <f t="shared" si="9"/>
        <v>55400</v>
      </c>
      <c r="X22" s="273">
        <f t="shared" si="9"/>
        <v>0</v>
      </c>
      <c r="Y22" s="274">
        <f t="shared" si="9"/>
        <v>110800</v>
      </c>
      <c r="Z22" s="274">
        <f t="shared" si="9"/>
        <v>0</v>
      </c>
      <c r="AA22" s="274">
        <f t="shared" si="9"/>
        <v>0</v>
      </c>
      <c r="AB22" s="274">
        <f t="shared" si="9"/>
        <v>0</v>
      </c>
      <c r="AC22" s="274">
        <f t="shared" si="9"/>
        <v>0</v>
      </c>
      <c r="AD22" s="275">
        <f t="shared" si="9"/>
        <v>110800</v>
      </c>
      <c r="AE22" s="287">
        <f t="shared" si="9"/>
        <v>0</v>
      </c>
      <c r="AF22" s="288" t="e">
        <f t="shared" si="9"/>
        <v>#VALUE!</v>
      </c>
      <c r="AG22" s="289" t="e">
        <f t="shared" si="9"/>
        <v>#VALUE!</v>
      </c>
      <c r="AH22" s="302">
        <f t="shared" si="9"/>
        <v>0</v>
      </c>
      <c r="AI22" s="303">
        <f t="shared" si="9"/>
        <v>0</v>
      </c>
      <c r="AJ22" s="303">
        <f t="shared" si="9"/>
        <v>0</v>
      </c>
      <c r="AK22" s="303">
        <f t="shared" si="9"/>
        <v>0</v>
      </c>
      <c r="AL22" s="303">
        <f t="shared" si="9"/>
        <v>0</v>
      </c>
      <c r="AM22" s="304">
        <f t="shared" si="9"/>
        <v>0</v>
      </c>
      <c r="AN22" s="209" t="e">
        <f t="shared" si="9"/>
        <v>#VALUE!</v>
      </c>
      <c r="AO22" s="209" t="e">
        <f t="shared" si="9"/>
        <v>#VALUE!</v>
      </c>
      <c r="AP22" s="209" t="e">
        <f t="shared" si="9"/>
        <v>#VALUE!</v>
      </c>
    </row>
    <row r="24" spans="2:46" x14ac:dyDescent="0.25">
      <c r="AO24" s="343" t="e" cm="1">
        <f t="array" aca="1" ref="AO24" ca="1">PesosInWords2Caps(AO22)</f>
        <v>#NAME?</v>
      </c>
    </row>
    <row r="25" spans="2:46" x14ac:dyDescent="0.25">
      <c r="AO25" s="343" t="e" cm="1">
        <f t="array" aca="1" ref="AO25" ca="1">PesosInWords2Caps(AP22)</f>
        <v>#NAME?</v>
      </c>
    </row>
  </sheetData>
  <mergeCells count="22">
    <mergeCell ref="E4:E6"/>
    <mergeCell ref="F4:F6"/>
    <mergeCell ref="AM5:AM6"/>
    <mergeCell ref="B2:D2"/>
    <mergeCell ref="B4:B6"/>
    <mergeCell ref="C4:C6"/>
    <mergeCell ref="D4:D6"/>
    <mergeCell ref="G5:G6"/>
    <mergeCell ref="M5:V5"/>
    <mergeCell ref="W5:W6"/>
    <mergeCell ref="AR6:AT6"/>
    <mergeCell ref="AN4:AN6"/>
    <mergeCell ref="AE5:AF5"/>
    <mergeCell ref="AG5:AG6"/>
    <mergeCell ref="AH5:AL5"/>
    <mergeCell ref="AO4:AO6"/>
    <mergeCell ref="AP4:AP6"/>
    <mergeCell ref="G4:AM4"/>
    <mergeCell ref="Z5:AC5"/>
    <mergeCell ref="AD5:AD6"/>
    <mergeCell ref="X5:Y5"/>
    <mergeCell ref="H5:L5"/>
  </mergeCells>
  <conditionalFormatting sqref="AR8:AT17">
    <cfRule type="cellIs" dxfId="21" priority="5" stopIfTrue="1" operator="equal">
      <formula>0</formula>
    </cfRule>
    <cfRule type="cellIs" dxfId="20" priority="6" stopIfTrue="1" operator="lessThan">
      <formula>0</formula>
    </cfRule>
  </conditionalFormatting>
  <conditionalFormatting sqref="AR18:AT18">
    <cfRule type="cellIs" dxfId="19" priority="3" stopIfTrue="1" operator="equal">
      <formula>0</formula>
    </cfRule>
    <cfRule type="cellIs" dxfId="18" priority="4" stopIfTrue="1" operator="lessThan">
      <formula>0</formula>
    </cfRule>
  </conditionalFormatting>
  <conditionalFormatting sqref="AR19:AT20">
    <cfRule type="cellIs" dxfId="17" priority="1" stopIfTrue="1" operator="equal">
      <formula>0</formula>
    </cfRule>
    <cfRule type="cellIs" dxfId="16" priority="2" stopIfTrue="1" operator="lessThan">
      <formula>0</formula>
    </cfRule>
  </conditionalFormatting>
  <pageMargins left="0.25" right="0.25" top="0.75" bottom="0.75" header="0.3" footer="0.3"/>
  <pageSetup paperSize="12" scale="28" fitToHeight="0" orientation="landscape" copies="5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00B050"/>
    <pageSetUpPr fitToPage="1"/>
  </sheetPr>
  <dimension ref="B2:N150"/>
  <sheetViews>
    <sheetView zoomScale="85" zoomScaleNormal="85" workbookViewId="0">
      <pane xSplit="7" ySplit="6" topLeftCell="H64" activePane="bottomRight" state="frozen"/>
      <selection activeCell="B34" sqref="B34"/>
      <selection pane="topRight" activeCell="B34" sqref="B34"/>
      <selection pane="bottomLeft" activeCell="B34" sqref="B34"/>
      <selection pane="bottomRight" activeCell="C8" sqref="C8:C101"/>
    </sheetView>
  </sheetViews>
  <sheetFormatPr defaultRowHeight="15.75" x14ac:dyDescent="0.25"/>
  <cols>
    <col min="1" max="2" width="9" style="4"/>
    <col min="3" max="3" width="31.625" style="4" bestFit="1" customWidth="1"/>
    <col min="4" max="4" width="21.75" style="4" bestFit="1" customWidth="1"/>
    <col min="5" max="5" width="14.25" style="57" customWidth="1"/>
    <col min="6" max="6" width="12.375" style="4" bestFit="1" customWidth="1"/>
    <col min="7" max="7" width="42.375" style="4" customWidth="1"/>
    <col min="8" max="8" width="12.375" style="57" customWidth="1"/>
    <col min="9" max="9" width="40.625" style="316" customWidth="1"/>
    <col min="10" max="10" width="12.375" style="57" customWidth="1"/>
    <col min="11" max="11" width="12.375" style="316" customWidth="1"/>
    <col min="12" max="12" width="12.375" style="57" customWidth="1"/>
    <col min="13" max="13" width="12.375" style="316" customWidth="1"/>
    <col min="14" max="14" width="12.375" style="318" bestFit="1" customWidth="1"/>
    <col min="15" max="16384" width="9" style="4"/>
  </cols>
  <sheetData>
    <row r="2" spans="2:14" ht="27.75" customHeight="1" thickBot="1" x14ac:dyDescent="0.3">
      <c r="B2" s="785" t="s">
        <v>156</v>
      </c>
      <c r="C2" s="785"/>
      <c r="D2" s="785"/>
      <c r="E2" s="785"/>
      <c r="F2" s="785"/>
      <c r="G2" s="785"/>
      <c r="H2" s="785"/>
      <c r="I2" s="785"/>
      <c r="J2" s="785"/>
      <c r="K2" s="785"/>
      <c r="L2" s="785"/>
      <c r="M2" s="785"/>
      <c r="N2" s="785"/>
    </row>
    <row r="3" spans="2:14" ht="27.75" customHeight="1" thickBot="1" x14ac:dyDescent="0.3">
      <c r="B3" s="805" t="s">
        <v>107</v>
      </c>
      <c r="C3" s="805"/>
      <c r="D3" s="805"/>
      <c r="E3" s="805"/>
      <c r="F3" s="805"/>
      <c r="G3" s="805"/>
      <c r="H3" s="805"/>
      <c r="I3" s="805"/>
      <c r="J3" s="805"/>
      <c r="K3" s="805"/>
      <c r="L3" s="805"/>
      <c r="M3" s="805"/>
      <c r="N3" s="805"/>
    </row>
    <row r="4" spans="2:14" ht="15.75" customHeight="1" x14ac:dyDescent="0.25">
      <c r="B4" s="802" t="s">
        <v>6</v>
      </c>
      <c r="C4" s="806" t="s">
        <v>1</v>
      </c>
      <c r="D4" s="815" t="s">
        <v>2</v>
      </c>
      <c r="E4" s="806" t="s">
        <v>14</v>
      </c>
      <c r="F4" s="780" t="s">
        <v>54</v>
      </c>
      <c r="G4" s="802" t="s">
        <v>157</v>
      </c>
      <c r="H4" s="809" t="s">
        <v>153</v>
      </c>
      <c r="I4" s="810"/>
      <c r="J4" s="810"/>
      <c r="K4" s="810"/>
      <c r="L4" s="810"/>
      <c r="M4" s="810"/>
      <c r="N4" s="811"/>
    </row>
    <row r="5" spans="2:14" ht="16.5" thickBot="1" x14ac:dyDescent="0.3">
      <c r="B5" s="803"/>
      <c r="C5" s="807"/>
      <c r="D5" s="816"/>
      <c r="E5" s="807"/>
      <c r="F5" s="781"/>
      <c r="G5" s="803"/>
      <c r="H5" s="812"/>
      <c r="I5" s="813"/>
      <c r="J5" s="813"/>
      <c r="K5" s="813"/>
      <c r="L5" s="813"/>
      <c r="M5" s="813"/>
      <c r="N5" s="814"/>
    </row>
    <row r="6" spans="2:14" ht="16.5" thickBot="1" x14ac:dyDescent="0.3">
      <c r="B6" s="804"/>
      <c r="C6" s="808"/>
      <c r="D6" s="817"/>
      <c r="E6" s="808"/>
      <c r="F6" s="782"/>
      <c r="G6" s="804"/>
      <c r="H6" s="323" t="s">
        <v>150</v>
      </c>
      <c r="I6" s="319" t="s">
        <v>154</v>
      </c>
      <c r="J6" s="323" t="s">
        <v>151</v>
      </c>
      <c r="K6" s="319" t="s">
        <v>154</v>
      </c>
      <c r="L6" s="323" t="s">
        <v>152</v>
      </c>
      <c r="M6" s="319" t="s">
        <v>154</v>
      </c>
      <c r="N6" s="319" t="s">
        <v>155</v>
      </c>
    </row>
    <row r="7" spans="2:14" x14ac:dyDescent="0.25">
      <c r="B7" s="42"/>
      <c r="C7" s="320"/>
      <c r="D7" s="321"/>
      <c r="E7" s="322"/>
      <c r="F7" s="320"/>
      <c r="G7" s="12"/>
      <c r="H7" s="322"/>
      <c r="I7" s="315"/>
      <c r="J7" s="322"/>
      <c r="K7" s="315"/>
      <c r="L7" s="322"/>
      <c r="M7" s="315"/>
      <c r="N7" s="317"/>
    </row>
    <row r="8" spans="2:14" x14ac:dyDescent="0.25">
      <c r="B8" s="34">
        <v>1</v>
      </c>
      <c r="C8" s="184"/>
      <c r="D8" s="185"/>
      <c r="E8" s="309"/>
      <c r="F8" s="331"/>
      <c r="G8" s="189">
        <f>'GEN.AD - PAY'!I21/31</f>
        <v>0</v>
      </c>
      <c r="H8" s="314"/>
      <c r="I8" s="189">
        <f>ROUND(G8*H8,2)</f>
        <v>0</v>
      </c>
      <c r="J8" s="314"/>
      <c r="K8" s="189">
        <f>ROUND(G8/8*J8,2)</f>
        <v>0</v>
      </c>
      <c r="L8" s="314"/>
      <c r="M8" s="189">
        <f>ROUND(G8/8/60*L8,2)</f>
        <v>0</v>
      </c>
      <c r="N8" s="189">
        <f>I8+K8+M8</f>
        <v>0</v>
      </c>
    </row>
    <row r="9" spans="2:14" x14ac:dyDescent="0.25">
      <c r="B9" s="34">
        <f>+B8+1</f>
        <v>2</v>
      </c>
      <c r="C9" s="184"/>
      <c r="D9" s="185"/>
      <c r="E9" s="225"/>
      <c r="F9" s="225"/>
      <c r="G9" s="189">
        <f>'GEN.AD - PAY'!I22/31</f>
        <v>0</v>
      </c>
      <c r="H9" s="313"/>
      <c r="I9" s="189">
        <f>ROUND(G9*H9,2)</f>
        <v>0</v>
      </c>
      <c r="J9" s="313"/>
      <c r="K9" s="189">
        <f>ROUND(G9/8*J9,2)</f>
        <v>0</v>
      </c>
      <c r="L9" s="313"/>
      <c r="M9" s="189">
        <f>ROUND(G9/8/60*L9,2)</f>
        <v>0</v>
      </c>
      <c r="N9" s="189">
        <f>I9+K9+M9</f>
        <v>0</v>
      </c>
    </row>
    <row r="10" spans="2:14" x14ac:dyDescent="0.25">
      <c r="B10" s="34">
        <f t="shared" ref="B10:B100" si="0">+B9+1</f>
        <v>3</v>
      </c>
      <c r="C10" s="184"/>
      <c r="D10" s="185"/>
      <c r="E10" s="308"/>
      <c r="F10" s="310"/>
      <c r="G10" s="189">
        <f>'GEN.AD - PAY'!I23/31</f>
        <v>0</v>
      </c>
      <c r="H10" s="313"/>
      <c r="I10" s="189">
        <f t="shared" ref="I10:I27" si="1">ROUND(G10*H10,2)</f>
        <v>0</v>
      </c>
      <c r="J10" s="313"/>
      <c r="K10" s="189">
        <f t="shared" ref="K10:K27" si="2">ROUND(G10/8*J10,2)</f>
        <v>0</v>
      </c>
      <c r="L10" s="313"/>
      <c r="M10" s="189">
        <f t="shared" ref="M10:M27" si="3">ROUND(G10/8/60*L10,2)</f>
        <v>0</v>
      </c>
      <c r="N10" s="189">
        <f t="shared" ref="N10:N27" si="4">I10+K10+M10</f>
        <v>0</v>
      </c>
    </row>
    <row r="11" spans="2:14" x14ac:dyDescent="0.25">
      <c r="B11" s="34">
        <f t="shared" si="0"/>
        <v>4</v>
      </c>
      <c r="C11" s="184"/>
      <c r="D11" s="185"/>
      <c r="E11" s="225"/>
      <c r="F11" s="225"/>
      <c r="G11" s="189">
        <f>'GEN.AD - PAY'!I24/31</f>
        <v>0</v>
      </c>
      <c r="H11" s="313"/>
      <c r="I11" s="189">
        <f t="shared" si="1"/>
        <v>0</v>
      </c>
      <c r="J11" s="313"/>
      <c r="K11" s="189">
        <f t="shared" si="2"/>
        <v>0</v>
      </c>
      <c r="L11" s="313"/>
      <c r="M11" s="189">
        <f t="shared" si="3"/>
        <v>0</v>
      </c>
      <c r="N11" s="189">
        <f t="shared" si="4"/>
        <v>0</v>
      </c>
    </row>
    <row r="12" spans="2:14" x14ac:dyDescent="0.25">
      <c r="B12" s="34">
        <f t="shared" si="0"/>
        <v>5</v>
      </c>
      <c r="C12" s="184"/>
      <c r="D12" s="185"/>
      <c r="E12" s="308"/>
      <c r="F12" s="310"/>
      <c r="G12" s="189">
        <f>'GEN.AD - PAY'!I25/31</f>
        <v>0</v>
      </c>
      <c r="H12" s="313"/>
      <c r="I12" s="189">
        <f t="shared" si="1"/>
        <v>0</v>
      </c>
      <c r="J12" s="313"/>
      <c r="K12" s="189">
        <f t="shared" si="2"/>
        <v>0</v>
      </c>
      <c r="L12" s="313"/>
      <c r="M12" s="189">
        <f t="shared" si="3"/>
        <v>0</v>
      </c>
      <c r="N12" s="189">
        <f t="shared" si="4"/>
        <v>0</v>
      </c>
    </row>
    <row r="13" spans="2:14" x14ac:dyDescent="0.25">
      <c r="B13" s="34">
        <f t="shared" si="0"/>
        <v>6</v>
      </c>
      <c r="C13" s="184"/>
      <c r="D13" s="185"/>
      <c r="E13" s="225"/>
      <c r="F13" s="225"/>
      <c r="G13" s="189">
        <f>'GEN.AD - PAY'!I26/31</f>
        <v>0</v>
      </c>
      <c r="H13" s="313"/>
      <c r="I13" s="189">
        <f t="shared" si="1"/>
        <v>0</v>
      </c>
      <c r="J13" s="313"/>
      <c r="K13" s="189">
        <f t="shared" si="2"/>
        <v>0</v>
      </c>
      <c r="L13" s="313"/>
      <c r="M13" s="189">
        <f t="shared" si="3"/>
        <v>0</v>
      </c>
      <c r="N13" s="189">
        <f t="shared" si="4"/>
        <v>0</v>
      </c>
    </row>
    <row r="14" spans="2:14" x14ac:dyDescent="0.25">
      <c r="B14" s="34">
        <f t="shared" si="0"/>
        <v>7</v>
      </c>
      <c r="C14" s="184"/>
      <c r="D14" s="185"/>
      <c r="E14" s="225"/>
      <c r="F14" s="225"/>
      <c r="G14" s="189">
        <f>'GEN.AD - PAY'!I27/31</f>
        <v>0</v>
      </c>
      <c r="H14" s="313"/>
      <c r="I14" s="189">
        <f t="shared" si="1"/>
        <v>0</v>
      </c>
      <c r="J14" s="313"/>
      <c r="K14" s="189">
        <f t="shared" si="2"/>
        <v>0</v>
      </c>
      <c r="L14" s="313"/>
      <c r="M14" s="189">
        <f t="shared" si="3"/>
        <v>0</v>
      </c>
      <c r="N14" s="189">
        <f t="shared" si="4"/>
        <v>0</v>
      </c>
    </row>
    <row r="15" spans="2:14" x14ac:dyDescent="0.25">
      <c r="B15" s="34">
        <f t="shared" si="0"/>
        <v>8</v>
      </c>
      <c r="C15" s="184"/>
      <c r="D15" s="185"/>
      <c r="E15" s="225"/>
      <c r="F15" s="225"/>
      <c r="G15" s="189">
        <f>'GEN.AD - PAY'!I28/31</f>
        <v>0</v>
      </c>
      <c r="H15" s="313"/>
      <c r="I15" s="189">
        <f t="shared" si="1"/>
        <v>0</v>
      </c>
      <c r="J15" s="313"/>
      <c r="K15" s="189">
        <f t="shared" si="2"/>
        <v>0</v>
      </c>
      <c r="L15" s="313"/>
      <c r="M15" s="189">
        <f t="shared" si="3"/>
        <v>0</v>
      </c>
      <c r="N15" s="189">
        <f t="shared" si="4"/>
        <v>0</v>
      </c>
    </row>
    <row r="16" spans="2:14" x14ac:dyDescent="0.25">
      <c r="B16" s="34">
        <f t="shared" si="0"/>
        <v>9</v>
      </c>
      <c r="C16" s="184"/>
      <c r="D16" s="185"/>
      <c r="E16" s="225"/>
      <c r="F16" s="225"/>
      <c r="G16" s="189">
        <f>'GEN.AD - PAY'!I29/31</f>
        <v>0</v>
      </c>
      <c r="H16" s="313"/>
      <c r="I16" s="189">
        <f t="shared" si="1"/>
        <v>0</v>
      </c>
      <c r="J16" s="313"/>
      <c r="K16" s="189">
        <f t="shared" si="2"/>
        <v>0</v>
      </c>
      <c r="L16" s="313"/>
      <c r="M16" s="189">
        <f t="shared" si="3"/>
        <v>0</v>
      </c>
      <c r="N16" s="189">
        <f t="shared" si="4"/>
        <v>0</v>
      </c>
    </row>
    <row r="17" spans="2:14" x14ac:dyDescent="0.25">
      <c r="B17" s="34">
        <f t="shared" si="0"/>
        <v>10</v>
      </c>
      <c r="C17" s="184"/>
      <c r="D17" s="185"/>
      <c r="E17" s="308"/>
      <c r="F17" s="310"/>
      <c r="G17" s="189">
        <f>'GEN.AD - PAY'!I30/31</f>
        <v>0</v>
      </c>
      <c r="H17" s="313"/>
      <c r="I17" s="189">
        <f t="shared" si="1"/>
        <v>0</v>
      </c>
      <c r="J17" s="313"/>
      <c r="K17" s="189">
        <f t="shared" si="2"/>
        <v>0</v>
      </c>
      <c r="L17" s="313"/>
      <c r="M17" s="189">
        <f t="shared" si="3"/>
        <v>0</v>
      </c>
      <c r="N17" s="189">
        <f t="shared" si="4"/>
        <v>0</v>
      </c>
    </row>
    <row r="18" spans="2:14" x14ac:dyDescent="0.25">
      <c r="B18" s="34">
        <f t="shared" si="0"/>
        <v>11</v>
      </c>
      <c r="C18" s="184"/>
      <c r="D18" s="185"/>
      <c r="E18" s="308"/>
      <c r="F18" s="310"/>
      <c r="G18" s="189">
        <f>'GEN.AD - PAY'!I31/31</f>
        <v>0</v>
      </c>
      <c r="H18" s="313"/>
      <c r="I18" s="189">
        <f t="shared" si="1"/>
        <v>0</v>
      </c>
      <c r="J18" s="313"/>
      <c r="K18" s="189">
        <f t="shared" si="2"/>
        <v>0</v>
      </c>
      <c r="L18" s="313"/>
      <c r="M18" s="189">
        <f t="shared" si="3"/>
        <v>0</v>
      </c>
      <c r="N18" s="189">
        <f t="shared" si="4"/>
        <v>0</v>
      </c>
    </row>
    <row r="19" spans="2:14" x14ac:dyDescent="0.25">
      <c r="B19" s="34">
        <f t="shared" si="0"/>
        <v>12</v>
      </c>
      <c r="C19" s="184"/>
      <c r="D19" s="185"/>
      <c r="E19" s="225"/>
      <c r="F19" s="225"/>
      <c r="G19" s="189">
        <f>'GEN.AD - PAY'!I32/31</f>
        <v>0</v>
      </c>
      <c r="H19" s="313"/>
      <c r="I19" s="189">
        <f t="shared" si="1"/>
        <v>0</v>
      </c>
      <c r="J19" s="313"/>
      <c r="K19" s="189">
        <f t="shared" si="2"/>
        <v>0</v>
      </c>
      <c r="L19" s="313"/>
      <c r="M19" s="189">
        <f t="shared" si="3"/>
        <v>0</v>
      </c>
      <c r="N19" s="189">
        <f t="shared" si="4"/>
        <v>0</v>
      </c>
    </row>
    <row r="20" spans="2:14" x14ac:dyDescent="0.25">
      <c r="B20" s="34">
        <f t="shared" si="0"/>
        <v>13</v>
      </c>
      <c r="C20" s="184"/>
      <c r="D20" s="185"/>
      <c r="E20" s="308"/>
      <c r="F20" s="310"/>
      <c r="G20" s="189">
        <f>'GEN.AD - PAY'!I33/31</f>
        <v>0</v>
      </c>
      <c r="H20" s="313"/>
      <c r="I20" s="189">
        <f t="shared" si="1"/>
        <v>0</v>
      </c>
      <c r="J20" s="313"/>
      <c r="K20" s="189">
        <f t="shared" si="2"/>
        <v>0</v>
      </c>
      <c r="L20" s="313"/>
      <c r="M20" s="189">
        <f t="shared" si="3"/>
        <v>0</v>
      </c>
      <c r="N20" s="189">
        <f t="shared" si="4"/>
        <v>0</v>
      </c>
    </row>
    <row r="21" spans="2:14" x14ac:dyDescent="0.25">
      <c r="B21" s="34">
        <f t="shared" si="0"/>
        <v>14</v>
      </c>
      <c r="C21" s="184"/>
      <c r="D21" s="185"/>
      <c r="E21" s="308"/>
      <c r="F21" s="310"/>
      <c r="G21" s="189">
        <f>'GEN.AD - PAY'!I34/31</f>
        <v>0</v>
      </c>
      <c r="H21" s="313"/>
      <c r="I21" s="189">
        <f t="shared" si="1"/>
        <v>0</v>
      </c>
      <c r="J21" s="313"/>
      <c r="K21" s="189">
        <f t="shared" si="2"/>
        <v>0</v>
      </c>
      <c r="L21" s="313"/>
      <c r="M21" s="189">
        <f t="shared" si="3"/>
        <v>0</v>
      </c>
      <c r="N21" s="189">
        <f t="shared" si="4"/>
        <v>0</v>
      </c>
    </row>
    <row r="22" spans="2:14" x14ac:dyDescent="0.25">
      <c r="B22" s="34">
        <f t="shared" si="0"/>
        <v>15</v>
      </c>
      <c r="C22" s="184"/>
      <c r="D22" s="185"/>
      <c r="E22" s="308"/>
      <c r="F22" s="310"/>
      <c r="G22" s="189">
        <f>'GEN.AD - PAY'!I35/31</f>
        <v>0</v>
      </c>
      <c r="H22" s="313"/>
      <c r="I22" s="189">
        <f t="shared" si="1"/>
        <v>0</v>
      </c>
      <c r="J22" s="313"/>
      <c r="K22" s="189">
        <f t="shared" si="2"/>
        <v>0</v>
      </c>
      <c r="L22" s="313"/>
      <c r="M22" s="189">
        <f t="shared" si="3"/>
        <v>0</v>
      </c>
      <c r="N22" s="189">
        <f t="shared" si="4"/>
        <v>0</v>
      </c>
    </row>
    <row r="23" spans="2:14" x14ac:dyDescent="0.25">
      <c r="B23" s="34">
        <f t="shared" si="0"/>
        <v>16</v>
      </c>
      <c r="C23" s="186"/>
      <c r="D23" s="185"/>
      <c r="E23" s="331"/>
      <c r="F23" s="331"/>
      <c r="G23" s="189">
        <f>'GEN.AD - PAY'!I36/31</f>
        <v>0</v>
      </c>
      <c r="H23" s="313"/>
      <c r="I23" s="189">
        <f t="shared" si="1"/>
        <v>0</v>
      </c>
      <c r="J23" s="313"/>
      <c r="K23" s="189">
        <f t="shared" si="2"/>
        <v>0</v>
      </c>
      <c r="L23" s="313"/>
      <c r="M23" s="189">
        <f t="shared" si="3"/>
        <v>0</v>
      </c>
      <c r="N23" s="189">
        <f t="shared" si="4"/>
        <v>0</v>
      </c>
    </row>
    <row r="24" spans="2:14" x14ac:dyDescent="0.25">
      <c r="B24" s="34">
        <f t="shared" si="0"/>
        <v>17</v>
      </c>
      <c r="C24" s="186"/>
      <c r="D24" s="185"/>
      <c r="E24" s="331"/>
      <c r="F24" s="331"/>
      <c r="G24" s="189">
        <f>'GEN.AD - PAY'!I37/31</f>
        <v>0</v>
      </c>
      <c r="H24" s="313"/>
      <c r="I24" s="189">
        <f t="shared" si="1"/>
        <v>0</v>
      </c>
      <c r="J24" s="313"/>
      <c r="K24" s="189">
        <f t="shared" si="2"/>
        <v>0</v>
      </c>
      <c r="L24" s="313"/>
      <c r="M24" s="189">
        <f t="shared" si="3"/>
        <v>0</v>
      </c>
      <c r="N24" s="189">
        <f t="shared" si="4"/>
        <v>0</v>
      </c>
    </row>
    <row r="25" spans="2:14" x14ac:dyDescent="0.25">
      <c r="B25" s="34">
        <f t="shared" si="0"/>
        <v>18</v>
      </c>
      <c r="C25" s="184"/>
      <c r="D25" s="185"/>
      <c r="E25" s="308"/>
      <c r="F25" s="310"/>
      <c r="G25" s="189">
        <f>'GEN.AD - PAY'!I38/31</f>
        <v>0</v>
      </c>
      <c r="H25" s="313"/>
      <c r="I25" s="189">
        <f t="shared" si="1"/>
        <v>0</v>
      </c>
      <c r="J25" s="313"/>
      <c r="K25" s="189">
        <f t="shared" si="2"/>
        <v>0</v>
      </c>
      <c r="L25" s="313"/>
      <c r="M25" s="189">
        <f t="shared" si="3"/>
        <v>0</v>
      </c>
      <c r="N25" s="189">
        <f t="shared" si="4"/>
        <v>0</v>
      </c>
    </row>
    <row r="26" spans="2:14" x14ac:dyDescent="0.25">
      <c r="B26" s="34">
        <f t="shared" si="0"/>
        <v>19</v>
      </c>
      <c r="C26" s="184"/>
      <c r="D26" s="185"/>
      <c r="E26" s="308"/>
      <c r="F26" s="310"/>
      <c r="G26" s="189">
        <f>'GEN.AD - PAY'!I39/31</f>
        <v>0</v>
      </c>
      <c r="H26" s="313"/>
      <c r="I26" s="189">
        <f t="shared" si="1"/>
        <v>0</v>
      </c>
      <c r="J26" s="313"/>
      <c r="K26" s="189">
        <f t="shared" si="2"/>
        <v>0</v>
      </c>
      <c r="L26" s="313"/>
      <c r="M26" s="189">
        <f t="shared" si="3"/>
        <v>0</v>
      </c>
      <c r="N26" s="189">
        <f t="shared" si="4"/>
        <v>0</v>
      </c>
    </row>
    <row r="27" spans="2:14" x14ac:dyDescent="0.25">
      <c r="B27" s="34">
        <f t="shared" si="0"/>
        <v>20</v>
      </c>
      <c r="C27" s="186"/>
      <c r="D27" s="185"/>
      <c r="E27" s="308"/>
      <c r="F27" s="311"/>
      <c r="G27" s="189">
        <f>'GEN.AD - PAY'!I40/31</f>
        <v>0</v>
      </c>
      <c r="H27" s="313"/>
      <c r="I27" s="189">
        <f t="shared" si="1"/>
        <v>0</v>
      </c>
      <c r="J27" s="313"/>
      <c r="K27" s="189">
        <f t="shared" si="2"/>
        <v>0</v>
      </c>
      <c r="L27" s="313"/>
      <c r="M27" s="189">
        <f t="shared" si="3"/>
        <v>0</v>
      </c>
      <c r="N27" s="189">
        <f t="shared" si="4"/>
        <v>0</v>
      </c>
    </row>
    <row r="28" spans="2:14" x14ac:dyDescent="0.25">
      <c r="B28" s="34">
        <f t="shared" si="0"/>
        <v>21</v>
      </c>
      <c r="C28" s="186"/>
      <c r="D28" s="185"/>
      <c r="E28" s="308"/>
      <c r="F28" s="311"/>
      <c r="G28" s="189">
        <f>'GEN.AD - PAY'!I41/31</f>
        <v>0</v>
      </c>
      <c r="H28" s="313"/>
      <c r="I28" s="189">
        <f t="shared" ref="I28:I91" si="5">ROUND(G28*H28,2)</f>
        <v>0</v>
      </c>
      <c r="J28" s="313"/>
      <c r="K28" s="189">
        <f t="shared" ref="K28:K91" si="6">ROUND(G28/8*J28,2)</f>
        <v>0</v>
      </c>
      <c r="L28" s="313"/>
      <c r="M28" s="189">
        <f t="shared" ref="M28:M91" si="7">ROUND(G28/8/60*L28,2)</f>
        <v>0</v>
      </c>
      <c r="N28" s="189">
        <f t="shared" ref="N28:N91" si="8">I28+K28+M28</f>
        <v>0</v>
      </c>
    </row>
    <row r="29" spans="2:14" x14ac:dyDescent="0.25">
      <c r="B29" s="34">
        <f t="shared" si="0"/>
        <v>22</v>
      </c>
      <c r="C29" s="186"/>
      <c r="D29" s="185"/>
      <c r="E29" s="308"/>
      <c r="F29" s="311"/>
      <c r="G29" s="189">
        <f>'GEN.AD - PAY'!I42/31</f>
        <v>0</v>
      </c>
      <c r="H29" s="313"/>
      <c r="I29" s="189">
        <f t="shared" si="5"/>
        <v>0</v>
      </c>
      <c r="J29" s="313"/>
      <c r="K29" s="189">
        <f t="shared" si="6"/>
        <v>0</v>
      </c>
      <c r="L29" s="313"/>
      <c r="M29" s="189">
        <f t="shared" si="7"/>
        <v>0</v>
      </c>
      <c r="N29" s="189">
        <f t="shared" si="8"/>
        <v>0</v>
      </c>
    </row>
    <row r="30" spans="2:14" x14ac:dyDescent="0.25">
      <c r="B30" s="34">
        <f t="shared" si="0"/>
        <v>23</v>
      </c>
      <c r="C30" s="186"/>
      <c r="D30" s="185"/>
      <c r="E30" s="308"/>
      <c r="F30" s="310"/>
      <c r="G30" s="189">
        <f>'GEN.AD - PAY'!I43/31</f>
        <v>0</v>
      </c>
      <c r="H30" s="313"/>
      <c r="I30" s="189">
        <f t="shared" si="5"/>
        <v>0</v>
      </c>
      <c r="J30" s="313"/>
      <c r="K30" s="189">
        <f t="shared" si="6"/>
        <v>0</v>
      </c>
      <c r="L30" s="313"/>
      <c r="M30" s="189">
        <f t="shared" si="7"/>
        <v>0</v>
      </c>
      <c r="N30" s="189">
        <f t="shared" si="8"/>
        <v>0</v>
      </c>
    </row>
    <row r="31" spans="2:14" x14ac:dyDescent="0.25">
      <c r="B31" s="34">
        <f t="shared" si="0"/>
        <v>24</v>
      </c>
      <c r="C31" s="186"/>
      <c r="D31" s="185"/>
      <c r="E31" s="308"/>
      <c r="F31" s="311"/>
      <c r="G31" s="189">
        <f>'GEN.AD - PAY'!I44/31</f>
        <v>0</v>
      </c>
      <c r="H31" s="313"/>
      <c r="I31" s="189">
        <f t="shared" si="5"/>
        <v>0</v>
      </c>
      <c r="J31" s="313"/>
      <c r="K31" s="189">
        <f t="shared" si="6"/>
        <v>0</v>
      </c>
      <c r="L31" s="313"/>
      <c r="M31" s="189">
        <f t="shared" si="7"/>
        <v>0</v>
      </c>
      <c r="N31" s="189">
        <f t="shared" si="8"/>
        <v>0</v>
      </c>
    </row>
    <row r="32" spans="2:14" x14ac:dyDescent="0.25">
      <c r="B32" s="34">
        <f t="shared" si="0"/>
        <v>25</v>
      </c>
      <c r="C32" s="186"/>
      <c r="D32" s="185"/>
      <c r="E32" s="308"/>
      <c r="F32" s="310"/>
      <c r="G32" s="189">
        <f>'GEN.AD - PAY'!I45/31</f>
        <v>0</v>
      </c>
      <c r="H32" s="313"/>
      <c r="I32" s="189">
        <f t="shared" si="5"/>
        <v>0</v>
      </c>
      <c r="J32" s="313"/>
      <c r="K32" s="189">
        <f t="shared" si="6"/>
        <v>0</v>
      </c>
      <c r="L32" s="313"/>
      <c r="M32" s="189">
        <f t="shared" si="7"/>
        <v>0</v>
      </c>
      <c r="N32" s="189">
        <f t="shared" si="8"/>
        <v>0</v>
      </c>
    </row>
    <row r="33" spans="2:14" x14ac:dyDescent="0.25">
      <c r="B33" s="34">
        <f t="shared" si="0"/>
        <v>26</v>
      </c>
      <c r="C33" s="186"/>
      <c r="D33" s="305"/>
      <c r="E33" s="308"/>
      <c r="F33" s="311"/>
      <c r="G33" s="189">
        <f>'GEN.AD - PAY'!I46/31</f>
        <v>0</v>
      </c>
      <c r="H33" s="313"/>
      <c r="I33" s="189">
        <f t="shared" si="5"/>
        <v>0</v>
      </c>
      <c r="J33" s="313"/>
      <c r="K33" s="189">
        <f t="shared" si="6"/>
        <v>0</v>
      </c>
      <c r="L33" s="313"/>
      <c r="M33" s="189">
        <f t="shared" si="7"/>
        <v>0</v>
      </c>
      <c r="N33" s="189">
        <f t="shared" si="8"/>
        <v>0</v>
      </c>
    </row>
    <row r="34" spans="2:14" x14ac:dyDescent="0.25">
      <c r="B34" s="34">
        <f t="shared" si="0"/>
        <v>27</v>
      </c>
      <c r="C34" s="186"/>
      <c r="D34" s="305"/>
      <c r="E34" s="308"/>
      <c r="F34" s="311"/>
      <c r="G34" s="189">
        <f>'GEN.AD - PAY'!I47/31</f>
        <v>0</v>
      </c>
      <c r="H34" s="313"/>
      <c r="I34" s="189">
        <f t="shared" si="5"/>
        <v>0</v>
      </c>
      <c r="J34" s="313"/>
      <c r="K34" s="189">
        <f t="shared" si="6"/>
        <v>0</v>
      </c>
      <c r="L34" s="313"/>
      <c r="M34" s="189">
        <f t="shared" si="7"/>
        <v>0</v>
      </c>
      <c r="N34" s="189">
        <f t="shared" si="8"/>
        <v>0</v>
      </c>
    </row>
    <row r="35" spans="2:14" x14ac:dyDescent="0.25">
      <c r="B35" s="34">
        <f t="shared" si="0"/>
        <v>28</v>
      </c>
      <c r="C35" s="186"/>
      <c r="D35" s="305"/>
      <c r="E35" s="308"/>
      <c r="F35" s="311"/>
      <c r="G35" s="189">
        <f>'GEN.AD - PAY'!I48/31</f>
        <v>0</v>
      </c>
      <c r="H35" s="313"/>
      <c r="I35" s="189">
        <f t="shared" si="5"/>
        <v>0</v>
      </c>
      <c r="J35" s="313"/>
      <c r="K35" s="189">
        <f t="shared" si="6"/>
        <v>0</v>
      </c>
      <c r="L35" s="313"/>
      <c r="M35" s="189">
        <f t="shared" si="7"/>
        <v>0</v>
      </c>
      <c r="N35" s="189">
        <f t="shared" si="8"/>
        <v>0</v>
      </c>
    </row>
    <row r="36" spans="2:14" x14ac:dyDescent="0.25">
      <c r="B36" s="34">
        <f t="shared" si="0"/>
        <v>29</v>
      </c>
      <c r="C36" s="186"/>
      <c r="D36" s="305"/>
      <c r="E36" s="308"/>
      <c r="F36" s="311"/>
      <c r="G36" s="189">
        <f>'GEN.AD - PAY'!I49/31</f>
        <v>0</v>
      </c>
      <c r="H36" s="313"/>
      <c r="I36" s="189">
        <f t="shared" si="5"/>
        <v>0</v>
      </c>
      <c r="J36" s="313"/>
      <c r="K36" s="189">
        <f t="shared" si="6"/>
        <v>0</v>
      </c>
      <c r="L36" s="313"/>
      <c r="M36" s="189">
        <f t="shared" si="7"/>
        <v>0</v>
      </c>
      <c r="N36" s="189">
        <f t="shared" si="8"/>
        <v>0</v>
      </c>
    </row>
    <row r="37" spans="2:14" x14ac:dyDescent="0.25">
      <c r="B37" s="34">
        <f t="shared" si="0"/>
        <v>30</v>
      </c>
      <c r="C37" s="186"/>
      <c r="D37" s="305"/>
      <c r="E37" s="308"/>
      <c r="F37" s="311"/>
      <c r="G37" s="189">
        <f>'GEN.AD - PAY'!I50/31</f>
        <v>0</v>
      </c>
      <c r="H37" s="313"/>
      <c r="I37" s="189">
        <f t="shared" si="5"/>
        <v>0</v>
      </c>
      <c r="J37" s="313"/>
      <c r="K37" s="189">
        <f t="shared" si="6"/>
        <v>0</v>
      </c>
      <c r="L37" s="313"/>
      <c r="M37" s="189">
        <f t="shared" si="7"/>
        <v>0</v>
      </c>
      <c r="N37" s="189">
        <f t="shared" si="8"/>
        <v>0</v>
      </c>
    </row>
    <row r="38" spans="2:14" x14ac:dyDescent="0.25">
      <c r="B38" s="34">
        <f t="shared" si="0"/>
        <v>31</v>
      </c>
      <c r="C38" s="186"/>
      <c r="D38" s="305"/>
      <c r="E38" s="308"/>
      <c r="F38" s="311"/>
      <c r="G38" s="189">
        <f>'GEN.AD - PAY'!I51/31</f>
        <v>0</v>
      </c>
      <c r="H38" s="313"/>
      <c r="I38" s="189">
        <f t="shared" si="5"/>
        <v>0</v>
      </c>
      <c r="J38" s="313"/>
      <c r="K38" s="189">
        <f t="shared" si="6"/>
        <v>0</v>
      </c>
      <c r="L38" s="313"/>
      <c r="M38" s="189">
        <f t="shared" si="7"/>
        <v>0</v>
      </c>
      <c r="N38" s="189">
        <f t="shared" si="8"/>
        <v>0</v>
      </c>
    </row>
    <row r="39" spans="2:14" x14ac:dyDescent="0.25">
      <c r="B39" s="34">
        <f t="shared" si="0"/>
        <v>32</v>
      </c>
      <c r="C39" s="186"/>
      <c r="D39" s="305"/>
      <c r="E39" s="308"/>
      <c r="F39" s="311"/>
      <c r="G39" s="189">
        <f>'GEN.AD - PAY'!I52/31</f>
        <v>0</v>
      </c>
      <c r="H39" s="313"/>
      <c r="I39" s="189">
        <f t="shared" si="5"/>
        <v>0</v>
      </c>
      <c r="J39" s="313"/>
      <c r="K39" s="189">
        <f t="shared" si="6"/>
        <v>0</v>
      </c>
      <c r="L39" s="313"/>
      <c r="M39" s="189">
        <f t="shared" si="7"/>
        <v>0</v>
      </c>
      <c r="N39" s="189">
        <f t="shared" si="8"/>
        <v>0</v>
      </c>
    </row>
    <row r="40" spans="2:14" x14ac:dyDescent="0.25">
      <c r="B40" s="34">
        <f t="shared" si="0"/>
        <v>33</v>
      </c>
      <c r="C40" s="186"/>
      <c r="D40" s="305"/>
      <c r="E40" s="308"/>
      <c r="F40" s="311"/>
      <c r="G40" s="189">
        <f>'GEN.AD - PAY'!I53/31</f>
        <v>0</v>
      </c>
      <c r="H40" s="313"/>
      <c r="I40" s="189">
        <f t="shared" si="5"/>
        <v>0</v>
      </c>
      <c r="J40" s="313"/>
      <c r="K40" s="189">
        <f t="shared" si="6"/>
        <v>0</v>
      </c>
      <c r="L40" s="313"/>
      <c r="M40" s="189">
        <f t="shared" si="7"/>
        <v>0</v>
      </c>
      <c r="N40" s="189">
        <f t="shared" si="8"/>
        <v>0</v>
      </c>
    </row>
    <row r="41" spans="2:14" x14ac:dyDescent="0.25">
      <c r="B41" s="34">
        <f t="shared" si="0"/>
        <v>34</v>
      </c>
      <c r="C41" s="186"/>
      <c r="D41" s="305"/>
      <c r="E41" s="308"/>
      <c r="F41" s="311"/>
      <c r="G41" s="189">
        <f>'GEN.AD - PAY'!I54/31</f>
        <v>0</v>
      </c>
      <c r="H41" s="313"/>
      <c r="I41" s="189">
        <f t="shared" si="5"/>
        <v>0</v>
      </c>
      <c r="J41" s="313"/>
      <c r="K41" s="189">
        <f t="shared" si="6"/>
        <v>0</v>
      </c>
      <c r="L41" s="313"/>
      <c r="M41" s="189">
        <f t="shared" si="7"/>
        <v>0</v>
      </c>
      <c r="N41" s="189">
        <f t="shared" si="8"/>
        <v>0</v>
      </c>
    </row>
    <row r="42" spans="2:14" x14ac:dyDescent="0.25">
      <c r="B42" s="34">
        <f t="shared" si="0"/>
        <v>35</v>
      </c>
      <c r="C42" s="186"/>
      <c r="D42" s="305"/>
      <c r="E42" s="308"/>
      <c r="F42" s="311"/>
      <c r="G42" s="189">
        <f>'GEN.AD - PAY'!I55/31</f>
        <v>0</v>
      </c>
      <c r="H42" s="313"/>
      <c r="I42" s="189">
        <f t="shared" si="5"/>
        <v>0</v>
      </c>
      <c r="J42" s="313"/>
      <c r="K42" s="189">
        <f t="shared" si="6"/>
        <v>0</v>
      </c>
      <c r="L42" s="313"/>
      <c r="M42" s="189">
        <f t="shared" si="7"/>
        <v>0</v>
      </c>
      <c r="N42" s="189">
        <f t="shared" si="8"/>
        <v>0</v>
      </c>
    </row>
    <row r="43" spans="2:14" x14ac:dyDescent="0.25">
      <c r="B43" s="34">
        <f t="shared" si="0"/>
        <v>36</v>
      </c>
      <c r="C43" s="186"/>
      <c r="D43" s="305"/>
      <c r="E43" s="308"/>
      <c r="F43" s="311"/>
      <c r="G43" s="189">
        <f>'GEN.AD - PAY'!I56/31</f>
        <v>0</v>
      </c>
      <c r="H43" s="313"/>
      <c r="I43" s="189">
        <f t="shared" si="5"/>
        <v>0</v>
      </c>
      <c r="J43" s="313"/>
      <c r="K43" s="189">
        <f t="shared" si="6"/>
        <v>0</v>
      </c>
      <c r="L43" s="313"/>
      <c r="M43" s="189">
        <f t="shared" si="7"/>
        <v>0</v>
      </c>
      <c r="N43" s="189">
        <f t="shared" si="8"/>
        <v>0</v>
      </c>
    </row>
    <row r="44" spans="2:14" x14ac:dyDescent="0.25">
      <c r="B44" s="34">
        <f t="shared" si="0"/>
        <v>37</v>
      </c>
      <c r="C44" s="186"/>
      <c r="D44" s="185"/>
      <c r="E44" s="308"/>
      <c r="F44" s="310"/>
      <c r="G44" s="189">
        <f>'GEN.AD - PAY'!I57/31</f>
        <v>0</v>
      </c>
      <c r="H44" s="313"/>
      <c r="I44" s="189">
        <f t="shared" si="5"/>
        <v>0</v>
      </c>
      <c r="J44" s="313"/>
      <c r="K44" s="189">
        <f t="shared" si="6"/>
        <v>0</v>
      </c>
      <c r="L44" s="313"/>
      <c r="M44" s="189">
        <f t="shared" si="7"/>
        <v>0</v>
      </c>
      <c r="N44" s="189">
        <f t="shared" si="8"/>
        <v>0</v>
      </c>
    </row>
    <row r="45" spans="2:14" x14ac:dyDescent="0.25">
      <c r="B45" s="34">
        <f t="shared" si="0"/>
        <v>38</v>
      </c>
      <c r="C45" s="186"/>
      <c r="D45" s="305"/>
      <c r="E45" s="308"/>
      <c r="F45" s="311"/>
      <c r="G45" s="189">
        <f>'GEN.AD - PAY'!I58/31</f>
        <v>0</v>
      </c>
      <c r="H45" s="313"/>
      <c r="I45" s="189">
        <f t="shared" si="5"/>
        <v>0</v>
      </c>
      <c r="J45" s="313"/>
      <c r="K45" s="189">
        <f t="shared" si="6"/>
        <v>0</v>
      </c>
      <c r="L45" s="313"/>
      <c r="M45" s="189">
        <f t="shared" si="7"/>
        <v>0</v>
      </c>
      <c r="N45" s="189">
        <f t="shared" si="8"/>
        <v>0</v>
      </c>
    </row>
    <row r="46" spans="2:14" x14ac:dyDescent="0.25">
      <c r="B46" s="34">
        <f t="shared" si="0"/>
        <v>39</v>
      </c>
      <c r="C46" s="186"/>
      <c r="D46" s="305"/>
      <c r="E46" s="308"/>
      <c r="F46" s="311"/>
      <c r="G46" s="189">
        <f>'GEN.AD - PAY'!I59/31</f>
        <v>0</v>
      </c>
      <c r="H46" s="313"/>
      <c r="I46" s="189">
        <f t="shared" si="5"/>
        <v>0</v>
      </c>
      <c r="J46" s="313"/>
      <c r="K46" s="189">
        <f t="shared" si="6"/>
        <v>0</v>
      </c>
      <c r="L46" s="313"/>
      <c r="M46" s="189">
        <f t="shared" si="7"/>
        <v>0</v>
      </c>
      <c r="N46" s="189">
        <f t="shared" si="8"/>
        <v>0</v>
      </c>
    </row>
    <row r="47" spans="2:14" x14ac:dyDescent="0.25">
      <c r="B47" s="34">
        <f t="shared" si="0"/>
        <v>40</v>
      </c>
      <c r="C47" s="186"/>
      <c r="D47" s="305"/>
      <c r="E47" s="308"/>
      <c r="F47" s="311"/>
      <c r="G47" s="189">
        <f>'GEN.AD - PAY'!I60/31</f>
        <v>0</v>
      </c>
      <c r="H47" s="313"/>
      <c r="I47" s="189">
        <f t="shared" si="5"/>
        <v>0</v>
      </c>
      <c r="J47" s="313"/>
      <c r="K47" s="189">
        <f t="shared" si="6"/>
        <v>0</v>
      </c>
      <c r="L47" s="313"/>
      <c r="M47" s="189">
        <f t="shared" si="7"/>
        <v>0</v>
      </c>
      <c r="N47" s="189">
        <f t="shared" si="8"/>
        <v>0</v>
      </c>
    </row>
    <row r="48" spans="2:14" x14ac:dyDescent="0.25">
      <c r="B48" s="34">
        <f t="shared" si="0"/>
        <v>41</v>
      </c>
      <c r="C48" s="186"/>
      <c r="D48" s="305"/>
      <c r="E48" s="308"/>
      <c r="F48" s="311"/>
      <c r="G48" s="189">
        <f>'GEN.AD - PAY'!I61/31</f>
        <v>0</v>
      </c>
      <c r="H48" s="313"/>
      <c r="I48" s="189">
        <f t="shared" si="5"/>
        <v>0</v>
      </c>
      <c r="J48" s="313"/>
      <c r="K48" s="189">
        <f t="shared" si="6"/>
        <v>0</v>
      </c>
      <c r="L48" s="313"/>
      <c r="M48" s="189">
        <f t="shared" si="7"/>
        <v>0</v>
      </c>
      <c r="N48" s="189">
        <f t="shared" si="8"/>
        <v>0</v>
      </c>
    </row>
    <row r="49" spans="2:14" x14ac:dyDescent="0.25">
      <c r="B49" s="34">
        <f t="shared" si="0"/>
        <v>42</v>
      </c>
      <c r="C49" s="186"/>
      <c r="D49" s="305"/>
      <c r="E49" s="308"/>
      <c r="F49" s="311"/>
      <c r="G49" s="189">
        <f>'GEN.AD - PAY'!I62/31</f>
        <v>0</v>
      </c>
      <c r="H49" s="313"/>
      <c r="I49" s="189">
        <f t="shared" si="5"/>
        <v>0</v>
      </c>
      <c r="J49" s="313"/>
      <c r="K49" s="189">
        <f t="shared" si="6"/>
        <v>0</v>
      </c>
      <c r="L49" s="313"/>
      <c r="M49" s="189">
        <f t="shared" si="7"/>
        <v>0</v>
      </c>
      <c r="N49" s="189">
        <f t="shared" si="8"/>
        <v>0</v>
      </c>
    </row>
    <row r="50" spans="2:14" x14ac:dyDescent="0.25">
      <c r="B50" s="34">
        <f t="shared" si="0"/>
        <v>43</v>
      </c>
      <c r="C50" s="184"/>
      <c r="D50" s="185"/>
      <c r="E50" s="225"/>
      <c r="F50" s="225"/>
      <c r="G50" s="189">
        <f>'GEN.AD - PAY'!I63/31</f>
        <v>0</v>
      </c>
      <c r="H50" s="313"/>
      <c r="I50" s="189">
        <f t="shared" si="5"/>
        <v>0</v>
      </c>
      <c r="J50" s="313"/>
      <c r="K50" s="189">
        <f t="shared" si="6"/>
        <v>0</v>
      </c>
      <c r="L50" s="313"/>
      <c r="M50" s="189">
        <f t="shared" si="7"/>
        <v>0</v>
      </c>
      <c r="N50" s="189">
        <f t="shared" si="8"/>
        <v>0</v>
      </c>
    </row>
    <row r="51" spans="2:14" x14ac:dyDescent="0.25">
      <c r="B51" s="34">
        <f t="shared" si="0"/>
        <v>44</v>
      </c>
      <c r="C51" s="186"/>
      <c r="D51" s="305"/>
      <c r="E51" s="308"/>
      <c r="F51" s="311"/>
      <c r="G51" s="189">
        <f>'GEN.AD - PAY'!I64/31</f>
        <v>0</v>
      </c>
      <c r="H51" s="313"/>
      <c r="I51" s="189">
        <f t="shared" si="5"/>
        <v>0</v>
      </c>
      <c r="J51" s="313"/>
      <c r="K51" s="189">
        <f t="shared" si="6"/>
        <v>0</v>
      </c>
      <c r="L51" s="313"/>
      <c r="M51" s="189">
        <f t="shared" si="7"/>
        <v>0</v>
      </c>
      <c r="N51" s="189">
        <f t="shared" si="8"/>
        <v>0</v>
      </c>
    </row>
    <row r="52" spans="2:14" x14ac:dyDescent="0.25">
      <c r="B52" s="34">
        <f t="shared" si="0"/>
        <v>45</v>
      </c>
      <c r="C52" s="186"/>
      <c r="D52" s="305"/>
      <c r="E52" s="309"/>
      <c r="F52" s="311"/>
      <c r="G52" s="189">
        <f>'GEN.AD - PAY'!I65/31</f>
        <v>0</v>
      </c>
      <c r="H52" s="313"/>
      <c r="I52" s="189">
        <f t="shared" si="5"/>
        <v>0</v>
      </c>
      <c r="J52" s="313"/>
      <c r="K52" s="189">
        <f t="shared" si="6"/>
        <v>0</v>
      </c>
      <c r="L52" s="313"/>
      <c r="M52" s="189">
        <f t="shared" si="7"/>
        <v>0</v>
      </c>
      <c r="N52" s="189">
        <f t="shared" si="8"/>
        <v>0</v>
      </c>
    </row>
    <row r="53" spans="2:14" x14ac:dyDescent="0.25">
      <c r="B53" s="34">
        <f t="shared" si="0"/>
        <v>46</v>
      </c>
      <c r="C53" s="186"/>
      <c r="D53" s="305"/>
      <c r="E53" s="309"/>
      <c r="F53" s="311"/>
      <c r="G53" s="189">
        <f>'GEN.AD - PAY'!I66/31</f>
        <v>0</v>
      </c>
      <c r="H53" s="313"/>
      <c r="I53" s="189">
        <f t="shared" si="5"/>
        <v>0</v>
      </c>
      <c r="J53" s="313"/>
      <c r="K53" s="189">
        <f t="shared" si="6"/>
        <v>0</v>
      </c>
      <c r="L53" s="313"/>
      <c r="M53" s="189">
        <f t="shared" si="7"/>
        <v>0</v>
      </c>
      <c r="N53" s="189">
        <f t="shared" si="8"/>
        <v>0</v>
      </c>
    </row>
    <row r="54" spans="2:14" x14ac:dyDescent="0.25">
      <c r="B54" s="34">
        <f t="shared" si="0"/>
        <v>47</v>
      </c>
      <c r="C54" s="186"/>
      <c r="D54" s="305"/>
      <c r="E54" s="309"/>
      <c r="F54" s="311"/>
      <c r="G54" s="189">
        <f>'GEN.AD - PAY'!I67/31</f>
        <v>0</v>
      </c>
      <c r="H54" s="313"/>
      <c r="I54" s="189">
        <f t="shared" si="5"/>
        <v>0</v>
      </c>
      <c r="J54" s="313"/>
      <c r="K54" s="189">
        <f t="shared" si="6"/>
        <v>0</v>
      </c>
      <c r="L54" s="313"/>
      <c r="M54" s="189">
        <f t="shared" si="7"/>
        <v>0</v>
      </c>
      <c r="N54" s="189">
        <f t="shared" si="8"/>
        <v>0</v>
      </c>
    </row>
    <row r="55" spans="2:14" x14ac:dyDescent="0.25">
      <c r="B55" s="34">
        <f t="shared" si="0"/>
        <v>48</v>
      </c>
      <c r="C55" s="186"/>
      <c r="D55" s="305"/>
      <c r="E55" s="309"/>
      <c r="F55" s="311"/>
      <c r="G55" s="189">
        <f>'GEN.AD - PAY'!I68/31</f>
        <v>0</v>
      </c>
      <c r="H55" s="313"/>
      <c r="I55" s="189">
        <f t="shared" si="5"/>
        <v>0</v>
      </c>
      <c r="J55" s="313"/>
      <c r="K55" s="189">
        <f t="shared" si="6"/>
        <v>0</v>
      </c>
      <c r="L55" s="313"/>
      <c r="M55" s="189">
        <f t="shared" si="7"/>
        <v>0</v>
      </c>
      <c r="N55" s="189">
        <f t="shared" si="8"/>
        <v>0</v>
      </c>
    </row>
    <row r="56" spans="2:14" x14ac:dyDescent="0.25">
      <c r="B56" s="34">
        <f t="shared" si="0"/>
        <v>49</v>
      </c>
      <c r="C56" s="186"/>
      <c r="D56" s="305"/>
      <c r="E56" s="309"/>
      <c r="F56" s="311"/>
      <c r="G56" s="189">
        <f>'GEN.AD - PAY'!I69/31</f>
        <v>0</v>
      </c>
      <c r="H56" s="313"/>
      <c r="I56" s="189">
        <f t="shared" si="5"/>
        <v>0</v>
      </c>
      <c r="J56" s="313"/>
      <c r="K56" s="189">
        <f t="shared" si="6"/>
        <v>0</v>
      </c>
      <c r="L56" s="313"/>
      <c r="M56" s="189">
        <f t="shared" si="7"/>
        <v>0</v>
      </c>
      <c r="N56" s="189">
        <f t="shared" si="8"/>
        <v>0</v>
      </c>
    </row>
    <row r="57" spans="2:14" x14ac:dyDescent="0.25">
      <c r="B57" s="34">
        <f t="shared" si="0"/>
        <v>50</v>
      </c>
      <c r="C57" s="186"/>
      <c r="D57" s="305"/>
      <c r="E57" s="309"/>
      <c r="F57" s="311"/>
      <c r="G57" s="189">
        <f>'GEN.AD - PAY'!I70/31</f>
        <v>0</v>
      </c>
      <c r="H57" s="313"/>
      <c r="I57" s="189">
        <f t="shared" si="5"/>
        <v>0</v>
      </c>
      <c r="J57" s="313"/>
      <c r="K57" s="189">
        <f t="shared" si="6"/>
        <v>0</v>
      </c>
      <c r="L57" s="313"/>
      <c r="M57" s="189">
        <f t="shared" si="7"/>
        <v>0</v>
      </c>
      <c r="N57" s="189">
        <f t="shared" si="8"/>
        <v>0</v>
      </c>
    </row>
    <row r="58" spans="2:14" x14ac:dyDescent="0.25">
      <c r="B58" s="34">
        <f t="shared" si="0"/>
        <v>51</v>
      </c>
      <c r="C58" s="186"/>
      <c r="D58" s="305"/>
      <c r="E58" s="309"/>
      <c r="F58" s="311"/>
      <c r="G58" s="189">
        <f>'GEN.AD - PAY'!I71/31</f>
        <v>0</v>
      </c>
      <c r="H58" s="313"/>
      <c r="I58" s="189">
        <f t="shared" si="5"/>
        <v>0</v>
      </c>
      <c r="J58" s="313"/>
      <c r="K58" s="189">
        <f t="shared" si="6"/>
        <v>0</v>
      </c>
      <c r="L58" s="313"/>
      <c r="M58" s="189">
        <f t="shared" si="7"/>
        <v>0</v>
      </c>
      <c r="N58" s="189">
        <f t="shared" si="8"/>
        <v>0</v>
      </c>
    </row>
    <row r="59" spans="2:14" x14ac:dyDescent="0.25">
      <c r="B59" s="34">
        <f t="shared" si="0"/>
        <v>52</v>
      </c>
      <c r="C59" s="186"/>
      <c r="D59" s="185"/>
      <c r="E59" s="308"/>
      <c r="F59" s="310"/>
      <c r="G59" s="189">
        <f>'GEN.AD - PAY'!I72/31</f>
        <v>0</v>
      </c>
      <c r="H59" s="313"/>
      <c r="I59" s="189">
        <f t="shared" si="5"/>
        <v>0</v>
      </c>
      <c r="J59" s="313"/>
      <c r="K59" s="189">
        <f t="shared" si="6"/>
        <v>0</v>
      </c>
      <c r="L59" s="313"/>
      <c r="M59" s="189">
        <f t="shared" si="7"/>
        <v>0</v>
      </c>
      <c r="N59" s="189">
        <f t="shared" si="8"/>
        <v>0</v>
      </c>
    </row>
    <row r="60" spans="2:14" x14ac:dyDescent="0.25">
      <c r="B60" s="34">
        <f t="shared" si="0"/>
        <v>53</v>
      </c>
      <c r="C60" s="186"/>
      <c r="D60" s="305"/>
      <c r="E60" s="309"/>
      <c r="F60" s="311"/>
      <c r="G60" s="189">
        <f>'GEN.AD - PAY'!I73/31</f>
        <v>0</v>
      </c>
      <c r="H60" s="313"/>
      <c r="I60" s="189">
        <f t="shared" si="5"/>
        <v>0</v>
      </c>
      <c r="J60" s="313"/>
      <c r="K60" s="189">
        <f t="shared" si="6"/>
        <v>0</v>
      </c>
      <c r="L60" s="313"/>
      <c r="M60" s="189">
        <f t="shared" si="7"/>
        <v>0</v>
      </c>
      <c r="N60" s="189">
        <f t="shared" si="8"/>
        <v>0</v>
      </c>
    </row>
    <row r="61" spans="2:14" x14ac:dyDescent="0.25">
      <c r="B61" s="34">
        <f t="shared" si="0"/>
        <v>54</v>
      </c>
      <c r="C61" s="186"/>
      <c r="D61" s="305"/>
      <c r="E61" s="309"/>
      <c r="F61" s="311"/>
      <c r="G61" s="189">
        <f>'GEN.AD - PAY'!I74/31</f>
        <v>0</v>
      </c>
      <c r="H61" s="313"/>
      <c r="I61" s="189">
        <f t="shared" si="5"/>
        <v>0</v>
      </c>
      <c r="J61" s="313"/>
      <c r="K61" s="189">
        <f t="shared" si="6"/>
        <v>0</v>
      </c>
      <c r="L61" s="313"/>
      <c r="M61" s="189">
        <f t="shared" si="7"/>
        <v>0</v>
      </c>
      <c r="N61" s="189">
        <f t="shared" si="8"/>
        <v>0</v>
      </c>
    </row>
    <row r="62" spans="2:14" x14ac:dyDescent="0.25">
      <c r="B62" s="34">
        <f t="shared" si="0"/>
        <v>55</v>
      </c>
      <c r="C62" s="186"/>
      <c r="D62" s="185"/>
      <c r="E62" s="308"/>
      <c r="F62" s="310"/>
      <c r="G62" s="189">
        <f>'GEN.AD - PAY'!I75/31</f>
        <v>0</v>
      </c>
      <c r="H62" s="313"/>
      <c r="I62" s="189">
        <f t="shared" si="5"/>
        <v>0</v>
      </c>
      <c r="J62" s="313"/>
      <c r="K62" s="189">
        <f t="shared" si="6"/>
        <v>0</v>
      </c>
      <c r="L62" s="313"/>
      <c r="M62" s="189">
        <f t="shared" si="7"/>
        <v>0</v>
      </c>
      <c r="N62" s="189">
        <f t="shared" si="8"/>
        <v>0</v>
      </c>
    </row>
    <row r="63" spans="2:14" x14ac:dyDescent="0.25">
      <c r="B63" s="34">
        <f t="shared" si="0"/>
        <v>56</v>
      </c>
      <c r="C63" s="186"/>
      <c r="D63" s="305"/>
      <c r="E63" s="309"/>
      <c r="F63" s="311"/>
      <c r="G63" s="189">
        <f>'GEN.AD - PAY'!I76/31</f>
        <v>0</v>
      </c>
      <c r="H63" s="313"/>
      <c r="I63" s="189">
        <f t="shared" si="5"/>
        <v>0</v>
      </c>
      <c r="J63" s="313"/>
      <c r="K63" s="189">
        <f t="shared" si="6"/>
        <v>0</v>
      </c>
      <c r="L63" s="313"/>
      <c r="M63" s="189">
        <f t="shared" si="7"/>
        <v>0</v>
      </c>
      <c r="N63" s="189">
        <f t="shared" si="8"/>
        <v>0</v>
      </c>
    </row>
    <row r="64" spans="2:14" x14ac:dyDescent="0.25">
      <c r="B64" s="34">
        <f t="shared" si="0"/>
        <v>57</v>
      </c>
      <c r="C64" s="186"/>
      <c r="D64" s="305"/>
      <c r="E64" s="309"/>
      <c r="F64" s="311"/>
      <c r="G64" s="189">
        <f>'GEN.AD - PAY'!I77/31</f>
        <v>0</v>
      </c>
      <c r="H64" s="313"/>
      <c r="I64" s="189">
        <f t="shared" si="5"/>
        <v>0</v>
      </c>
      <c r="J64" s="313"/>
      <c r="K64" s="189">
        <f t="shared" si="6"/>
        <v>0</v>
      </c>
      <c r="L64" s="313"/>
      <c r="M64" s="189">
        <f t="shared" si="7"/>
        <v>0</v>
      </c>
      <c r="N64" s="189">
        <f t="shared" si="8"/>
        <v>0</v>
      </c>
    </row>
    <row r="65" spans="2:14" x14ac:dyDescent="0.25">
      <c r="B65" s="34">
        <f t="shared" si="0"/>
        <v>58</v>
      </c>
      <c r="C65" s="186"/>
      <c r="D65" s="305"/>
      <c r="E65" s="309"/>
      <c r="F65" s="311"/>
      <c r="G65" s="189">
        <f>'GEN.AD - PAY'!I78/31</f>
        <v>0</v>
      </c>
      <c r="H65" s="313"/>
      <c r="I65" s="189">
        <f t="shared" si="5"/>
        <v>0</v>
      </c>
      <c r="J65" s="313"/>
      <c r="K65" s="189">
        <f t="shared" si="6"/>
        <v>0</v>
      </c>
      <c r="L65" s="313"/>
      <c r="M65" s="189">
        <f t="shared" si="7"/>
        <v>0</v>
      </c>
      <c r="N65" s="189">
        <f t="shared" si="8"/>
        <v>0</v>
      </c>
    </row>
    <row r="66" spans="2:14" x14ac:dyDescent="0.25">
      <c r="B66" s="34">
        <f t="shared" si="0"/>
        <v>59</v>
      </c>
      <c r="C66" s="186"/>
      <c r="D66" s="305"/>
      <c r="E66" s="309"/>
      <c r="F66" s="311"/>
      <c r="G66" s="189">
        <f>'GEN.AD - PAY'!I79/31</f>
        <v>0</v>
      </c>
      <c r="H66" s="313"/>
      <c r="I66" s="189">
        <f t="shared" si="5"/>
        <v>0</v>
      </c>
      <c r="J66" s="313"/>
      <c r="K66" s="189">
        <f t="shared" si="6"/>
        <v>0</v>
      </c>
      <c r="L66" s="313"/>
      <c r="M66" s="189">
        <f t="shared" si="7"/>
        <v>0</v>
      </c>
      <c r="N66" s="189">
        <f t="shared" si="8"/>
        <v>0</v>
      </c>
    </row>
    <row r="67" spans="2:14" x14ac:dyDescent="0.25">
      <c r="B67" s="34">
        <f t="shared" si="0"/>
        <v>60</v>
      </c>
      <c r="C67" s="186"/>
      <c r="D67" s="305"/>
      <c r="E67" s="309"/>
      <c r="F67" s="311"/>
      <c r="G67" s="189">
        <f>'GEN.AD - PAY'!I80/31</f>
        <v>0</v>
      </c>
      <c r="H67" s="313"/>
      <c r="I67" s="189">
        <f t="shared" si="5"/>
        <v>0</v>
      </c>
      <c r="J67" s="313"/>
      <c r="K67" s="189">
        <f t="shared" si="6"/>
        <v>0</v>
      </c>
      <c r="L67" s="313"/>
      <c r="M67" s="189">
        <f t="shared" si="7"/>
        <v>0</v>
      </c>
      <c r="N67" s="189">
        <f t="shared" si="8"/>
        <v>0</v>
      </c>
    </row>
    <row r="68" spans="2:14" x14ac:dyDescent="0.25">
      <c r="B68" s="34">
        <f t="shared" si="0"/>
        <v>61</v>
      </c>
      <c r="C68" s="186"/>
      <c r="D68" s="305"/>
      <c r="E68" s="309"/>
      <c r="F68" s="311"/>
      <c r="G68" s="189">
        <f>'GEN.AD - PAY'!I81/31</f>
        <v>0</v>
      </c>
      <c r="H68" s="313"/>
      <c r="I68" s="189">
        <f t="shared" si="5"/>
        <v>0</v>
      </c>
      <c r="J68" s="313"/>
      <c r="K68" s="189">
        <f t="shared" si="6"/>
        <v>0</v>
      </c>
      <c r="L68" s="313"/>
      <c r="M68" s="189">
        <f t="shared" si="7"/>
        <v>0</v>
      </c>
      <c r="N68" s="189">
        <f t="shared" si="8"/>
        <v>0</v>
      </c>
    </row>
    <row r="69" spans="2:14" x14ac:dyDescent="0.25">
      <c r="B69" s="34">
        <f t="shared" si="0"/>
        <v>62</v>
      </c>
      <c r="C69" s="186"/>
      <c r="D69" s="305"/>
      <c r="E69" s="314"/>
      <c r="F69" s="331"/>
      <c r="G69" s="189">
        <f>'GEN.AD - PAY'!I82/31</f>
        <v>0</v>
      </c>
      <c r="H69" s="313"/>
      <c r="I69" s="189">
        <f t="shared" si="5"/>
        <v>0</v>
      </c>
      <c r="J69" s="313"/>
      <c r="K69" s="189">
        <f t="shared" si="6"/>
        <v>0</v>
      </c>
      <c r="L69" s="313"/>
      <c r="M69" s="189">
        <f t="shared" si="7"/>
        <v>0</v>
      </c>
      <c r="N69" s="189">
        <f t="shared" si="8"/>
        <v>0</v>
      </c>
    </row>
    <row r="70" spans="2:14" x14ac:dyDescent="0.25">
      <c r="B70" s="34">
        <f t="shared" si="0"/>
        <v>63</v>
      </c>
      <c r="C70" s="186"/>
      <c r="D70" s="305"/>
      <c r="E70" s="309"/>
      <c r="F70" s="311"/>
      <c r="G70" s="189">
        <f>'GEN.AD - PAY'!I83/31</f>
        <v>0</v>
      </c>
      <c r="H70" s="313"/>
      <c r="I70" s="189">
        <f t="shared" si="5"/>
        <v>0</v>
      </c>
      <c r="J70" s="313"/>
      <c r="K70" s="189">
        <f t="shared" si="6"/>
        <v>0</v>
      </c>
      <c r="L70" s="313"/>
      <c r="M70" s="189">
        <f t="shared" si="7"/>
        <v>0</v>
      </c>
      <c r="N70" s="189">
        <f t="shared" si="8"/>
        <v>0</v>
      </c>
    </row>
    <row r="71" spans="2:14" x14ac:dyDescent="0.25">
      <c r="B71" s="34">
        <f t="shared" si="0"/>
        <v>64</v>
      </c>
      <c r="C71" s="186"/>
      <c r="D71" s="185"/>
      <c r="E71" s="313"/>
      <c r="F71" s="225"/>
      <c r="G71" s="189">
        <f>'GEN.AD - PAY'!I84/31</f>
        <v>0</v>
      </c>
      <c r="H71" s="313"/>
      <c r="I71" s="189">
        <f t="shared" si="5"/>
        <v>0</v>
      </c>
      <c r="J71" s="313"/>
      <c r="K71" s="189">
        <f t="shared" si="6"/>
        <v>0</v>
      </c>
      <c r="L71" s="313"/>
      <c r="M71" s="189">
        <f t="shared" si="7"/>
        <v>0</v>
      </c>
      <c r="N71" s="189">
        <f t="shared" si="8"/>
        <v>0</v>
      </c>
    </row>
    <row r="72" spans="2:14" x14ac:dyDescent="0.25">
      <c r="B72" s="34">
        <f t="shared" si="0"/>
        <v>65</v>
      </c>
      <c r="C72" s="184"/>
      <c r="D72" s="185"/>
      <c r="E72" s="308"/>
      <c r="F72" s="310"/>
      <c r="G72" s="189">
        <f>'GEN.AD - PAY'!I85/31</f>
        <v>0</v>
      </c>
      <c r="H72" s="313"/>
      <c r="I72" s="189">
        <f t="shared" si="5"/>
        <v>0</v>
      </c>
      <c r="J72" s="313"/>
      <c r="K72" s="189">
        <f t="shared" si="6"/>
        <v>0</v>
      </c>
      <c r="L72" s="313"/>
      <c r="M72" s="189">
        <f t="shared" si="7"/>
        <v>0</v>
      </c>
      <c r="N72" s="189">
        <f t="shared" si="8"/>
        <v>0</v>
      </c>
    </row>
    <row r="73" spans="2:14" x14ac:dyDescent="0.25">
      <c r="B73" s="34">
        <f t="shared" si="0"/>
        <v>66</v>
      </c>
      <c r="C73" s="186"/>
      <c r="D73" s="305"/>
      <c r="E73" s="314"/>
      <c r="F73" s="331"/>
      <c r="G73" s="189">
        <f>'GEN.AD - PAY'!I86/31</f>
        <v>0</v>
      </c>
      <c r="H73" s="313"/>
      <c r="I73" s="189">
        <f t="shared" si="5"/>
        <v>0</v>
      </c>
      <c r="J73" s="313"/>
      <c r="K73" s="189">
        <f t="shared" si="6"/>
        <v>0</v>
      </c>
      <c r="L73" s="313"/>
      <c r="M73" s="189">
        <f t="shared" si="7"/>
        <v>0</v>
      </c>
      <c r="N73" s="189">
        <f t="shared" si="8"/>
        <v>0</v>
      </c>
    </row>
    <row r="74" spans="2:14" x14ac:dyDescent="0.25">
      <c r="B74" s="34">
        <f t="shared" si="0"/>
        <v>67</v>
      </c>
      <c r="C74" s="186"/>
      <c r="D74" s="305"/>
      <c r="E74" s="309"/>
      <c r="F74" s="311"/>
      <c r="G74" s="189">
        <f>'GEN.AD - PAY'!I87/31</f>
        <v>0</v>
      </c>
      <c r="H74" s="313"/>
      <c r="I74" s="189">
        <f t="shared" si="5"/>
        <v>0</v>
      </c>
      <c r="J74" s="313"/>
      <c r="K74" s="189">
        <f t="shared" si="6"/>
        <v>0</v>
      </c>
      <c r="L74" s="313"/>
      <c r="M74" s="189">
        <f t="shared" si="7"/>
        <v>0</v>
      </c>
      <c r="N74" s="189">
        <f t="shared" si="8"/>
        <v>0</v>
      </c>
    </row>
    <row r="75" spans="2:14" x14ac:dyDescent="0.25">
      <c r="B75" s="34">
        <f t="shared" si="0"/>
        <v>68</v>
      </c>
      <c r="C75" s="184"/>
      <c r="D75" s="185"/>
      <c r="E75" s="308"/>
      <c r="F75" s="310"/>
      <c r="G75" s="189">
        <f>'GEN.AD - PAY'!I88/31</f>
        <v>0</v>
      </c>
      <c r="H75" s="313"/>
      <c r="I75" s="189">
        <f t="shared" si="5"/>
        <v>0</v>
      </c>
      <c r="J75" s="313"/>
      <c r="K75" s="189">
        <f t="shared" si="6"/>
        <v>0</v>
      </c>
      <c r="L75" s="313"/>
      <c r="M75" s="189">
        <f t="shared" si="7"/>
        <v>0</v>
      </c>
      <c r="N75" s="189">
        <f t="shared" si="8"/>
        <v>0</v>
      </c>
    </row>
    <row r="76" spans="2:14" x14ac:dyDescent="0.25">
      <c r="B76" s="34">
        <f t="shared" si="0"/>
        <v>69</v>
      </c>
      <c r="C76" s="186"/>
      <c r="D76" s="305"/>
      <c r="E76" s="309"/>
      <c r="F76" s="311"/>
      <c r="G76" s="189">
        <f>'GEN.AD - PAY'!I89/31</f>
        <v>0</v>
      </c>
      <c r="H76" s="313"/>
      <c r="I76" s="189">
        <f t="shared" si="5"/>
        <v>0</v>
      </c>
      <c r="J76" s="313"/>
      <c r="K76" s="189">
        <f t="shared" si="6"/>
        <v>0</v>
      </c>
      <c r="L76" s="313"/>
      <c r="M76" s="189">
        <f t="shared" si="7"/>
        <v>0</v>
      </c>
      <c r="N76" s="189">
        <f t="shared" si="8"/>
        <v>0</v>
      </c>
    </row>
    <row r="77" spans="2:14" x14ac:dyDescent="0.25">
      <c r="B77" s="34">
        <f t="shared" si="0"/>
        <v>70</v>
      </c>
      <c r="C77" s="186"/>
      <c r="D77" s="305"/>
      <c r="E77" s="309"/>
      <c r="F77" s="311"/>
      <c r="G77" s="189">
        <f>'GEN.AD - PAY'!I90/31</f>
        <v>0</v>
      </c>
      <c r="H77" s="313"/>
      <c r="I77" s="189">
        <f t="shared" si="5"/>
        <v>0</v>
      </c>
      <c r="J77" s="313"/>
      <c r="K77" s="189">
        <f t="shared" si="6"/>
        <v>0</v>
      </c>
      <c r="L77" s="313"/>
      <c r="M77" s="189">
        <f t="shared" si="7"/>
        <v>0</v>
      </c>
      <c r="N77" s="189">
        <f t="shared" si="8"/>
        <v>0</v>
      </c>
    </row>
    <row r="78" spans="2:14" x14ac:dyDescent="0.25">
      <c r="B78" s="34">
        <f t="shared" si="0"/>
        <v>71</v>
      </c>
      <c r="C78" s="186"/>
      <c r="D78" s="305"/>
      <c r="E78" s="309"/>
      <c r="F78" s="311"/>
      <c r="G78" s="189">
        <f>'GEN.AD - PAY'!I91/31</f>
        <v>0</v>
      </c>
      <c r="H78" s="313"/>
      <c r="I78" s="189">
        <f t="shared" si="5"/>
        <v>0</v>
      </c>
      <c r="J78" s="313"/>
      <c r="K78" s="189">
        <f t="shared" si="6"/>
        <v>0</v>
      </c>
      <c r="L78" s="313"/>
      <c r="M78" s="189">
        <f t="shared" si="7"/>
        <v>0</v>
      </c>
      <c r="N78" s="189">
        <f t="shared" si="8"/>
        <v>0</v>
      </c>
    </row>
    <row r="79" spans="2:14" x14ac:dyDescent="0.25">
      <c r="B79" s="34">
        <f t="shared" si="0"/>
        <v>72</v>
      </c>
      <c r="C79" s="186"/>
      <c r="D79" s="305"/>
      <c r="E79" s="309"/>
      <c r="F79" s="311"/>
      <c r="G79" s="189">
        <f>'GEN.AD - PAY'!I92/31</f>
        <v>0</v>
      </c>
      <c r="H79" s="313"/>
      <c r="I79" s="189">
        <f t="shared" si="5"/>
        <v>0</v>
      </c>
      <c r="J79" s="313"/>
      <c r="K79" s="189">
        <f t="shared" si="6"/>
        <v>0</v>
      </c>
      <c r="L79" s="313"/>
      <c r="M79" s="189">
        <f t="shared" si="7"/>
        <v>0</v>
      </c>
      <c r="N79" s="189">
        <f t="shared" si="8"/>
        <v>0</v>
      </c>
    </row>
    <row r="80" spans="2:14" x14ac:dyDescent="0.25">
      <c r="B80" s="34">
        <f t="shared" si="0"/>
        <v>73</v>
      </c>
      <c r="C80" s="186"/>
      <c r="D80" s="305"/>
      <c r="E80" s="309"/>
      <c r="F80" s="311"/>
      <c r="G80" s="189">
        <f>'GEN.AD - PAY'!I93/31</f>
        <v>0</v>
      </c>
      <c r="H80" s="313"/>
      <c r="I80" s="189">
        <f t="shared" si="5"/>
        <v>0</v>
      </c>
      <c r="J80" s="313"/>
      <c r="K80" s="189">
        <f t="shared" si="6"/>
        <v>0</v>
      </c>
      <c r="L80" s="313"/>
      <c r="M80" s="189">
        <f t="shared" si="7"/>
        <v>0</v>
      </c>
      <c r="N80" s="189">
        <f t="shared" si="8"/>
        <v>0</v>
      </c>
    </row>
    <row r="81" spans="2:14" x14ac:dyDescent="0.25">
      <c r="B81" s="34">
        <f t="shared" si="0"/>
        <v>74</v>
      </c>
      <c r="C81" s="186"/>
      <c r="D81" s="305"/>
      <c r="E81" s="309"/>
      <c r="F81" s="311"/>
      <c r="G81" s="189">
        <f>'GEN.AD - PAY'!I94/31</f>
        <v>0</v>
      </c>
      <c r="H81" s="313"/>
      <c r="I81" s="189">
        <f t="shared" si="5"/>
        <v>0</v>
      </c>
      <c r="J81" s="313"/>
      <c r="K81" s="189">
        <f t="shared" si="6"/>
        <v>0</v>
      </c>
      <c r="L81" s="313"/>
      <c r="M81" s="189">
        <f t="shared" si="7"/>
        <v>0</v>
      </c>
      <c r="N81" s="189">
        <f t="shared" si="8"/>
        <v>0</v>
      </c>
    </row>
    <row r="82" spans="2:14" x14ac:dyDescent="0.25">
      <c r="B82" s="34">
        <f t="shared" si="0"/>
        <v>75</v>
      </c>
      <c r="C82" s="186"/>
      <c r="D82" s="305"/>
      <c r="E82" s="309"/>
      <c r="F82" s="311"/>
      <c r="G82" s="189">
        <f>'GEN.AD - PAY'!I95/31</f>
        <v>0</v>
      </c>
      <c r="H82" s="313"/>
      <c r="I82" s="189">
        <f t="shared" si="5"/>
        <v>0</v>
      </c>
      <c r="J82" s="313"/>
      <c r="K82" s="189">
        <f t="shared" si="6"/>
        <v>0</v>
      </c>
      <c r="L82" s="313"/>
      <c r="M82" s="189">
        <f t="shared" si="7"/>
        <v>0</v>
      </c>
      <c r="N82" s="189">
        <f t="shared" si="8"/>
        <v>0</v>
      </c>
    </row>
    <row r="83" spans="2:14" x14ac:dyDescent="0.25">
      <c r="B83" s="34">
        <f t="shared" si="0"/>
        <v>76</v>
      </c>
      <c r="C83" s="186"/>
      <c r="D83" s="305"/>
      <c r="E83" s="309"/>
      <c r="F83" s="311"/>
      <c r="G83" s="189">
        <f>'GEN.AD - PAY'!I96/31</f>
        <v>0</v>
      </c>
      <c r="H83" s="313"/>
      <c r="I83" s="189">
        <f t="shared" si="5"/>
        <v>0</v>
      </c>
      <c r="J83" s="313"/>
      <c r="K83" s="189">
        <f t="shared" si="6"/>
        <v>0</v>
      </c>
      <c r="L83" s="313"/>
      <c r="M83" s="189">
        <f t="shared" si="7"/>
        <v>0</v>
      </c>
      <c r="N83" s="189">
        <f t="shared" si="8"/>
        <v>0</v>
      </c>
    </row>
    <row r="84" spans="2:14" x14ac:dyDescent="0.25">
      <c r="B84" s="34">
        <f t="shared" si="0"/>
        <v>77</v>
      </c>
      <c r="C84" s="186"/>
      <c r="D84" s="305"/>
      <c r="E84" s="309"/>
      <c r="F84" s="311"/>
      <c r="G84" s="189">
        <f>'GEN.AD - PAY'!I97/31</f>
        <v>0</v>
      </c>
      <c r="H84" s="313"/>
      <c r="I84" s="189">
        <f t="shared" si="5"/>
        <v>0</v>
      </c>
      <c r="J84" s="313"/>
      <c r="K84" s="189">
        <f t="shared" si="6"/>
        <v>0</v>
      </c>
      <c r="L84" s="313"/>
      <c r="M84" s="189">
        <f t="shared" si="7"/>
        <v>0</v>
      </c>
      <c r="N84" s="189">
        <f t="shared" si="8"/>
        <v>0</v>
      </c>
    </row>
    <row r="85" spans="2:14" x14ac:dyDescent="0.25">
      <c r="B85" s="34">
        <f t="shared" si="0"/>
        <v>78</v>
      </c>
      <c r="C85" s="184"/>
      <c r="D85" s="185"/>
      <c r="E85" s="309"/>
      <c r="F85" s="311"/>
      <c r="G85" s="189">
        <f>'GEN.AD - PAY'!I98/31</f>
        <v>0</v>
      </c>
      <c r="H85" s="313"/>
      <c r="I85" s="189">
        <f t="shared" si="5"/>
        <v>0</v>
      </c>
      <c r="J85" s="313"/>
      <c r="K85" s="189">
        <f t="shared" si="6"/>
        <v>0</v>
      </c>
      <c r="L85" s="313"/>
      <c r="M85" s="189">
        <f t="shared" si="7"/>
        <v>0</v>
      </c>
      <c r="N85" s="189">
        <f t="shared" si="8"/>
        <v>0</v>
      </c>
    </row>
    <row r="86" spans="2:14" x14ac:dyDescent="0.25">
      <c r="B86" s="34">
        <f t="shared" si="0"/>
        <v>79</v>
      </c>
      <c r="C86" s="186"/>
      <c r="D86" s="305"/>
      <c r="E86" s="309"/>
      <c r="F86" s="311"/>
      <c r="G86" s="189">
        <f>'GEN.AD - PAY'!I99/31</f>
        <v>0</v>
      </c>
      <c r="H86" s="313"/>
      <c r="I86" s="189">
        <f t="shared" si="5"/>
        <v>0</v>
      </c>
      <c r="J86" s="313"/>
      <c r="K86" s="189">
        <f t="shared" si="6"/>
        <v>0</v>
      </c>
      <c r="L86" s="313"/>
      <c r="M86" s="189">
        <f t="shared" si="7"/>
        <v>0</v>
      </c>
      <c r="N86" s="189">
        <f t="shared" si="8"/>
        <v>0</v>
      </c>
    </row>
    <row r="87" spans="2:14" x14ac:dyDescent="0.25">
      <c r="B87" s="34">
        <f t="shared" si="0"/>
        <v>80</v>
      </c>
      <c r="C87" s="186"/>
      <c r="D87" s="305"/>
      <c r="E87" s="309"/>
      <c r="F87" s="311"/>
      <c r="G87" s="189">
        <f>'GEN.AD - PAY'!I100/31</f>
        <v>0</v>
      </c>
      <c r="H87" s="313"/>
      <c r="I87" s="189">
        <f t="shared" si="5"/>
        <v>0</v>
      </c>
      <c r="J87" s="313"/>
      <c r="K87" s="189">
        <f t="shared" si="6"/>
        <v>0</v>
      </c>
      <c r="L87" s="313"/>
      <c r="M87" s="189">
        <f t="shared" si="7"/>
        <v>0</v>
      </c>
      <c r="N87" s="189">
        <f t="shared" si="8"/>
        <v>0</v>
      </c>
    </row>
    <row r="88" spans="2:14" x14ac:dyDescent="0.25">
      <c r="B88" s="34">
        <f t="shared" si="0"/>
        <v>81</v>
      </c>
      <c r="C88" s="186"/>
      <c r="D88" s="305"/>
      <c r="E88" s="309"/>
      <c r="F88" s="311"/>
      <c r="G88" s="189">
        <f>'GEN.AD - PAY'!I101/31</f>
        <v>0</v>
      </c>
      <c r="H88" s="313"/>
      <c r="I88" s="189">
        <f t="shared" si="5"/>
        <v>0</v>
      </c>
      <c r="J88" s="313"/>
      <c r="K88" s="189">
        <f t="shared" si="6"/>
        <v>0</v>
      </c>
      <c r="L88" s="313"/>
      <c r="M88" s="189">
        <f t="shared" si="7"/>
        <v>0</v>
      </c>
      <c r="N88" s="189">
        <f t="shared" si="8"/>
        <v>0</v>
      </c>
    </row>
    <row r="89" spans="2:14" x14ac:dyDescent="0.25">
      <c r="B89" s="34">
        <f t="shared" si="0"/>
        <v>82</v>
      </c>
      <c r="C89" s="186"/>
      <c r="D89" s="305"/>
      <c r="E89" s="309"/>
      <c r="F89" s="311"/>
      <c r="G89" s="189">
        <f>'GEN.AD - PAY'!I102/31</f>
        <v>0</v>
      </c>
      <c r="H89" s="313"/>
      <c r="I89" s="189">
        <f t="shared" si="5"/>
        <v>0</v>
      </c>
      <c r="J89" s="313"/>
      <c r="K89" s="189">
        <f t="shared" si="6"/>
        <v>0</v>
      </c>
      <c r="L89" s="313"/>
      <c r="M89" s="189">
        <f t="shared" si="7"/>
        <v>0</v>
      </c>
      <c r="N89" s="189">
        <f t="shared" si="8"/>
        <v>0</v>
      </c>
    </row>
    <row r="90" spans="2:14" x14ac:dyDescent="0.25">
      <c r="B90" s="34">
        <f t="shared" si="0"/>
        <v>83</v>
      </c>
      <c r="C90" s="186"/>
      <c r="D90" s="185"/>
      <c r="E90" s="309"/>
      <c r="F90" s="311"/>
      <c r="G90" s="189">
        <f>'GEN.AD - PAY'!I103/31</f>
        <v>0</v>
      </c>
      <c r="H90" s="313"/>
      <c r="I90" s="189">
        <f t="shared" si="5"/>
        <v>0</v>
      </c>
      <c r="J90" s="313"/>
      <c r="K90" s="189">
        <f t="shared" si="6"/>
        <v>0</v>
      </c>
      <c r="L90" s="313"/>
      <c r="M90" s="189">
        <f t="shared" si="7"/>
        <v>0</v>
      </c>
      <c r="N90" s="189">
        <f t="shared" si="8"/>
        <v>0</v>
      </c>
    </row>
    <row r="91" spans="2:14" x14ac:dyDescent="0.25">
      <c r="B91" s="34">
        <f t="shared" si="0"/>
        <v>84</v>
      </c>
      <c r="C91" s="184"/>
      <c r="D91" s="185"/>
      <c r="E91" s="309"/>
      <c r="F91" s="311"/>
      <c r="G91" s="189">
        <f>'GEN.AD - PAY'!I104/31</f>
        <v>0</v>
      </c>
      <c r="H91" s="313"/>
      <c r="I91" s="189">
        <f t="shared" si="5"/>
        <v>0</v>
      </c>
      <c r="J91" s="313"/>
      <c r="K91" s="189">
        <f t="shared" si="6"/>
        <v>0</v>
      </c>
      <c r="L91" s="313"/>
      <c r="M91" s="189">
        <f t="shared" si="7"/>
        <v>0</v>
      </c>
      <c r="N91" s="189">
        <f t="shared" si="8"/>
        <v>0</v>
      </c>
    </row>
    <row r="92" spans="2:14" x14ac:dyDescent="0.25">
      <c r="B92" s="34">
        <f t="shared" si="0"/>
        <v>85</v>
      </c>
      <c r="C92" s="186"/>
      <c r="D92" s="305"/>
      <c r="E92" s="309"/>
      <c r="F92" s="311"/>
      <c r="G92" s="189">
        <f>'GEN.AD - PAY'!I105/31</f>
        <v>0</v>
      </c>
      <c r="H92" s="313"/>
      <c r="I92" s="189">
        <f t="shared" ref="I92:I148" si="9">ROUND(G92*H92,2)</f>
        <v>0</v>
      </c>
      <c r="J92" s="313"/>
      <c r="K92" s="189">
        <f t="shared" ref="K92:K148" si="10">ROUND(G92/8*J92,2)</f>
        <v>0</v>
      </c>
      <c r="L92" s="313"/>
      <c r="M92" s="189">
        <f t="shared" ref="M92:M148" si="11">ROUND(G92/8/60*L92,2)</f>
        <v>0</v>
      </c>
      <c r="N92" s="189">
        <f t="shared" ref="N92:N148" si="12">I92+K92+M92</f>
        <v>0</v>
      </c>
    </row>
    <row r="93" spans="2:14" x14ac:dyDescent="0.25">
      <c r="B93" s="34">
        <f t="shared" si="0"/>
        <v>86</v>
      </c>
      <c r="C93" s="186"/>
      <c r="D93" s="305"/>
      <c r="E93" s="309"/>
      <c r="F93" s="311"/>
      <c r="G93" s="189">
        <f>'GEN.AD - PAY'!I106/31</f>
        <v>0</v>
      </c>
      <c r="H93" s="313"/>
      <c r="I93" s="189">
        <f t="shared" si="9"/>
        <v>0</v>
      </c>
      <c r="J93" s="313"/>
      <c r="K93" s="189">
        <f t="shared" si="10"/>
        <v>0</v>
      </c>
      <c r="L93" s="313"/>
      <c r="M93" s="189">
        <f t="shared" si="11"/>
        <v>0</v>
      </c>
      <c r="N93" s="189">
        <f t="shared" si="12"/>
        <v>0</v>
      </c>
    </row>
    <row r="94" spans="2:14" x14ac:dyDescent="0.25">
      <c r="B94" s="34">
        <f t="shared" si="0"/>
        <v>87</v>
      </c>
      <c r="C94" s="186"/>
      <c r="D94" s="305"/>
      <c r="E94" s="309"/>
      <c r="F94" s="311"/>
      <c r="G94" s="189">
        <f>'GEN.AD - PAY'!I107/31</f>
        <v>0</v>
      </c>
      <c r="H94" s="313"/>
      <c r="I94" s="189">
        <f t="shared" si="9"/>
        <v>0</v>
      </c>
      <c r="J94" s="313"/>
      <c r="K94" s="189">
        <f t="shared" si="10"/>
        <v>0</v>
      </c>
      <c r="L94" s="313"/>
      <c r="M94" s="189">
        <f t="shared" si="11"/>
        <v>0</v>
      </c>
      <c r="N94" s="189">
        <f t="shared" si="12"/>
        <v>0</v>
      </c>
    </row>
    <row r="95" spans="2:14" x14ac:dyDescent="0.25">
      <c r="B95" s="34">
        <f t="shared" si="0"/>
        <v>88</v>
      </c>
      <c r="C95" s="184"/>
      <c r="D95" s="185"/>
      <c r="E95" s="309"/>
      <c r="F95" s="311"/>
      <c r="G95" s="189">
        <f>'GEN.AD - PAY'!I108/31</f>
        <v>0</v>
      </c>
      <c r="H95" s="313"/>
      <c r="I95" s="189">
        <f t="shared" si="9"/>
        <v>0</v>
      </c>
      <c r="J95" s="313"/>
      <c r="K95" s="189">
        <f t="shared" si="10"/>
        <v>0</v>
      </c>
      <c r="L95" s="313"/>
      <c r="M95" s="189">
        <f t="shared" si="11"/>
        <v>0</v>
      </c>
      <c r="N95" s="189">
        <f t="shared" si="12"/>
        <v>0</v>
      </c>
    </row>
    <row r="96" spans="2:14" x14ac:dyDescent="0.25">
      <c r="B96" s="34">
        <f t="shared" si="0"/>
        <v>89</v>
      </c>
      <c r="C96" s="186"/>
      <c r="D96" s="305"/>
      <c r="E96" s="309"/>
      <c r="F96" s="311"/>
      <c r="G96" s="189">
        <f>'GEN.AD - PAY'!I109/31</f>
        <v>0</v>
      </c>
      <c r="H96" s="313"/>
      <c r="I96" s="189">
        <f t="shared" si="9"/>
        <v>0</v>
      </c>
      <c r="J96" s="313"/>
      <c r="K96" s="189">
        <f t="shared" si="10"/>
        <v>0</v>
      </c>
      <c r="L96" s="313"/>
      <c r="M96" s="189">
        <f t="shared" si="11"/>
        <v>0</v>
      </c>
      <c r="N96" s="189">
        <f t="shared" si="12"/>
        <v>0</v>
      </c>
    </row>
    <row r="97" spans="2:14" x14ac:dyDescent="0.25">
      <c r="B97" s="34">
        <f t="shared" si="0"/>
        <v>90</v>
      </c>
      <c r="C97" s="186"/>
      <c r="D97" s="305"/>
      <c r="E97" s="309"/>
      <c r="F97" s="311"/>
      <c r="G97" s="189">
        <f>'GEN.AD - PAY'!I110/31</f>
        <v>0</v>
      </c>
      <c r="H97" s="313"/>
      <c r="I97" s="189">
        <f t="shared" si="9"/>
        <v>0</v>
      </c>
      <c r="J97" s="313"/>
      <c r="K97" s="189">
        <f t="shared" si="10"/>
        <v>0</v>
      </c>
      <c r="L97" s="313"/>
      <c r="M97" s="189">
        <f t="shared" si="11"/>
        <v>0</v>
      </c>
      <c r="N97" s="189">
        <f t="shared" si="12"/>
        <v>0</v>
      </c>
    </row>
    <row r="98" spans="2:14" x14ac:dyDescent="0.25">
      <c r="B98" s="34">
        <f t="shared" si="0"/>
        <v>91</v>
      </c>
      <c r="C98" s="186"/>
      <c r="D98" s="305"/>
      <c r="E98" s="309"/>
      <c r="F98" s="311"/>
      <c r="G98" s="189">
        <f>'GEN.AD - PAY'!I111/31</f>
        <v>0</v>
      </c>
      <c r="H98" s="313"/>
      <c r="I98" s="189">
        <f t="shared" si="9"/>
        <v>0</v>
      </c>
      <c r="J98" s="313"/>
      <c r="K98" s="189">
        <f t="shared" si="10"/>
        <v>0</v>
      </c>
      <c r="L98" s="313"/>
      <c r="M98" s="189">
        <f t="shared" si="11"/>
        <v>0</v>
      </c>
      <c r="N98" s="189">
        <f t="shared" si="12"/>
        <v>0</v>
      </c>
    </row>
    <row r="99" spans="2:14" x14ac:dyDescent="0.25">
      <c r="B99" s="34">
        <f t="shared" si="0"/>
        <v>92</v>
      </c>
      <c r="C99" s="186"/>
      <c r="D99" s="305"/>
      <c r="E99" s="309"/>
      <c r="F99" s="311"/>
      <c r="G99" s="189">
        <f>'GEN.AD - PAY'!I112/31</f>
        <v>0</v>
      </c>
      <c r="H99" s="313"/>
      <c r="I99" s="189">
        <f t="shared" si="9"/>
        <v>0</v>
      </c>
      <c r="J99" s="313"/>
      <c r="K99" s="189">
        <f t="shared" si="10"/>
        <v>0</v>
      </c>
      <c r="L99" s="313"/>
      <c r="M99" s="189">
        <f t="shared" si="11"/>
        <v>0</v>
      </c>
      <c r="N99" s="189">
        <f t="shared" si="12"/>
        <v>0</v>
      </c>
    </row>
    <row r="100" spans="2:14" x14ac:dyDescent="0.25">
      <c r="B100" s="34">
        <f t="shared" si="0"/>
        <v>93</v>
      </c>
      <c r="C100" s="186"/>
      <c r="D100" s="305"/>
      <c r="E100" s="309"/>
      <c r="F100" s="311"/>
      <c r="G100" s="189">
        <f>'GEN.AD - PAY'!I113/31</f>
        <v>0</v>
      </c>
      <c r="H100" s="313"/>
      <c r="I100" s="189">
        <f t="shared" si="9"/>
        <v>0</v>
      </c>
      <c r="J100" s="313"/>
      <c r="K100" s="189">
        <f t="shared" si="10"/>
        <v>0</v>
      </c>
      <c r="L100" s="313"/>
      <c r="M100" s="189">
        <f t="shared" si="11"/>
        <v>0</v>
      </c>
      <c r="N100" s="189">
        <f t="shared" si="12"/>
        <v>0</v>
      </c>
    </row>
    <row r="101" spans="2:14" x14ac:dyDescent="0.25">
      <c r="B101" s="34">
        <f t="shared" ref="B101:B147" si="13">+B53+1</f>
        <v>47</v>
      </c>
      <c r="C101" s="184"/>
      <c r="D101" s="185"/>
      <c r="E101" s="308"/>
      <c r="F101" s="310"/>
      <c r="G101" s="188">
        <f>'GEN.AD - PAY'!I67/31</f>
        <v>0</v>
      </c>
      <c r="H101" s="313"/>
      <c r="I101" s="188">
        <f t="shared" ref="I101:I147" si="14">ROUND(G101*H101,2)</f>
        <v>0</v>
      </c>
      <c r="J101" s="313"/>
      <c r="K101" s="188">
        <f t="shared" ref="K101:K147" si="15">ROUND(G101/8*J101,2)</f>
        <v>0</v>
      </c>
      <c r="L101" s="313"/>
      <c r="M101" s="188">
        <f t="shared" ref="M101:M147" si="16">ROUND(G101/8/60*L101,2)</f>
        <v>0</v>
      </c>
      <c r="N101" s="188">
        <f t="shared" ref="N101:N147" si="17">I101+K101+M101</f>
        <v>0</v>
      </c>
    </row>
    <row r="102" spans="2:14" x14ac:dyDescent="0.25">
      <c r="B102" s="34">
        <f t="shared" si="13"/>
        <v>48</v>
      </c>
      <c r="C102" s="184"/>
      <c r="D102" s="185"/>
      <c r="E102" s="308"/>
      <c r="F102" s="310"/>
      <c r="G102" s="188">
        <f>'GEN.AD - PAY'!I68/31</f>
        <v>0</v>
      </c>
      <c r="H102" s="313"/>
      <c r="I102" s="188">
        <f t="shared" si="14"/>
        <v>0</v>
      </c>
      <c r="J102" s="313"/>
      <c r="K102" s="188">
        <f t="shared" si="15"/>
        <v>0</v>
      </c>
      <c r="L102" s="313"/>
      <c r="M102" s="188">
        <f t="shared" si="16"/>
        <v>0</v>
      </c>
      <c r="N102" s="188">
        <f t="shared" si="17"/>
        <v>0</v>
      </c>
    </row>
    <row r="103" spans="2:14" x14ac:dyDescent="0.25">
      <c r="B103" s="34">
        <f t="shared" si="13"/>
        <v>49</v>
      </c>
      <c r="C103" s="184"/>
      <c r="D103" s="185"/>
      <c r="E103" s="308"/>
      <c r="F103" s="310"/>
      <c r="G103" s="188">
        <f>'GEN.AD - PAY'!I69/31</f>
        <v>0</v>
      </c>
      <c r="H103" s="313"/>
      <c r="I103" s="188">
        <f t="shared" si="14"/>
        <v>0</v>
      </c>
      <c r="J103" s="313"/>
      <c r="K103" s="188">
        <f t="shared" si="15"/>
        <v>0</v>
      </c>
      <c r="L103" s="313"/>
      <c r="M103" s="188">
        <f t="shared" si="16"/>
        <v>0</v>
      </c>
      <c r="N103" s="188">
        <f t="shared" si="17"/>
        <v>0</v>
      </c>
    </row>
    <row r="104" spans="2:14" x14ac:dyDescent="0.25">
      <c r="B104" s="34">
        <f t="shared" si="13"/>
        <v>50</v>
      </c>
      <c r="C104" s="184"/>
      <c r="D104" s="185"/>
      <c r="E104" s="308"/>
      <c r="F104" s="310"/>
      <c r="G104" s="188">
        <f>'GEN.AD - PAY'!I70/31</f>
        <v>0</v>
      </c>
      <c r="H104" s="313"/>
      <c r="I104" s="188">
        <f t="shared" si="14"/>
        <v>0</v>
      </c>
      <c r="J104" s="313"/>
      <c r="K104" s="188">
        <f t="shared" si="15"/>
        <v>0</v>
      </c>
      <c r="L104" s="313"/>
      <c r="M104" s="188">
        <f t="shared" si="16"/>
        <v>0</v>
      </c>
      <c r="N104" s="188">
        <f t="shared" si="17"/>
        <v>0</v>
      </c>
    </row>
    <row r="105" spans="2:14" x14ac:dyDescent="0.25">
      <c r="B105" s="34">
        <f t="shared" si="13"/>
        <v>51</v>
      </c>
      <c r="C105" s="184"/>
      <c r="D105" s="185"/>
      <c r="E105" s="308"/>
      <c r="F105" s="310"/>
      <c r="G105" s="188">
        <f>'GEN.AD - PAY'!I71/31</f>
        <v>0</v>
      </c>
      <c r="H105" s="313"/>
      <c r="I105" s="188">
        <f t="shared" si="14"/>
        <v>0</v>
      </c>
      <c r="J105" s="313"/>
      <c r="K105" s="188">
        <f t="shared" si="15"/>
        <v>0</v>
      </c>
      <c r="L105" s="313"/>
      <c r="M105" s="188">
        <f t="shared" si="16"/>
        <v>0</v>
      </c>
      <c r="N105" s="188">
        <f t="shared" si="17"/>
        <v>0</v>
      </c>
    </row>
    <row r="106" spans="2:14" x14ac:dyDescent="0.25">
      <c r="B106" s="34">
        <f t="shared" si="13"/>
        <v>52</v>
      </c>
      <c r="C106" s="184"/>
      <c r="D106" s="185"/>
      <c r="E106" s="308"/>
      <c r="F106" s="310"/>
      <c r="G106" s="188">
        <f>'GEN.AD - PAY'!I72/31</f>
        <v>0</v>
      </c>
      <c r="H106" s="313"/>
      <c r="I106" s="188">
        <f t="shared" si="14"/>
        <v>0</v>
      </c>
      <c r="J106" s="313"/>
      <c r="K106" s="188">
        <f t="shared" si="15"/>
        <v>0</v>
      </c>
      <c r="L106" s="313"/>
      <c r="M106" s="188">
        <f t="shared" si="16"/>
        <v>0</v>
      </c>
      <c r="N106" s="188">
        <f t="shared" si="17"/>
        <v>0</v>
      </c>
    </row>
    <row r="107" spans="2:14" x14ac:dyDescent="0.25">
      <c r="B107" s="34">
        <f t="shared" si="13"/>
        <v>53</v>
      </c>
      <c r="C107" s="184"/>
      <c r="D107" s="185"/>
      <c r="E107" s="308"/>
      <c r="F107" s="310"/>
      <c r="G107" s="188">
        <f>'GEN.AD - PAY'!I73/31</f>
        <v>0</v>
      </c>
      <c r="H107" s="313"/>
      <c r="I107" s="188">
        <f t="shared" si="14"/>
        <v>0</v>
      </c>
      <c r="J107" s="313"/>
      <c r="K107" s="188">
        <f t="shared" si="15"/>
        <v>0</v>
      </c>
      <c r="L107" s="313"/>
      <c r="M107" s="188">
        <f t="shared" si="16"/>
        <v>0</v>
      </c>
      <c r="N107" s="188">
        <f t="shared" si="17"/>
        <v>0</v>
      </c>
    </row>
    <row r="108" spans="2:14" x14ac:dyDescent="0.25">
      <c r="B108" s="34">
        <f t="shared" si="13"/>
        <v>54</v>
      </c>
      <c r="C108" s="184"/>
      <c r="D108" s="185"/>
      <c r="E108" s="308"/>
      <c r="F108" s="310"/>
      <c r="G108" s="188">
        <f>'GEN.AD - PAY'!I74/31</f>
        <v>0</v>
      </c>
      <c r="H108" s="313"/>
      <c r="I108" s="188">
        <f t="shared" si="14"/>
        <v>0</v>
      </c>
      <c r="J108" s="313"/>
      <c r="K108" s="188">
        <f t="shared" si="15"/>
        <v>0</v>
      </c>
      <c r="L108" s="313"/>
      <c r="M108" s="188">
        <f t="shared" si="16"/>
        <v>0</v>
      </c>
      <c r="N108" s="188">
        <f t="shared" si="17"/>
        <v>0</v>
      </c>
    </row>
    <row r="109" spans="2:14" x14ac:dyDescent="0.25">
      <c r="B109" s="34">
        <f t="shared" si="13"/>
        <v>55</v>
      </c>
      <c r="C109" s="184"/>
      <c r="D109" s="185"/>
      <c r="E109" s="308"/>
      <c r="F109" s="310"/>
      <c r="G109" s="188">
        <f>'GEN.AD - PAY'!I75/31</f>
        <v>0</v>
      </c>
      <c r="H109" s="313"/>
      <c r="I109" s="188">
        <f t="shared" si="14"/>
        <v>0</v>
      </c>
      <c r="J109" s="313"/>
      <c r="K109" s="188">
        <f t="shared" si="15"/>
        <v>0</v>
      </c>
      <c r="L109" s="313"/>
      <c r="M109" s="188">
        <f t="shared" si="16"/>
        <v>0</v>
      </c>
      <c r="N109" s="188">
        <f t="shared" si="17"/>
        <v>0</v>
      </c>
    </row>
    <row r="110" spans="2:14" x14ac:dyDescent="0.25">
      <c r="B110" s="34">
        <f t="shared" si="13"/>
        <v>56</v>
      </c>
      <c r="C110" s="184"/>
      <c r="D110" s="185"/>
      <c r="E110" s="308"/>
      <c r="F110" s="310"/>
      <c r="G110" s="188">
        <f>'GEN.AD - PAY'!I76/31</f>
        <v>0</v>
      </c>
      <c r="H110" s="313"/>
      <c r="I110" s="188">
        <f t="shared" si="14"/>
        <v>0</v>
      </c>
      <c r="J110" s="313"/>
      <c r="K110" s="188">
        <f t="shared" si="15"/>
        <v>0</v>
      </c>
      <c r="L110" s="313"/>
      <c r="M110" s="188">
        <f t="shared" si="16"/>
        <v>0</v>
      </c>
      <c r="N110" s="188">
        <f t="shared" si="17"/>
        <v>0</v>
      </c>
    </row>
    <row r="111" spans="2:14" x14ac:dyDescent="0.25">
      <c r="B111" s="34">
        <f t="shared" si="13"/>
        <v>57</v>
      </c>
      <c r="C111" s="184"/>
      <c r="D111" s="185"/>
      <c r="E111" s="308"/>
      <c r="F111" s="310"/>
      <c r="G111" s="188">
        <f>'GEN.AD - PAY'!I77/31</f>
        <v>0</v>
      </c>
      <c r="H111" s="313"/>
      <c r="I111" s="188">
        <f t="shared" si="14"/>
        <v>0</v>
      </c>
      <c r="J111" s="313"/>
      <c r="K111" s="188">
        <f t="shared" si="15"/>
        <v>0</v>
      </c>
      <c r="L111" s="313"/>
      <c r="M111" s="188">
        <f t="shared" si="16"/>
        <v>0</v>
      </c>
      <c r="N111" s="188">
        <f t="shared" si="17"/>
        <v>0</v>
      </c>
    </row>
    <row r="112" spans="2:14" x14ac:dyDescent="0.25">
      <c r="B112" s="34">
        <f t="shared" si="13"/>
        <v>58</v>
      </c>
      <c r="C112" s="184"/>
      <c r="D112" s="185"/>
      <c r="E112" s="308"/>
      <c r="F112" s="310"/>
      <c r="G112" s="188">
        <f>'GEN.AD - PAY'!I78/31</f>
        <v>0</v>
      </c>
      <c r="H112" s="313"/>
      <c r="I112" s="188">
        <f t="shared" si="14"/>
        <v>0</v>
      </c>
      <c r="J112" s="313"/>
      <c r="K112" s="188">
        <f t="shared" si="15"/>
        <v>0</v>
      </c>
      <c r="L112" s="313"/>
      <c r="M112" s="188">
        <f t="shared" si="16"/>
        <v>0</v>
      </c>
      <c r="N112" s="188">
        <f t="shared" si="17"/>
        <v>0</v>
      </c>
    </row>
    <row r="113" spans="2:14" x14ac:dyDescent="0.25">
      <c r="B113" s="34">
        <f t="shared" si="13"/>
        <v>59</v>
      </c>
      <c r="C113" s="184"/>
      <c r="D113" s="185"/>
      <c r="E113" s="308"/>
      <c r="F113" s="310"/>
      <c r="G113" s="188">
        <f>'GEN.AD - PAY'!I79/31</f>
        <v>0</v>
      </c>
      <c r="H113" s="313"/>
      <c r="I113" s="188">
        <f t="shared" si="14"/>
        <v>0</v>
      </c>
      <c r="J113" s="313"/>
      <c r="K113" s="188">
        <f t="shared" si="15"/>
        <v>0</v>
      </c>
      <c r="L113" s="313"/>
      <c r="M113" s="188">
        <f t="shared" si="16"/>
        <v>0</v>
      </c>
      <c r="N113" s="188">
        <f t="shared" si="17"/>
        <v>0</v>
      </c>
    </row>
    <row r="114" spans="2:14" x14ac:dyDescent="0.25">
      <c r="B114" s="34">
        <f t="shared" si="13"/>
        <v>60</v>
      </c>
      <c r="C114" s="184"/>
      <c r="D114" s="185"/>
      <c r="E114" s="308"/>
      <c r="F114" s="310"/>
      <c r="G114" s="188">
        <f>'GEN.AD - PAY'!I80/31</f>
        <v>0</v>
      </c>
      <c r="H114" s="313"/>
      <c r="I114" s="188">
        <f t="shared" si="14"/>
        <v>0</v>
      </c>
      <c r="J114" s="313"/>
      <c r="K114" s="188">
        <f t="shared" si="15"/>
        <v>0</v>
      </c>
      <c r="L114" s="313"/>
      <c r="M114" s="188">
        <f t="shared" si="16"/>
        <v>0</v>
      </c>
      <c r="N114" s="188">
        <f t="shared" si="17"/>
        <v>0</v>
      </c>
    </row>
    <row r="115" spans="2:14" x14ac:dyDescent="0.25">
      <c r="B115" s="34">
        <f t="shared" si="13"/>
        <v>61</v>
      </c>
      <c r="C115" s="184"/>
      <c r="D115" s="185"/>
      <c r="E115" s="308"/>
      <c r="F115" s="310"/>
      <c r="G115" s="188">
        <f>'GEN.AD - PAY'!I81/31</f>
        <v>0</v>
      </c>
      <c r="H115" s="313"/>
      <c r="I115" s="188">
        <f t="shared" si="14"/>
        <v>0</v>
      </c>
      <c r="J115" s="313"/>
      <c r="K115" s="188">
        <f t="shared" si="15"/>
        <v>0</v>
      </c>
      <c r="L115" s="313"/>
      <c r="M115" s="188">
        <f t="shared" si="16"/>
        <v>0</v>
      </c>
      <c r="N115" s="188">
        <f t="shared" si="17"/>
        <v>0</v>
      </c>
    </row>
    <row r="116" spans="2:14" x14ac:dyDescent="0.25">
      <c r="B116" s="34">
        <f t="shared" si="13"/>
        <v>62</v>
      </c>
      <c r="C116" s="184"/>
      <c r="D116" s="185"/>
      <c r="E116" s="308"/>
      <c r="F116" s="310"/>
      <c r="G116" s="188">
        <f>'GEN.AD - PAY'!I82/31</f>
        <v>0</v>
      </c>
      <c r="H116" s="313"/>
      <c r="I116" s="188">
        <f t="shared" si="14"/>
        <v>0</v>
      </c>
      <c r="J116" s="313"/>
      <c r="K116" s="188">
        <f t="shared" si="15"/>
        <v>0</v>
      </c>
      <c r="L116" s="313"/>
      <c r="M116" s="188">
        <f t="shared" si="16"/>
        <v>0</v>
      </c>
      <c r="N116" s="188">
        <f t="shared" si="17"/>
        <v>0</v>
      </c>
    </row>
    <row r="117" spans="2:14" x14ac:dyDescent="0.25">
      <c r="B117" s="34">
        <f t="shared" si="13"/>
        <v>63</v>
      </c>
      <c r="C117" s="184"/>
      <c r="D117" s="185"/>
      <c r="E117" s="308"/>
      <c r="F117" s="310"/>
      <c r="G117" s="188">
        <f>'GEN.AD - PAY'!I83/31</f>
        <v>0</v>
      </c>
      <c r="H117" s="313"/>
      <c r="I117" s="188">
        <f t="shared" si="14"/>
        <v>0</v>
      </c>
      <c r="J117" s="313"/>
      <c r="K117" s="188">
        <f t="shared" si="15"/>
        <v>0</v>
      </c>
      <c r="L117" s="313"/>
      <c r="M117" s="188">
        <f t="shared" si="16"/>
        <v>0</v>
      </c>
      <c r="N117" s="188">
        <f t="shared" si="17"/>
        <v>0</v>
      </c>
    </row>
    <row r="118" spans="2:14" x14ac:dyDescent="0.25">
      <c r="B118" s="34">
        <f t="shared" si="13"/>
        <v>64</v>
      </c>
      <c r="C118" s="184"/>
      <c r="D118" s="185"/>
      <c r="E118" s="308"/>
      <c r="F118" s="310"/>
      <c r="G118" s="188">
        <f>'GEN.AD - PAY'!I84/31</f>
        <v>0</v>
      </c>
      <c r="H118" s="313"/>
      <c r="I118" s="188">
        <f t="shared" si="14"/>
        <v>0</v>
      </c>
      <c r="J118" s="313"/>
      <c r="K118" s="188">
        <f t="shared" si="15"/>
        <v>0</v>
      </c>
      <c r="L118" s="313"/>
      <c r="M118" s="188">
        <f t="shared" si="16"/>
        <v>0</v>
      </c>
      <c r="N118" s="188">
        <f t="shared" si="17"/>
        <v>0</v>
      </c>
    </row>
    <row r="119" spans="2:14" x14ac:dyDescent="0.25">
      <c r="B119" s="34">
        <f t="shared" si="13"/>
        <v>65</v>
      </c>
      <c r="C119" s="184"/>
      <c r="D119" s="185"/>
      <c r="E119" s="308"/>
      <c r="F119" s="310"/>
      <c r="G119" s="188">
        <f>'GEN.AD - PAY'!I85/31</f>
        <v>0</v>
      </c>
      <c r="H119" s="313"/>
      <c r="I119" s="188">
        <f t="shared" si="14"/>
        <v>0</v>
      </c>
      <c r="J119" s="313"/>
      <c r="K119" s="188">
        <f t="shared" si="15"/>
        <v>0</v>
      </c>
      <c r="L119" s="313"/>
      <c r="M119" s="188">
        <f t="shared" si="16"/>
        <v>0</v>
      </c>
      <c r="N119" s="188">
        <f t="shared" si="17"/>
        <v>0</v>
      </c>
    </row>
    <row r="120" spans="2:14" x14ac:dyDescent="0.25">
      <c r="B120" s="34">
        <f t="shared" si="13"/>
        <v>66</v>
      </c>
      <c r="C120" s="184"/>
      <c r="D120" s="185"/>
      <c r="E120" s="308"/>
      <c r="F120" s="310"/>
      <c r="G120" s="188">
        <f>'GEN.AD - PAY'!I86/31</f>
        <v>0</v>
      </c>
      <c r="H120" s="313"/>
      <c r="I120" s="188">
        <f t="shared" si="14"/>
        <v>0</v>
      </c>
      <c r="J120" s="313"/>
      <c r="K120" s="188">
        <f t="shared" si="15"/>
        <v>0</v>
      </c>
      <c r="L120" s="313"/>
      <c r="M120" s="188">
        <f t="shared" si="16"/>
        <v>0</v>
      </c>
      <c r="N120" s="188">
        <f t="shared" si="17"/>
        <v>0</v>
      </c>
    </row>
    <row r="121" spans="2:14" x14ac:dyDescent="0.25">
      <c r="B121" s="34">
        <f t="shared" si="13"/>
        <v>67</v>
      </c>
      <c r="C121" s="184"/>
      <c r="D121" s="185"/>
      <c r="E121" s="308"/>
      <c r="F121" s="310"/>
      <c r="G121" s="188">
        <f>'GEN.AD - PAY'!I87/31</f>
        <v>0</v>
      </c>
      <c r="H121" s="313"/>
      <c r="I121" s="188">
        <f t="shared" si="14"/>
        <v>0</v>
      </c>
      <c r="J121" s="313"/>
      <c r="K121" s="188">
        <f t="shared" si="15"/>
        <v>0</v>
      </c>
      <c r="L121" s="313"/>
      <c r="M121" s="188">
        <f t="shared" si="16"/>
        <v>0</v>
      </c>
      <c r="N121" s="188">
        <f t="shared" si="17"/>
        <v>0</v>
      </c>
    </row>
    <row r="122" spans="2:14" x14ac:dyDescent="0.25">
      <c r="B122" s="34">
        <f t="shared" si="13"/>
        <v>68</v>
      </c>
      <c r="C122" s="184"/>
      <c r="D122" s="185"/>
      <c r="E122" s="308"/>
      <c r="F122" s="310"/>
      <c r="G122" s="188">
        <f>'GEN.AD - PAY'!I88/31</f>
        <v>0</v>
      </c>
      <c r="H122" s="313"/>
      <c r="I122" s="188">
        <f t="shared" si="14"/>
        <v>0</v>
      </c>
      <c r="J122" s="313"/>
      <c r="K122" s="188">
        <f t="shared" si="15"/>
        <v>0</v>
      </c>
      <c r="L122" s="313"/>
      <c r="M122" s="188">
        <f t="shared" si="16"/>
        <v>0</v>
      </c>
      <c r="N122" s="188">
        <f t="shared" si="17"/>
        <v>0</v>
      </c>
    </row>
    <row r="123" spans="2:14" x14ac:dyDescent="0.25">
      <c r="B123" s="34">
        <f t="shared" si="13"/>
        <v>69</v>
      </c>
      <c r="C123" s="184"/>
      <c r="D123" s="185"/>
      <c r="E123" s="308"/>
      <c r="F123" s="310"/>
      <c r="G123" s="188">
        <f>'GEN.AD - PAY'!I89/31</f>
        <v>0</v>
      </c>
      <c r="H123" s="313"/>
      <c r="I123" s="188">
        <f t="shared" si="14"/>
        <v>0</v>
      </c>
      <c r="J123" s="313"/>
      <c r="K123" s="188">
        <f t="shared" si="15"/>
        <v>0</v>
      </c>
      <c r="L123" s="313"/>
      <c r="M123" s="188">
        <f t="shared" si="16"/>
        <v>0</v>
      </c>
      <c r="N123" s="188">
        <f t="shared" si="17"/>
        <v>0</v>
      </c>
    </row>
    <row r="124" spans="2:14" x14ac:dyDescent="0.25">
      <c r="B124" s="34">
        <f t="shared" si="13"/>
        <v>70</v>
      </c>
      <c r="C124" s="184"/>
      <c r="D124" s="185"/>
      <c r="E124" s="308"/>
      <c r="F124" s="310"/>
      <c r="G124" s="188">
        <f>'GEN.AD - PAY'!I90/31</f>
        <v>0</v>
      </c>
      <c r="H124" s="313"/>
      <c r="I124" s="188">
        <f t="shared" si="14"/>
        <v>0</v>
      </c>
      <c r="J124" s="313"/>
      <c r="K124" s="188">
        <f t="shared" si="15"/>
        <v>0</v>
      </c>
      <c r="L124" s="313"/>
      <c r="M124" s="188">
        <f t="shared" si="16"/>
        <v>0</v>
      </c>
      <c r="N124" s="188">
        <f t="shared" si="17"/>
        <v>0</v>
      </c>
    </row>
    <row r="125" spans="2:14" x14ac:dyDescent="0.25">
      <c r="B125" s="34">
        <f t="shared" si="13"/>
        <v>71</v>
      </c>
      <c r="C125" s="184"/>
      <c r="D125" s="185"/>
      <c r="E125" s="308"/>
      <c r="F125" s="310"/>
      <c r="G125" s="188">
        <f>'GEN.AD - PAY'!I91/31</f>
        <v>0</v>
      </c>
      <c r="H125" s="313"/>
      <c r="I125" s="188">
        <f t="shared" si="14"/>
        <v>0</v>
      </c>
      <c r="J125" s="313"/>
      <c r="K125" s="188">
        <f t="shared" si="15"/>
        <v>0</v>
      </c>
      <c r="L125" s="313"/>
      <c r="M125" s="188">
        <f t="shared" si="16"/>
        <v>0</v>
      </c>
      <c r="N125" s="188">
        <f t="shared" si="17"/>
        <v>0</v>
      </c>
    </row>
    <row r="126" spans="2:14" x14ac:dyDescent="0.25">
      <c r="B126" s="34">
        <f t="shared" si="13"/>
        <v>72</v>
      </c>
      <c r="C126" s="184"/>
      <c r="D126" s="185"/>
      <c r="E126" s="308"/>
      <c r="F126" s="310"/>
      <c r="G126" s="188">
        <f>'GEN.AD - PAY'!I92/31</f>
        <v>0</v>
      </c>
      <c r="H126" s="313"/>
      <c r="I126" s="188">
        <f t="shared" si="14"/>
        <v>0</v>
      </c>
      <c r="J126" s="313"/>
      <c r="K126" s="188">
        <f t="shared" si="15"/>
        <v>0</v>
      </c>
      <c r="L126" s="313"/>
      <c r="M126" s="188">
        <f t="shared" si="16"/>
        <v>0</v>
      </c>
      <c r="N126" s="188">
        <f t="shared" si="17"/>
        <v>0</v>
      </c>
    </row>
    <row r="127" spans="2:14" x14ac:dyDescent="0.25">
      <c r="B127" s="34">
        <f t="shared" si="13"/>
        <v>73</v>
      </c>
      <c r="C127" s="184"/>
      <c r="D127" s="185"/>
      <c r="E127" s="308"/>
      <c r="F127" s="310"/>
      <c r="G127" s="188">
        <f>'GEN.AD - PAY'!I93/31</f>
        <v>0</v>
      </c>
      <c r="H127" s="313"/>
      <c r="I127" s="188">
        <f t="shared" si="14"/>
        <v>0</v>
      </c>
      <c r="J127" s="313"/>
      <c r="K127" s="188">
        <f t="shared" si="15"/>
        <v>0</v>
      </c>
      <c r="L127" s="313"/>
      <c r="M127" s="188">
        <f t="shared" si="16"/>
        <v>0</v>
      </c>
      <c r="N127" s="188">
        <f t="shared" si="17"/>
        <v>0</v>
      </c>
    </row>
    <row r="128" spans="2:14" x14ac:dyDescent="0.25">
      <c r="B128" s="34">
        <f t="shared" si="13"/>
        <v>74</v>
      </c>
      <c r="C128" s="184"/>
      <c r="D128" s="185"/>
      <c r="E128" s="308"/>
      <c r="F128" s="310"/>
      <c r="G128" s="188">
        <f>'GEN.AD - PAY'!I94/31</f>
        <v>0</v>
      </c>
      <c r="H128" s="313"/>
      <c r="I128" s="188">
        <f t="shared" si="14"/>
        <v>0</v>
      </c>
      <c r="J128" s="313"/>
      <c r="K128" s="188">
        <f t="shared" si="15"/>
        <v>0</v>
      </c>
      <c r="L128" s="313"/>
      <c r="M128" s="188">
        <f t="shared" si="16"/>
        <v>0</v>
      </c>
      <c r="N128" s="188">
        <f t="shared" si="17"/>
        <v>0</v>
      </c>
    </row>
    <row r="129" spans="2:14" x14ac:dyDescent="0.25">
      <c r="B129" s="34">
        <f t="shared" si="13"/>
        <v>75</v>
      </c>
      <c r="C129" s="184"/>
      <c r="D129" s="185"/>
      <c r="E129" s="308"/>
      <c r="F129" s="310"/>
      <c r="G129" s="188">
        <f>'GEN.AD - PAY'!I95/31</f>
        <v>0</v>
      </c>
      <c r="H129" s="313"/>
      <c r="I129" s="188">
        <f t="shared" si="14"/>
        <v>0</v>
      </c>
      <c r="J129" s="313"/>
      <c r="K129" s="188">
        <f t="shared" si="15"/>
        <v>0</v>
      </c>
      <c r="L129" s="313"/>
      <c r="M129" s="188">
        <f t="shared" si="16"/>
        <v>0</v>
      </c>
      <c r="N129" s="188">
        <f t="shared" si="17"/>
        <v>0</v>
      </c>
    </row>
    <row r="130" spans="2:14" x14ac:dyDescent="0.25">
      <c r="B130" s="34">
        <f t="shared" si="13"/>
        <v>76</v>
      </c>
      <c r="C130" s="184"/>
      <c r="D130" s="185"/>
      <c r="E130" s="308"/>
      <c r="F130" s="310"/>
      <c r="G130" s="188">
        <f>'GEN.AD - PAY'!I96/31</f>
        <v>0</v>
      </c>
      <c r="H130" s="313"/>
      <c r="I130" s="188">
        <f t="shared" si="14"/>
        <v>0</v>
      </c>
      <c r="J130" s="313"/>
      <c r="K130" s="188">
        <f t="shared" si="15"/>
        <v>0</v>
      </c>
      <c r="L130" s="313"/>
      <c r="M130" s="188">
        <f t="shared" si="16"/>
        <v>0</v>
      </c>
      <c r="N130" s="188">
        <f t="shared" si="17"/>
        <v>0</v>
      </c>
    </row>
    <row r="131" spans="2:14" x14ac:dyDescent="0.25">
      <c r="B131" s="34">
        <f t="shared" si="13"/>
        <v>77</v>
      </c>
      <c r="C131" s="184"/>
      <c r="D131" s="185"/>
      <c r="E131" s="308"/>
      <c r="F131" s="310"/>
      <c r="G131" s="188">
        <f>'GEN.AD - PAY'!I97/31</f>
        <v>0</v>
      </c>
      <c r="H131" s="313"/>
      <c r="I131" s="188">
        <f t="shared" si="14"/>
        <v>0</v>
      </c>
      <c r="J131" s="313"/>
      <c r="K131" s="188">
        <f t="shared" si="15"/>
        <v>0</v>
      </c>
      <c r="L131" s="313"/>
      <c r="M131" s="188">
        <f t="shared" si="16"/>
        <v>0</v>
      </c>
      <c r="N131" s="188">
        <f t="shared" si="17"/>
        <v>0</v>
      </c>
    </row>
    <row r="132" spans="2:14" x14ac:dyDescent="0.25">
      <c r="B132" s="34">
        <f t="shared" si="13"/>
        <v>78</v>
      </c>
      <c r="C132" s="184"/>
      <c r="D132" s="185"/>
      <c r="E132" s="308"/>
      <c r="F132" s="310"/>
      <c r="G132" s="188">
        <f>'GEN.AD - PAY'!I98/31</f>
        <v>0</v>
      </c>
      <c r="H132" s="313"/>
      <c r="I132" s="188">
        <f t="shared" si="14"/>
        <v>0</v>
      </c>
      <c r="J132" s="313"/>
      <c r="K132" s="188">
        <f t="shared" si="15"/>
        <v>0</v>
      </c>
      <c r="L132" s="313"/>
      <c r="M132" s="188">
        <f t="shared" si="16"/>
        <v>0</v>
      </c>
      <c r="N132" s="188">
        <f t="shared" si="17"/>
        <v>0</v>
      </c>
    </row>
    <row r="133" spans="2:14" x14ac:dyDescent="0.25">
      <c r="B133" s="34">
        <f t="shared" si="13"/>
        <v>79</v>
      </c>
      <c r="C133" s="184"/>
      <c r="D133" s="185"/>
      <c r="E133" s="308"/>
      <c r="F133" s="310"/>
      <c r="G133" s="188">
        <f>'GEN.AD - PAY'!I99/31</f>
        <v>0</v>
      </c>
      <c r="H133" s="313"/>
      <c r="I133" s="188">
        <f t="shared" si="14"/>
        <v>0</v>
      </c>
      <c r="J133" s="313"/>
      <c r="K133" s="188">
        <f t="shared" si="15"/>
        <v>0</v>
      </c>
      <c r="L133" s="313"/>
      <c r="M133" s="188">
        <f t="shared" si="16"/>
        <v>0</v>
      </c>
      <c r="N133" s="188">
        <f t="shared" si="17"/>
        <v>0</v>
      </c>
    </row>
    <row r="134" spans="2:14" x14ac:dyDescent="0.25">
      <c r="B134" s="34">
        <f t="shared" si="13"/>
        <v>80</v>
      </c>
      <c r="C134" s="184"/>
      <c r="D134" s="185"/>
      <c r="E134" s="308"/>
      <c r="F134" s="310"/>
      <c r="G134" s="188">
        <f>'GEN.AD - PAY'!I100/31</f>
        <v>0</v>
      </c>
      <c r="H134" s="313"/>
      <c r="I134" s="188">
        <f t="shared" si="14"/>
        <v>0</v>
      </c>
      <c r="J134" s="313"/>
      <c r="K134" s="188">
        <f t="shared" si="15"/>
        <v>0</v>
      </c>
      <c r="L134" s="313"/>
      <c r="M134" s="188">
        <f t="shared" si="16"/>
        <v>0</v>
      </c>
      <c r="N134" s="188">
        <f t="shared" si="17"/>
        <v>0</v>
      </c>
    </row>
    <row r="135" spans="2:14" x14ac:dyDescent="0.25">
      <c r="B135" s="34">
        <f t="shared" si="13"/>
        <v>81</v>
      </c>
      <c r="C135" s="184"/>
      <c r="D135" s="185"/>
      <c r="E135" s="308"/>
      <c r="F135" s="310"/>
      <c r="G135" s="188">
        <f>'GEN.AD - PAY'!I101/31</f>
        <v>0</v>
      </c>
      <c r="H135" s="313"/>
      <c r="I135" s="188">
        <f t="shared" si="14"/>
        <v>0</v>
      </c>
      <c r="J135" s="313"/>
      <c r="K135" s="188">
        <f t="shared" si="15"/>
        <v>0</v>
      </c>
      <c r="L135" s="313"/>
      <c r="M135" s="188">
        <f t="shared" si="16"/>
        <v>0</v>
      </c>
      <c r="N135" s="188">
        <f t="shared" si="17"/>
        <v>0</v>
      </c>
    </row>
    <row r="136" spans="2:14" x14ac:dyDescent="0.25">
      <c r="B136" s="34">
        <f t="shared" si="13"/>
        <v>82</v>
      </c>
      <c r="C136" s="184"/>
      <c r="D136" s="185"/>
      <c r="E136" s="308"/>
      <c r="F136" s="310"/>
      <c r="G136" s="188">
        <f>'GEN.AD - PAY'!I102/31</f>
        <v>0</v>
      </c>
      <c r="H136" s="313"/>
      <c r="I136" s="188">
        <f t="shared" si="14"/>
        <v>0</v>
      </c>
      <c r="J136" s="313"/>
      <c r="K136" s="188">
        <f t="shared" si="15"/>
        <v>0</v>
      </c>
      <c r="L136" s="313"/>
      <c r="M136" s="188">
        <f t="shared" si="16"/>
        <v>0</v>
      </c>
      <c r="N136" s="188">
        <f t="shared" si="17"/>
        <v>0</v>
      </c>
    </row>
    <row r="137" spans="2:14" x14ac:dyDescent="0.25">
      <c r="B137" s="34">
        <f t="shared" si="13"/>
        <v>83</v>
      </c>
      <c r="C137" s="184"/>
      <c r="D137" s="185"/>
      <c r="E137" s="308"/>
      <c r="F137" s="310"/>
      <c r="G137" s="188">
        <f>'GEN.AD - PAY'!I103/31</f>
        <v>0</v>
      </c>
      <c r="H137" s="313"/>
      <c r="I137" s="188">
        <f t="shared" si="14"/>
        <v>0</v>
      </c>
      <c r="J137" s="313"/>
      <c r="K137" s="188">
        <f t="shared" si="15"/>
        <v>0</v>
      </c>
      <c r="L137" s="313"/>
      <c r="M137" s="188">
        <f t="shared" si="16"/>
        <v>0</v>
      </c>
      <c r="N137" s="188">
        <f t="shared" si="17"/>
        <v>0</v>
      </c>
    </row>
    <row r="138" spans="2:14" x14ac:dyDescent="0.25">
      <c r="B138" s="34">
        <f t="shared" si="13"/>
        <v>84</v>
      </c>
      <c r="C138" s="184"/>
      <c r="D138" s="185"/>
      <c r="E138" s="308"/>
      <c r="F138" s="310"/>
      <c r="G138" s="188">
        <f>'GEN.AD - PAY'!I104/31</f>
        <v>0</v>
      </c>
      <c r="H138" s="313"/>
      <c r="I138" s="188">
        <f t="shared" si="14"/>
        <v>0</v>
      </c>
      <c r="J138" s="313"/>
      <c r="K138" s="188">
        <f t="shared" si="15"/>
        <v>0</v>
      </c>
      <c r="L138" s="313"/>
      <c r="M138" s="188">
        <f t="shared" si="16"/>
        <v>0</v>
      </c>
      <c r="N138" s="188">
        <f t="shared" si="17"/>
        <v>0</v>
      </c>
    </row>
    <row r="139" spans="2:14" x14ac:dyDescent="0.25">
      <c r="B139" s="34">
        <f t="shared" si="13"/>
        <v>85</v>
      </c>
      <c r="C139" s="184"/>
      <c r="D139" s="185"/>
      <c r="E139" s="308"/>
      <c r="F139" s="310"/>
      <c r="G139" s="188">
        <f>'GEN.AD - PAY'!I105/31</f>
        <v>0</v>
      </c>
      <c r="H139" s="313"/>
      <c r="I139" s="188">
        <f t="shared" si="14"/>
        <v>0</v>
      </c>
      <c r="J139" s="313"/>
      <c r="K139" s="188">
        <f t="shared" si="15"/>
        <v>0</v>
      </c>
      <c r="L139" s="313"/>
      <c r="M139" s="188">
        <f t="shared" si="16"/>
        <v>0</v>
      </c>
      <c r="N139" s="188">
        <f t="shared" si="17"/>
        <v>0</v>
      </c>
    </row>
    <row r="140" spans="2:14" x14ac:dyDescent="0.25">
      <c r="B140" s="34">
        <f t="shared" si="13"/>
        <v>86</v>
      </c>
      <c r="C140" s="184"/>
      <c r="D140" s="185"/>
      <c r="E140" s="308"/>
      <c r="F140" s="310"/>
      <c r="G140" s="188">
        <f>'GEN.AD - PAY'!I106/31</f>
        <v>0</v>
      </c>
      <c r="H140" s="313"/>
      <c r="I140" s="188">
        <f t="shared" si="14"/>
        <v>0</v>
      </c>
      <c r="J140" s="313"/>
      <c r="K140" s="188">
        <f t="shared" si="15"/>
        <v>0</v>
      </c>
      <c r="L140" s="313"/>
      <c r="M140" s="188">
        <f t="shared" si="16"/>
        <v>0</v>
      </c>
      <c r="N140" s="188">
        <f t="shared" si="17"/>
        <v>0</v>
      </c>
    </row>
    <row r="141" spans="2:14" x14ac:dyDescent="0.25">
      <c r="B141" s="34">
        <f t="shared" si="13"/>
        <v>87</v>
      </c>
      <c r="C141" s="184"/>
      <c r="D141" s="185"/>
      <c r="E141" s="308"/>
      <c r="F141" s="310"/>
      <c r="G141" s="188">
        <f>'GEN.AD - PAY'!I107/31</f>
        <v>0</v>
      </c>
      <c r="H141" s="313"/>
      <c r="I141" s="188">
        <f t="shared" si="14"/>
        <v>0</v>
      </c>
      <c r="J141" s="313"/>
      <c r="K141" s="188">
        <f t="shared" si="15"/>
        <v>0</v>
      </c>
      <c r="L141" s="313"/>
      <c r="M141" s="188">
        <f t="shared" si="16"/>
        <v>0</v>
      </c>
      <c r="N141" s="188">
        <f t="shared" si="17"/>
        <v>0</v>
      </c>
    </row>
    <row r="142" spans="2:14" x14ac:dyDescent="0.25">
      <c r="B142" s="34">
        <f t="shared" si="13"/>
        <v>88</v>
      </c>
      <c r="C142" s="184"/>
      <c r="D142" s="185"/>
      <c r="E142" s="308"/>
      <c r="F142" s="310"/>
      <c r="G142" s="188">
        <f>'GEN.AD - PAY'!I108/31</f>
        <v>0</v>
      </c>
      <c r="H142" s="313"/>
      <c r="I142" s="188">
        <f t="shared" si="14"/>
        <v>0</v>
      </c>
      <c r="J142" s="313"/>
      <c r="K142" s="188">
        <f t="shared" si="15"/>
        <v>0</v>
      </c>
      <c r="L142" s="313"/>
      <c r="M142" s="188">
        <f t="shared" si="16"/>
        <v>0</v>
      </c>
      <c r="N142" s="188">
        <f t="shared" si="17"/>
        <v>0</v>
      </c>
    </row>
    <row r="143" spans="2:14" x14ac:dyDescent="0.25">
      <c r="B143" s="34">
        <f t="shared" si="13"/>
        <v>89</v>
      </c>
      <c r="C143" s="184"/>
      <c r="D143" s="185"/>
      <c r="E143" s="308"/>
      <c r="F143" s="310"/>
      <c r="G143" s="188">
        <f>'GEN.AD - PAY'!I109/31</f>
        <v>0</v>
      </c>
      <c r="H143" s="313"/>
      <c r="I143" s="188">
        <f t="shared" si="14"/>
        <v>0</v>
      </c>
      <c r="J143" s="313"/>
      <c r="K143" s="188">
        <f t="shared" si="15"/>
        <v>0</v>
      </c>
      <c r="L143" s="313"/>
      <c r="M143" s="188">
        <f t="shared" si="16"/>
        <v>0</v>
      </c>
      <c r="N143" s="188">
        <f t="shared" si="17"/>
        <v>0</v>
      </c>
    </row>
    <row r="144" spans="2:14" x14ac:dyDescent="0.25">
      <c r="B144" s="34">
        <f t="shared" si="13"/>
        <v>90</v>
      </c>
      <c r="C144" s="184"/>
      <c r="D144" s="185"/>
      <c r="E144" s="308"/>
      <c r="F144" s="310"/>
      <c r="G144" s="188">
        <f>'GEN.AD - PAY'!I110/31</f>
        <v>0</v>
      </c>
      <c r="H144" s="313"/>
      <c r="I144" s="188">
        <f t="shared" si="14"/>
        <v>0</v>
      </c>
      <c r="J144" s="313"/>
      <c r="K144" s="188">
        <f t="shared" si="15"/>
        <v>0</v>
      </c>
      <c r="L144" s="313"/>
      <c r="M144" s="188">
        <f t="shared" si="16"/>
        <v>0</v>
      </c>
      <c r="N144" s="188">
        <f t="shared" si="17"/>
        <v>0</v>
      </c>
    </row>
    <row r="145" spans="2:14" x14ac:dyDescent="0.25">
      <c r="B145" s="34">
        <f t="shared" si="13"/>
        <v>91</v>
      </c>
      <c r="C145" s="184"/>
      <c r="D145" s="185"/>
      <c r="E145" s="308"/>
      <c r="F145" s="310"/>
      <c r="G145" s="188">
        <f>'GEN.AD - PAY'!I111/31</f>
        <v>0</v>
      </c>
      <c r="H145" s="313"/>
      <c r="I145" s="188">
        <f t="shared" si="14"/>
        <v>0</v>
      </c>
      <c r="J145" s="313"/>
      <c r="K145" s="188">
        <f t="shared" si="15"/>
        <v>0</v>
      </c>
      <c r="L145" s="313"/>
      <c r="M145" s="188">
        <f t="shared" si="16"/>
        <v>0</v>
      </c>
      <c r="N145" s="188">
        <f t="shared" si="17"/>
        <v>0</v>
      </c>
    </row>
    <row r="146" spans="2:14" x14ac:dyDescent="0.25">
      <c r="B146" s="34">
        <f t="shared" si="13"/>
        <v>92</v>
      </c>
      <c r="C146" s="184"/>
      <c r="D146" s="185"/>
      <c r="E146" s="308"/>
      <c r="F146" s="310"/>
      <c r="G146" s="188">
        <f>'GEN.AD - PAY'!I112/31</f>
        <v>0</v>
      </c>
      <c r="H146" s="313"/>
      <c r="I146" s="188">
        <f t="shared" si="14"/>
        <v>0</v>
      </c>
      <c r="J146" s="313"/>
      <c r="K146" s="188">
        <f t="shared" si="15"/>
        <v>0</v>
      </c>
      <c r="L146" s="313"/>
      <c r="M146" s="188">
        <f t="shared" si="16"/>
        <v>0</v>
      </c>
      <c r="N146" s="188">
        <f t="shared" si="17"/>
        <v>0</v>
      </c>
    </row>
    <row r="147" spans="2:14" x14ac:dyDescent="0.25">
      <c r="B147" s="34">
        <f t="shared" si="13"/>
        <v>93</v>
      </c>
      <c r="C147" s="184"/>
      <c r="D147" s="185"/>
      <c r="E147" s="308"/>
      <c r="F147" s="310"/>
      <c r="G147" s="188">
        <f>'GEN.AD - PAY'!I113/31</f>
        <v>0</v>
      </c>
      <c r="H147" s="313"/>
      <c r="I147" s="188">
        <f t="shared" si="14"/>
        <v>0</v>
      </c>
      <c r="J147" s="313"/>
      <c r="K147" s="188">
        <f t="shared" si="15"/>
        <v>0</v>
      </c>
      <c r="L147" s="313"/>
      <c r="M147" s="188">
        <f t="shared" si="16"/>
        <v>0</v>
      </c>
      <c r="N147" s="188">
        <f t="shared" si="17"/>
        <v>0</v>
      </c>
    </row>
    <row r="148" spans="2:14" x14ac:dyDescent="0.25">
      <c r="B148" s="34">
        <f>+B100+1</f>
        <v>94</v>
      </c>
      <c r="C148" s="184"/>
      <c r="D148" s="185"/>
      <c r="E148" s="308"/>
      <c r="F148" s="310"/>
      <c r="G148" s="188">
        <f>'GEN.AD - PAY'!I161/31</f>
        <v>0</v>
      </c>
      <c r="H148" s="313"/>
      <c r="I148" s="188">
        <f t="shared" si="9"/>
        <v>0</v>
      </c>
      <c r="J148" s="313"/>
      <c r="K148" s="188">
        <f t="shared" si="10"/>
        <v>0</v>
      </c>
      <c r="L148" s="313"/>
      <c r="M148" s="188">
        <f t="shared" si="11"/>
        <v>0</v>
      </c>
      <c r="N148" s="188">
        <f t="shared" si="12"/>
        <v>0</v>
      </c>
    </row>
    <row r="149" spans="2:14" ht="16.5" thickBot="1" x14ac:dyDescent="0.3">
      <c r="B149" s="180"/>
      <c r="C149" s="183"/>
      <c r="D149" s="29"/>
      <c r="E149" s="307"/>
      <c r="F149" s="373">
        <f>SUM(F8:F148)</f>
        <v>0</v>
      </c>
      <c r="G149" s="373"/>
      <c r="H149" s="374"/>
      <c r="I149" s="375">
        <f>SUM(I8:I148)</f>
        <v>0</v>
      </c>
      <c r="J149" s="374"/>
      <c r="K149" s="375">
        <f>SUM(K8:K148)</f>
        <v>0</v>
      </c>
      <c r="L149" s="374"/>
      <c r="M149" s="375">
        <f>SUM(M8:M148)</f>
        <v>0</v>
      </c>
      <c r="N149" s="376">
        <f>SUM(N8:N148)</f>
        <v>0</v>
      </c>
    </row>
    <row r="150" spans="2:14" x14ac:dyDescent="0.25">
      <c r="F150" s="75">
        <f>F149-'GEN.AD - PAY'!L163</f>
        <v>0</v>
      </c>
      <c r="G150" s="75"/>
      <c r="N150" s="318">
        <f>N149-'GEN.AD - PAY'!J163</f>
        <v>0</v>
      </c>
    </row>
  </sheetData>
  <mergeCells count="9">
    <mergeCell ref="G4:G6"/>
    <mergeCell ref="B2:N2"/>
    <mergeCell ref="B3:N3"/>
    <mergeCell ref="E4:E6"/>
    <mergeCell ref="H4:N5"/>
    <mergeCell ref="B4:B6"/>
    <mergeCell ref="C4:C6"/>
    <mergeCell ref="D4:D6"/>
    <mergeCell ref="F4:F6"/>
  </mergeCells>
  <pageMargins left="0.7" right="0.7" top="0.75" bottom="0.75" header="0.3" footer="0.3"/>
  <pageSetup paperSize="9" scale="32" fitToHeight="0" orientation="portrait" horizontalDpi="0" verticalDpi="0" copies="1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00B050"/>
    <pageSetUpPr fitToPage="1"/>
  </sheetPr>
  <dimension ref="A1:Z182"/>
  <sheetViews>
    <sheetView showWhiteSpace="0" topLeftCell="A10" zoomScaleNormal="100" zoomScaleSheetLayoutView="100" workbookViewId="0">
      <selection activeCell="H25" sqref="H25"/>
    </sheetView>
  </sheetViews>
  <sheetFormatPr defaultRowHeight="30.75" x14ac:dyDescent="0.25"/>
  <cols>
    <col min="1" max="1" width="9.375" style="31" customWidth="1"/>
    <col min="2" max="2" width="6.75" style="4" customWidth="1"/>
    <col min="3" max="3" width="24.625" style="4" customWidth="1"/>
    <col min="4" max="4" width="12.875" style="4" customWidth="1"/>
    <col min="5" max="5" width="9.625" style="57" customWidth="1"/>
    <col min="6" max="6" width="13.375" style="4" customWidth="1"/>
    <col min="7" max="7" width="8.5" style="4" customWidth="1"/>
    <col min="8" max="8" width="9.75" style="4" customWidth="1"/>
    <col min="9" max="9" width="13.75" style="4" customWidth="1"/>
    <col min="10" max="10" width="11.125" style="4" customWidth="1"/>
    <col min="11" max="11" width="13.125" style="4" customWidth="1"/>
    <col min="12" max="12" width="11.375" style="4" bestFit="1" customWidth="1"/>
    <col min="13" max="13" width="11.5" style="4" customWidth="1"/>
    <col min="14" max="14" width="10.375" style="4" customWidth="1"/>
    <col min="15" max="15" width="11" style="4" bestFit="1" customWidth="1"/>
    <col min="16" max="16" width="11.875" style="4" customWidth="1"/>
    <col min="17" max="17" width="15.125" style="4" bestFit="1" customWidth="1"/>
    <col min="18" max="18" width="13.125" style="4" customWidth="1"/>
    <col min="19" max="19" width="12.75" style="4" customWidth="1"/>
    <col min="20" max="20" width="12.875" style="4" bestFit="1" customWidth="1"/>
    <col min="21" max="21" width="3.75" style="57" customWidth="1"/>
    <col min="22" max="22" width="14.25" style="4" customWidth="1"/>
    <col min="23" max="23" width="10.625" style="4" customWidth="1"/>
    <col min="24" max="24" width="11.625" style="4" bestFit="1" customWidth="1"/>
    <col min="25" max="25" width="11" style="4" bestFit="1" customWidth="1"/>
    <col min="26" max="26" width="5.625" style="4" customWidth="1"/>
    <col min="27" max="16384" width="9" style="4"/>
  </cols>
  <sheetData>
    <row r="1" spans="1:25" ht="23.25" customHeight="1" x14ac:dyDescent="0.25">
      <c r="A1" s="98">
        <v>94</v>
      </c>
      <c r="Q1" s="5"/>
      <c r="R1" s="5"/>
      <c r="S1" s="5"/>
      <c r="T1" s="5"/>
      <c r="U1" s="52"/>
      <c r="V1" s="3"/>
      <c r="W1" s="3"/>
    </row>
    <row r="2" spans="1:25" ht="23.25" x14ac:dyDescent="0.25">
      <c r="A2" s="98"/>
      <c r="Q2" s="5"/>
      <c r="R2" s="5"/>
      <c r="S2" s="5"/>
      <c r="T2" s="5"/>
      <c r="U2" s="53"/>
      <c r="V2" s="2"/>
      <c r="W2" s="2"/>
      <c r="X2" s="864" t="s">
        <v>40</v>
      </c>
      <c r="Y2" s="864"/>
    </row>
    <row r="3" spans="1:25" ht="15.75" customHeight="1" x14ac:dyDescent="0.25">
      <c r="A3" s="98"/>
      <c r="B3" s="877" t="s">
        <v>42</v>
      </c>
      <c r="C3" s="877"/>
      <c r="D3" s="877"/>
      <c r="E3" s="877"/>
      <c r="F3" s="877"/>
      <c r="G3" s="877"/>
      <c r="H3" s="877"/>
      <c r="I3" s="877"/>
      <c r="J3" s="877"/>
      <c r="K3" s="877"/>
      <c r="L3" s="877"/>
      <c r="M3" s="877"/>
      <c r="N3" s="877"/>
      <c r="O3" s="877"/>
      <c r="P3" s="877"/>
      <c r="Q3" s="877"/>
      <c r="R3" s="877"/>
      <c r="S3" s="877"/>
      <c r="T3" s="877"/>
      <c r="U3" s="877"/>
      <c r="V3" s="877"/>
      <c r="W3" s="877"/>
      <c r="X3" s="877"/>
      <c r="Y3" s="877"/>
    </row>
    <row r="4" spans="1:25" ht="15.75" customHeight="1" x14ac:dyDescent="0.25">
      <c r="A4" s="98"/>
      <c r="B4" s="878" t="s">
        <v>43</v>
      </c>
      <c r="C4" s="878"/>
      <c r="D4" s="878"/>
      <c r="E4" s="878"/>
      <c r="F4" s="878"/>
      <c r="G4" s="878"/>
      <c r="H4" s="878"/>
      <c r="I4" s="878"/>
      <c r="J4" s="878"/>
      <c r="K4" s="878"/>
      <c r="L4" s="878"/>
      <c r="M4" s="878"/>
      <c r="N4" s="878"/>
      <c r="O4" s="878"/>
      <c r="P4" s="878"/>
      <c r="Q4" s="878"/>
      <c r="R4" s="878"/>
      <c r="S4" s="878"/>
      <c r="T4" s="878"/>
      <c r="U4" s="878"/>
      <c r="V4" s="878"/>
      <c r="W4" s="878"/>
      <c r="X4" s="878"/>
      <c r="Y4" s="878"/>
    </row>
    <row r="5" spans="1:25" ht="15.75" customHeight="1" x14ac:dyDescent="0.25">
      <c r="A5" s="98"/>
      <c r="B5" s="878" t="s">
        <v>44</v>
      </c>
      <c r="C5" s="878"/>
      <c r="D5" s="878"/>
      <c r="E5" s="878"/>
      <c r="F5" s="878"/>
      <c r="G5" s="878"/>
      <c r="H5" s="878"/>
      <c r="I5" s="878"/>
      <c r="J5" s="878"/>
      <c r="K5" s="878"/>
      <c r="L5" s="878"/>
      <c r="M5" s="878"/>
      <c r="N5" s="878"/>
      <c r="O5" s="878"/>
      <c r="P5" s="878"/>
      <c r="Q5" s="878"/>
      <c r="R5" s="878"/>
      <c r="S5" s="878"/>
      <c r="T5" s="878"/>
      <c r="U5" s="878"/>
      <c r="V5" s="878"/>
      <c r="W5" s="878"/>
      <c r="X5" s="878"/>
      <c r="Y5" s="878"/>
    </row>
    <row r="6" spans="1:25" ht="15.75" customHeight="1" x14ac:dyDescent="0.25">
      <c r="A6" s="98"/>
      <c r="B6" s="877" t="s">
        <v>45</v>
      </c>
      <c r="C6" s="877"/>
      <c r="D6" s="877"/>
      <c r="E6" s="877"/>
      <c r="F6" s="877"/>
      <c r="G6" s="877"/>
      <c r="H6" s="877"/>
      <c r="I6" s="877"/>
      <c r="J6" s="877"/>
      <c r="K6" s="877"/>
      <c r="L6" s="877"/>
      <c r="M6" s="877"/>
      <c r="N6" s="877"/>
      <c r="O6" s="877"/>
      <c r="P6" s="877"/>
      <c r="Q6" s="877"/>
      <c r="R6" s="877"/>
      <c r="S6" s="877"/>
      <c r="T6" s="877"/>
      <c r="U6" s="877"/>
      <c r="V6" s="877"/>
      <c r="W6" s="877"/>
      <c r="X6" s="877"/>
      <c r="Y6" s="877"/>
    </row>
    <row r="7" spans="1:25" ht="15.75" customHeight="1" x14ac:dyDescent="0.25">
      <c r="A7" s="98"/>
      <c r="Q7" s="2"/>
      <c r="R7" s="2"/>
      <c r="S7" s="2"/>
      <c r="T7" s="2"/>
      <c r="U7" s="53"/>
      <c r="V7" s="2"/>
      <c r="W7" s="2"/>
      <c r="X7" s="2"/>
      <c r="Y7" s="2"/>
    </row>
    <row r="8" spans="1:25" ht="22.5" x14ac:dyDescent="0.25">
      <c r="A8" s="98"/>
      <c r="B8" s="882" t="s">
        <v>13</v>
      </c>
      <c r="C8" s="882"/>
      <c r="D8" s="882"/>
      <c r="E8" s="882"/>
      <c r="F8" s="882"/>
      <c r="G8" s="882"/>
      <c r="H8" s="882"/>
      <c r="I8" s="882"/>
      <c r="J8" s="882"/>
      <c r="K8" s="882"/>
      <c r="L8" s="882"/>
      <c r="M8" s="882"/>
      <c r="N8" s="882"/>
      <c r="O8" s="882"/>
      <c r="P8" s="882"/>
      <c r="Q8" s="882"/>
      <c r="R8" s="882"/>
      <c r="S8" s="882"/>
      <c r="T8" s="882"/>
      <c r="U8" s="882"/>
      <c r="V8" s="882"/>
      <c r="W8" s="882"/>
      <c r="X8" s="882"/>
      <c r="Y8" s="882"/>
    </row>
    <row r="9" spans="1:25" ht="20.25" x14ac:dyDescent="0.25">
      <c r="A9" s="98"/>
      <c r="B9" s="867" t="s">
        <v>46</v>
      </c>
      <c r="C9" s="867"/>
      <c r="D9" s="867"/>
      <c r="E9" s="867"/>
      <c r="F9" s="867"/>
      <c r="G9" s="867"/>
      <c r="H9" s="867"/>
      <c r="I9" s="867"/>
      <c r="J9" s="867"/>
      <c r="K9" s="867"/>
      <c r="L9" s="867"/>
      <c r="M9" s="867"/>
      <c r="N9" s="867"/>
      <c r="O9" s="867"/>
      <c r="P9" s="867"/>
      <c r="Q9" s="867"/>
      <c r="R9" s="867"/>
      <c r="S9" s="867"/>
      <c r="T9" s="867"/>
      <c r="U9" s="867"/>
      <c r="V9" s="867"/>
      <c r="W9" s="867"/>
      <c r="X9" s="867"/>
      <c r="Y9" s="867"/>
    </row>
    <row r="10" spans="1:25" ht="20.25" x14ac:dyDescent="0.25">
      <c r="A10" s="98"/>
      <c r="B10" s="879" t="s">
        <v>41</v>
      </c>
      <c r="C10" s="879"/>
      <c r="D10" s="879"/>
      <c r="E10" s="879"/>
      <c r="F10" s="879"/>
      <c r="G10" s="879"/>
      <c r="H10" s="879"/>
      <c r="I10" s="879"/>
      <c r="J10" s="879"/>
      <c r="K10" s="879"/>
      <c r="L10" s="879"/>
      <c r="M10" s="879"/>
      <c r="N10" s="879"/>
      <c r="O10" s="879"/>
      <c r="P10" s="879"/>
      <c r="Q10" s="879"/>
      <c r="R10" s="879"/>
      <c r="S10" s="879"/>
      <c r="T10" s="879"/>
      <c r="U10" s="879"/>
      <c r="V10" s="879"/>
      <c r="W10" s="879"/>
      <c r="X10" s="879"/>
      <c r="Y10" s="879"/>
    </row>
    <row r="11" spans="1:25" ht="20.25" x14ac:dyDescent="0.25">
      <c r="A11" s="98"/>
      <c r="B11" s="879" t="s">
        <v>138</v>
      </c>
      <c r="C11" s="879"/>
      <c r="D11" s="879"/>
      <c r="E11" s="879"/>
      <c r="F11" s="879"/>
      <c r="G11" s="879"/>
      <c r="H11" s="879"/>
      <c r="I11" s="879"/>
      <c r="J11" s="879"/>
      <c r="K11" s="879"/>
      <c r="L11" s="879"/>
      <c r="M11" s="879"/>
      <c r="N11" s="879"/>
      <c r="O11" s="879"/>
      <c r="P11" s="879"/>
      <c r="Q11" s="879"/>
      <c r="R11" s="879"/>
      <c r="S11" s="879"/>
      <c r="T11" s="879"/>
      <c r="U11" s="879"/>
      <c r="V11" s="879"/>
      <c r="W11" s="879"/>
      <c r="X11" s="879"/>
      <c r="Y11" s="879"/>
    </row>
    <row r="12" spans="1:25" ht="15.75" x14ac:dyDescent="0.25">
      <c r="A12" s="98"/>
      <c r="B12" s="9"/>
      <c r="C12" s="6"/>
      <c r="D12" s="866" t="s">
        <v>106</v>
      </c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</row>
    <row r="13" spans="1:25" s="8" customFormat="1" ht="24.95" customHeight="1" x14ac:dyDescent="0.25">
      <c r="A13" s="98"/>
      <c r="B13" s="865" t="s">
        <v>88</v>
      </c>
      <c r="C13" s="865"/>
      <c r="D13" s="867"/>
      <c r="E13" s="178"/>
      <c r="F13" s="169"/>
      <c r="G13" s="169"/>
      <c r="H13" s="169"/>
      <c r="I13" s="169"/>
      <c r="J13" s="169"/>
      <c r="K13" s="169"/>
      <c r="L13" s="169"/>
      <c r="M13" s="169"/>
      <c r="N13" s="169"/>
      <c r="O13" s="169"/>
      <c r="P13" s="169"/>
      <c r="Q13" s="9"/>
      <c r="R13" s="9"/>
      <c r="S13" s="9"/>
      <c r="T13" s="9"/>
      <c r="U13" s="169" t="s">
        <v>103</v>
      </c>
      <c r="V13" s="169"/>
      <c r="W13" s="832" t="str">
        <f>SUMMARY!B8</f>
        <v>2026-01-014</v>
      </c>
      <c r="X13" s="832"/>
      <c r="Y13" s="832"/>
    </row>
    <row r="14" spans="1:25" s="8" customFormat="1" ht="24.95" customHeight="1" x14ac:dyDescent="0.25">
      <c r="A14" s="98"/>
      <c r="B14" s="9"/>
      <c r="C14" s="9"/>
      <c r="D14" s="867"/>
      <c r="E14" s="6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169"/>
      <c r="V14" s="169"/>
      <c r="W14" s="9"/>
      <c r="X14" s="9"/>
      <c r="Y14" s="9"/>
    </row>
    <row r="15" spans="1:25" s="8" customFormat="1" ht="15.75" customHeight="1" x14ac:dyDescent="0.25">
      <c r="A15" s="98"/>
      <c r="B15" s="872" t="s">
        <v>0</v>
      </c>
      <c r="C15" s="872"/>
      <c r="D15" s="872"/>
      <c r="E15" s="872"/>
      <c r="F15" s="872"/>
      <c r="G15" s="872"/>
      <c r="H15" s="872"/>
      <c r="I15" s="872"/>
      <c r="J15" s="872"/>
      <c r="K15" s="872"/>
      <c r="L15" s="872"/>
      <c r="M15" s="872"/>
      <c r="N15" s="872"/>
      <c r="O15" s="872"/>
      <c r="P15" s="872"/>
      <c r="Q15" s="872"/>
      <c r="R15" s="872"/>
      <c r="S15" s="872"/>
      <c r="T15" s="872"/>
      <c r="U15" s="872"/>
      <c r="V15" s="872"/>
      <c r="W15" s="872"/>
      <c r="X15" s="872"/>
      <c r="Y15" s="872"/>
    </row>
    <row r="16" spans="1:25" ht="9" customHeight="1" thickBot="1" x14ac:dyDescent="0.3">
      <c r="A16" s="98"/>
      <c r="B16" s="9"/>
      <c r="C16" s="10"/>
      <c r="D16" s="10"/>
      <c r="E16" s="54"/>
      <c r="F16" s="10"/>
      <c r="G16" s="10"/>
      <c r="H16" s="10"/>
      <c r="I16" s="10"/>
      <c r="J16" s="9"/>
      <c r="K16" s="9"/>
      <c r="L16" s="9"/>
      <c r="M16" s="9"/>
      <c r="N16" s="9"/>
      <c r="O16" s="9"/>
      <c r="P16" s="9"/>
      <c r="Q16" s="10"/>
      <c r="R16" s="10"/>
      <c r="S16" s="10"/>
      <c r="T16" s="10"/>
      <c r="U16" s="54"/>
      <c r="V16" s="10"/>
      <c r="W16" s="10"/>
      <c r="X16" s="10"/>
      <c r="Y16" s="10"/>
    </row>
    <row r="17" spans="1:26" ht="16.5" customHeight="1" thickBot="1" x14ac:dyDescent="0.3">
      <c r="A17" s="98"/>
      <c r="B17" s="802" t="s">
        <v>6</v>
      </c>
      <c r="C17" s="777" t="s">
        <v>1</v>
      </c>
      <c r="D17" s="777" t="s">
        <v>2</v>
      </c>
      <c r="E17" s="802" t="s">
        <v>14</v>
      </c>
      <c r="F17" s="841" t="s">
        <v>4</v>
      </c>
      <c r="G17" s="833"/>
      <c r="H17" s="833"/>
      <c r="I17" s="833"/>
      <c r="J17" s="833"/>
      <c r="K17" s="834"/>
      <c r="L17" s="833" t="s">
        <v>3</v>
      </c>
      <c r="M17" s="833"/>
      <c r="N17" s="833"/>
      <c r="O17" s="833"/>
      <c r="P17" s="833"/>
      <c r="Q17" s="834"/>
      <c r="R17" s="802" t="s">
        <v>16</v>
      </c>
      <c r="S17" s="856" t="s">
        <v>51</v>
      </c>
      <c r="T17" s="861" t="s">
        <v>52</v>
      </c>
      <c r="U17" s="777" t="s">
        <v>59</v>
      </c>
      <c r="V17" s="841" t="s">
        <v>60</v>
      </c>
      <c r="W17" s="833"/>
      <c r="X17" s="833"/>
      <c r="Y17" s="834"/>
      <c r="Z17" s="11"/>
    </row>
    <row r="18" spans="1:26" ht="19.5" customHeight="1" x14ac:dyDescent="0.25">
      <c r="A18" s="98"/>
      <c r="B18" s="803"/>
      <c r="C18" s="778"/>
      <c r="D18" s="778"/>
      <c r="E18" s="803"/>
      <c r="F18" s="844" t="s">
        <v>48</v>
      </c>
      <c r="G18" s="887" t="s">
        <v>50</v>
      </c>
      <c r="H18" s="892" t="s">
        <v>49</v>
      </c>
      <c r="I18" s="859" t="s">
        <v>5</v>
      </c>
      <c r="J18" s="859" t="s">
        <v>53</v>
      </c>
      <c r="K18" s="848" t="s">
        <v>137</v>
      </c>
      <c r="L18" s="873" t="s">
        <v>54</v>
      </c>
      <c r="M18" s="859" t="s">
        <v>55</v>
      </c>
      <c r="N18" s="859" t="s">
        <v>56</v>
      </c>
      <c r="O18" s="890" t="s">
        <v>57</v>
      </c>
      <c r="P18" s="859" t="s">
        <v>58</v>
      </c>
      <c r="Q18" s="846" t="s">
        <v>17</v>
      </c>
      <c r="R18" s="803"/>
      <c r="S18" s="857"/>
      <c r="T18" s="862"/>
      <c r="U18" s="778"/>
      <c r="V18" s="850" t="s">
        <v>61</v>
      </c>
      <c r="W18" s="852" t="s">
        <v>62</v>
      </c>
      <c r="X18" s="883" t="s">
        <v>57</v>
      </c>
      <c r="Y18" s="885" t="s">
        <v>63</v>
      </c>
      <c r="Z18" s="11"/>
    </row>
    <row r="19" spans="1:26" ht="26.25" customHeight="1" thickBot="1" x14ac:dyDescent="0.3">
      <c r="A19" s="98"/>
      <c r="B19" s="803"/>
      <c r="C19" s="778"/>
      <c r="D19" s="778"/>
      <c r="E19" s="803"/>
      <c r="F19" s="845"/>
      <c r="G19" s="888"/>
      <c r="H19" s="893"/>
      <c r="I19" s="860"/>
      <c r="J19" s="860"/>
      <c r="K19" s="849"/>
      <c r="L19" s="874"/>
      <c r="M19" s="860"/>
      <c r="N19" s="860"/>
      <c r="O19" s="891"/>
      <c r="P19" s="860"/>
      <c r="Q19" s="847"/>
      <c r="R19" s="804"/>
      <c r="S19" s="858"/>
      <c r="T19" s="863"/>
      <c r="U19" s="778"/>
      <c r="V19" s="851"/>
      <c r="W19" s="853"/>
      <c r="X19" s="884"/>
      <c r="Y19" s="886"/>
      <c r="Z19" s="11"/>
    </row>
    <row r="20" spans="1:26" ht="18.75" customHeight="1" x14ac:dyDescent="0.25">
      <c r="A20" s="98"/>
      <c r="B20" s="12"/>
      <c r="C20" s="12"/>
      <c r="D20" s="12"/>
      <c r="E20" s="55"/>
      <c r="F20" s="84"/>
      <c r="G20" s="85"/>
      <c r="H20" s="85"/>
      <c r="I20" s="13"/>
      <c r="J20" s="13"/>
      <c r="K20" s="210"/>
      <c r="L20" s="39"/>
      <c r="M20" s="13"/>
      <c r="N20" s="13"/>
      <c r="O20" s="13"/>
      <c r="P20" s="13"/>
      <c r="Q20" s="14"/>
      <c r="R20" s="12"/>
      <c r="S20" s="48"/>
      <c r="T20" s="43"/>
      <c r="U20" s="55"/>
      <c r="V20" s="46"/>
      <c r="W20" s="47"/>
      <c r="X20" s="47"/>
      <c r="Y20" s="43"/>
    </row>
    <row r="21" spans="1:26" ht="18.75" customHeight="1" x14ac:dyDescent="0.25">
      <c r="A21" s="98"/>
      <c r="B21" s="34">
        <v>1</v>
      </c>
      <c r="C21" s="72">
        <f>VLOOKUP(B21,'WTAX-GEN.AD'!B:N,2,0)</f>
        <v>0</v>
      </c>
      <c r="D21" s="72" t="e">
        <f>VLOOKUP(C21,'WTAX-GEN.AD'!C:O,2,0)</f>
        <v>#N/A</v>
      </c>
      <c r="E21" s="306">
        <f>VLOOKUP(B21,'WTAX-GEN.AD'!B:N,4,0)</f>
        <v>0</v>
      </c>
      <c r="F21" s="87"/>
      <c r="G21" s="88"/>
      <c r="H21" s="88"/>
      <c r="I21" s="37">
        <f>SUM(F21:H21)</f>
        <v>0</v>
      </c>
      <c r="J21" s="332">
        <f>'WTAX-GEN.AD'!N8</f>
        <v>0</v>
      </c>
      <c r="K21" s="211">
        <f>ROUND(I21-J21,2)</f>
        <v>0</v>
      </c>
      <c r="L21" s="40">
        <f>'WTAX-GEN.AD'!F8</f>
        <v>0</v>
      </c>
      <c r="M21" s="37">
        <f>'GEN.AD - DEDS'!R20</f>
        <v>0</v>
      </c>
      <c r="N21" s="37">
        <f>'GEN.AD - DEDS'!X20</f>
        <v>0</v>
      </c>
      <c r="O21" s="37">
        <f>'GEN.AD - DEDS'!Y20</f>
        <v>0</v>
      </c>
      <c r="P21" s="37">
        <f>'GEN.AD - DEDS'!AE20</f>
        <v>0</v>
      </c>
      <c r="Q21" s="38">
        <f>ROUND(SUM(L21:P21),2)</f>
        <v>0</v>
      </c>
      <c r="R21" s="49">
        <f>K21-Q21</f>
        <v>0</v>
      </c>
      <c r="S21" s="76">
        <f>ROUND(R21/2,0)</f>
        <v>0</v>
      </c>
      <c r="T21" s="77">
        <f>R21-S21</f>
        <v>0</v>
      </c>
      <c r="U21" s="221">
        <f>B21</f>
        <v>1</v>
      </c>
      <c r="V21" s="36">
        <f>ROUND('GEN.AD - PAY'!I21*0.12,2)</f>
        <v>0</v>
      </c>
      <c r="W21" s="37">
        <v>100</v>
      </c>
      <c r="X21" s="37">
        <f>MIN((I21*0.05)-'GEN.AD - DEDS'!Y20,2500)</f>
        <v>0</v>
      </c>
      <c r="Y21" s="35">
        <v>200</v>
      </c>
    </row>
    <row r="22" spans="1:26" ht="18.75" customHeight="1" x14ac:dyDescent="0.25">
      <c r="A22" s="98"/>
      <c r="B22" s="33">
        <f>+B21+1</f>
        <v>2</v>
      </c>
      <c r="C22" s="72">
        <f>VLOOKUP(B22,'WTAX-GEN.AD'!B:N,2,0)</f>
        <v>0</v>
      </c>
      <c r="D22" s="72" t="e">
        <f>VLOOKUP(C22,'WTAX-GEN.AD'!C:O,2,0)</f>
        <v>#N/A</v>
      </c>
      <c r="E22" s="306">
        <f>VLOOKUP(B22,'WTAX-GEN.AD'!B:N,4,0)</f>
        <v>0</v>
      </c>
      <c r="F22" s="86"/>
      <c r="G22" s="88"/>
      <c r="H22" s="88"/>
      <c r="I22" s="37">
        <f>SUM(F22:H22)</f>
        <v>0</v>
      </c>
      <c r="J22" s="332">
        <f>'WTAX-GEN.AD'!N9</f>
        <v>0</v>
      </c>
      <c r="K22" s="211">
        <f>ROUND(I22-J22,2)</f>
        <v>0</v>
      </c>
      <c r="L22" s="40">
        <f>'WTAX-GEN.AD'!F9</f>
        <v>0</v>
      </c>
      <c r="M22" s="37">
        <f>'GEN.AD - DEDS'!R21</f>
        <v>0</v>
      </c>
      <c r="N22" s="37">
        <f>'GEN.AD - DEDS'!X21</f>
        <v>0</v>
      </c>
      <c r="O22" s="37">
        <f>'GEN.AD - DEDS'!Y21</f>
        <v>0</v>
      </c>
      <c r="P22" s="37">
        <f>'GEN.AD - DEDS'!AE21</f>
        <v>0</v>
      </c>
      <c r="Q22" s="38">
        <f>ROUND(SUM(L22:P22),2)</f>
        <v>0</v>
      </c>
      <c r="R22" s="49">
        <f>K22-Q22</f>
        <v>0</v>
      </c>
      <c r="S22" s="76">
        <f>ROUND(R22/2,0)</f>
        <v>0</v>
      </c>
      <c r="T22" s="77">
        <f>R22-S22</f>
        <v>0</v>
      </c>
      <c r="U22" s="221">
        <f>B22</f>
        <v>2</v>
      </c>
      <c r="V22" s="36">
        <f>ROUND('GEN.AD - PAY'!I22*0.12,2)</f>
        <v>0</v>
      </c>
      <c r="W22" s="37">
        <v>100</v>
      </c>
      <c r="X22" s="37">
        <f>MIN((I22*0.05)-'GEN.AD - DEDS'!Y21,2500)</f>
        <v>0</v>
      </c>
      <c r="Y22" s="35">
        <v>200</v>
      </c>
    </row>
    <row r="23" spans="1:26" ht="18.75" customHeight="1" x14ac:dyDescent="0.25">
      <c r="A23" s="98"/>
      <c r="B23" s="33">
        <f t="shared" ref="B23:B31" si="0">+B22+1</f>
        <v>3</v>
      </c>
      <c r="C23" s="72">
        <f>VLOOKUP(B23,'WTAX-GEN.AD'!B:N,2,0)</f>
        <v>0</v>
      </c>
      <c r="D23" s="72" t="e">
        <f>VLOOKUP(C23,'WTAX-GEN.AD'!C:O,2,0)</f>
        <v>#N/A</v>
      </c>
      <c r="E23" s="306">
        <f>VLOOKUP(B23,'WTAX-GEN.AD'!B:N,4,0)</f>
        <v>0</v>
      </c>
      <c r="F23" s="86"/>
      <c r="G23" s="88"/>
      <c r="H23" s="88"/>
      <c r="I23" s="37">
        <f t="shared" ref="I23:I86" si="1">SUM(F23:H23)</f>
        <v>0</v>
      </c>
      <c r="J23" s="332">
        <f>'WTAX-GEN.AD'!N10</f>
        <v>0</v>
      </c>
      <c r="K23" s="211">
        <f t="shared" ref="K23:K86" si="2">ROUND(I23-J23,2)</f>
        <v>0</v>
      </c>
      <c r="L23" s="40">
        <f>'WTAX-GEN.AD'!F10</f>
        <v>0</v>
      </c>
      <c r="M23" s="37">
        <f>'GEN.AD - DEDS'!R22</f>
        <v>0</v>
      </c>
      <c r="N23" s="37">
        <f>'GEN.AD - DEDS'!X22</f>
        <v>0</v>
      </c>
      <c r="O23" s="37">
        <f>'GEN.AD - DEDS'!Y22</f>
        <v>0</v>
      </c>
      <c r="P23" s="37">
        <f>'GEN.AD - DEDS'!AE22</f>
        <v>0</v>
      </c>
      <c r="Q23" s="38">
        <f t="shared" ref="Q23:Q86" si="3">ROUND(SUM(L23:P23),2)</f>
        <v>0</v>
      </c>
      <c r="R23" s="49">
        <f t="shared" ref="R23:R86" si="4">K23-Q23</f>
        <v>0</v>
      </c>
      <c r="S23" s="76">
        <f t="shared" ref="S23:S86" si="5">ROUND(R23/2,0)</f>
        <v>0</v>
      </c>
      <c r="T23" s="77">
        <f t="shared" ref="T23:T86" si="6">R23-S23</f>
        <v>0</v>
      </c>
      <c r="U23" s="221">
        <f t="shared" ref="U23:U86" si="7">B23</f>
        <v>3</v>
      </c>
      <c r="V23" s="36">
        <f>ROUND('GEN.AD - PAY'!I23*0.12,2)</f>
        <v>0</v>
      </c>
      <c r="W23" s="37">
        <v>100</v>
      </c>
      <c r="X23" s="37">
        <f>MIN((I23*0.05)-'GEN.AD - DEDS'!Y22,2500)</f>
        <v>0</v>
      </c>
      <c r="Y23" s="35">
        <v>200</v>
      </c>
    </row>
    <row r="24" spans="1:26" ht="18.75" customHeight="1" x14ac:dyDescent="0.25">
      <c r="A24" s="98"/>
      <c r="B24" s="33">
        <f t="shared" si="0"/>
        <v>4</v>
      </c>
      <c r="C24" s="72">
        <f>VLOOKUP(B24,'WTAX-GEN.AD'!B:N,2,0)</f>
        <v>0</v>
      </c>
      <c r="D24" s="72" t="e">
        <f>VLOOKUP(C24,'WTAX-GEN.AD'!C:O,2,0)</f>
        <v>#N/A</v>
      </c>
      <c r="E24" s="306">
        <f>VLOOKUP(B24,'WTAX-GEN.AD'!B:N,4,0)</f>
        <v>0</v>
      </c>
      <c r="F24" s="86"/>
      <c r="G24" s="88"/>
      <c r="H24" s="88"/>
      <c r="I24" s="37">
        <f t="shared" si="1"/>
        <v>0</v>
      </c>
      <c r="J24" s="332">
        <f>'WTAX-GEN.AD'!N11</f>
        <v>0</v>
      </c>
      <c r="K24" s="211">
        <f t="shared" si="2"/>
        <v>0</v>
      </c>
      <c r="L24" s="40">
        <f>'WTAX-GEN.AD'!F11</f>
        <v>0</v>
      </c>
      <c r="M24" s="37">
        <f>'GEN.AD - DEDS'!R23</f>
        <v>0</v>
      </c>
      <c r="N24" s="37">
        <f>'GEN.AD - DEDS'!X23</f>
        <v>0</v>
      </c>
      <c r="O24" s="37">
        <f>'GEN.AD - DEDS'!Y23</f>
        <v>0</v>
      </c>
      <c r="P24" s="37">
        <f>'GEN.AD - DEDS'!AE23</f>
        <v>0</v>
      </c>
      <c r="Q24" s="38">
        <f t="shared" si="3"/>
        <v>0</v>
      </c>
      <c r="R24" s="49">
        <f t="shared" si="4"/>
        <v>0</v>
      </c>
      <c r="S24" s="76">
        <f t="shared" si="5"/>
        <v>0</v>
      </c>
      <c r="T24" s="77">
        <f t="shared" si="6"/>
        <v>0</v>
      </c>
      <c r="U24" s="221">
        <f t="shared" si="7"/>
        <v>4</v>
      </c>
      <c r="V24" s="36">
        <f>ROUND('GEN.AD - PAY'!I24*0.12,2)</f>
        <v>0</v>
      </c>
      <c r="W24" s="37">
        <v>100</v>
      </c>
      <c r="X24" s="37">
        <f>MIN((I24*0.05)-'GEN.AD - DEDS'!Y23,2500)</f>
        <v>0</v>
      </c>
      <c r="Y24" s="35">
        <v>200</v>
      </c>
    </row>
    <row r="25" spans="1:26" ht="18.75" customHeight="1" x14ac:dyDescent="0.25">
      <c r="A25" s="98"/>
      <c r="B25" s="33">
        <f t="shared" si="0"/>
        <v>5</v>
      </c>
      <c r="C25" s="72">
        <f>VLOOKUP(B25,'WTAX-GEN.AD'!B:N,2,0)</f>
        <v>0</v>
      </c>
      <c r="D25" s="72" t="e">
        <f>VLOOKUP(C25,'WTAX-GEN.AD'!C:O,2,0)</f>
        <v>#N/A</v>
      </c>
      <c r="E25" s="306">
        <f>VLOOKUP(B25,'WTAX-GEN.AD'!B:N,4,0)</f>
        <v>0</v>
      </c>
      <c r="F25" s="86"/>
      <c r="G25" s="88"/>
      <c r="H25" s="88"/>
      <c r="I25" s="37">
        <f t="shared" si="1"/>
        <v>0</v>
      </c>
      <c r="J25" s="332">
        <f>'WTAX-GEN.AD'!N12</f>
        <v>0</v>
      </c>
      <c r="K25" s="211">
        <f t="shared" si="2"/>
        <v>0</v>
      </c>
      <c r="L25" s="40">
        <f>'WTAX-GEN.AD'!F12</f>
        <v>0</v>
      </c>
      <c r="M25" s="37">
        <f>'GEN.AD - DEDS'!R24</f>
        <v>0</v>
      </c>
      <c r="N25" s="37">
        <f>'GEN.AD - DEDS'!X24</f>
        <v>0</v>
      </c>
      <c r="O25" s="37">
        <f>'GEN.AD - DEDS'!Y24</f>
        <v>0</v>
      </c>
      <c r="P25" s="37">
        <f>'GEN.AD - DEDS'!AE24</f>
        <v>0</v>
      </c>
      <c r="Q25" s="38">
        <f t="shared" si="3"/>
        <v>0</v>
      </c>
      <c r="R25" s="49">
        <f t="shared" si="4"/>
        <v>0</v>
      </c>
      <c r="S25" s="76">
        <f t="shared" si="5"/>
        <v>0</v>
      </c>
      <c r="T25" s="77">
        <f t="shared" si="6"/>
        <v>0</v>
      </c>
      <c r="U25" s="221">
        <f t="shared" si="7"/>
        <v>5</v>
      </c>
      <c r="V25" s="36">
        <f>ROUND('GEN.AD - PAY'!I25*0.12,2)</f>
        <v>0</v>
      </c>
      <c r="W25" s="37">
        <v>100</v>
      </c>
      <c r="X25" s="37">
        <f>MIN((I25*0.05)-'GEN.AD - DEDS'!Y24,2500)</f>
        <v>0</v>
      </c>
      <c r="Y25" s="35">
        <v>200</v>
      </c>
    </row>
    <row r="26" spans="1:26" ht="18.75" customHeight="1" x14ac:dyDescent="0.25">
      <c r="A26" s="98"/>
      <c r="B26" s="33">
        <f t="shared" si="0"/>
        <v>6</v>
      </c>
      <c r="C26" s="72">
        <f>VLOOKUP(B26,'WTAX-GEN.AD'!B:N,2,0)</f>
        <v>0</v>
      </c>
      <c r="D26" s="72" t="e">
        <f>VLOOKUP(C26,'WTAX-GEN.AD'!C:O,2,0)</f>
        <v>#N/A</v>
      </c>
      <c r="E26" s="306">
        <f>VLOOKUP(B26,'WTAX-GEN.AD'!B:N,4,0)</f>
        <v>0</v>
      </c>
      <c r="F26" s="86"/>
      <c r="G26" s="88"/>
      <c r="H26" s="88"/>
      <c r="I26" s="37">
        <f t="shared" si="1"/>
        <v>0</v>
      </c>
      <c r="J26" s="332">
        <f>'WTAX-GEN.AD'!N13</f>
        <v>0</v>
      </c>
      <c r="K26" s="211">
        <f t="shared" si="2"/>
        <v>0</v>
      </c>
      <c r="L26" s="40">
        <f>'WTAX-GEN.AD'!F13</f>
        <v>0</v>
      </c>
      <c r="M26" s="37">
        <f>'GEN.AD - DEDS'!R25</f>
        <v>0</v>
      </c>
      <c r="N26" s="37">
        <f>'GEN.AD - DEDS'!X25</f>
        <v>0</v>
      </c>
      <c r="O26" s="37">
        <f>'GEN.AD - DEDS'!Y25</f>
        <v>0</v>
      </c>
      <c r="P26" s="37">
        <f>'GEN.AD - DEDS'!AE25</f>
        <v>0</v>
      </c>
      <c r="Q26" s="38">
        <f t="shared" si="3"/>
        <v>0</v>
      </c>
      <c r="R26" s="49">
        <f t="shared" si="4"/>
        <v>0</v>
      </c>
      <c r="S26" s="76">
        <f t="shared" si="5"/>
        <v>0</v>
      </c>
      <c r="T26" s="77">
        <f t="shared" si="6"/>
        <v>0</v>
      </c>
      <c r="U26" s="221">
        <f t="shared" si="7"/>
        <v>6</v>
      </c>
      <c r="V26" s="36">
        <f>ROUND('GEN.AD - PAY'!I26*0.12,2)</f>
        <v>0</v>
      </c>
      <c r="W26" s="37">
        <v>100</v>
      </c>
      <c r="X26" s="37">
        <f>MIN((I26*0.05)-'GEN.AD - DEDS'!Y25,2500)</f>
        <v>0</v>
      </c>
      <c r="Y26" s="35">
        <v>200</v>
      </c>
    </row>
    <row r="27" spans="1:26" ht="18.75" customHeight="1" x14ac:dyDescent="0.25">
      <c r="A27" s="98"/>
      <c r="B27" s="33">
        <f t="shared" si="0"/>
        <v>7</v>
      </c>
      <c r="C27" s="72">
        <f>VLOOKUP(B27,'WTAX-GEN.AD'!B:N,2,0)</f>
        <v>0</v>
      </c>
      <c r="D27" s="72" t="e">
        <f>VLOOKUP(C27,'WTAX-GEN.AD'!C:O,2,0)</f>
        <v>#N/A</v>
      </c>
      <c r="E27" s="306">
        <f>VLOOKUP(B27,'WTAX-GEN.AD'!B:N,4,0)</f>
        <v>0</v>
      </c>
      <c r="F27" s="86"/>
      <c r="G27" s="88"/>
      <c r="H27" s="88"/>
      <c r="I27" s="37">
        <f t="shared" si="1"/>
        <v>0</v>
      </c>
      <c r="J27" s="332">
        <f>'WTAX-GEN.AD'!N14</f>
        <v>0</v>
      </c>
      <c r="K27" s="211">
        <f t="shared" si="2"/>
        <v>0</v>
      </c>
      <c r="L27" s="40">
        <f>'WTAX-GEN.AD'!F14</f>
        <v>0</v>
      </c>
      <c r="M27" s="37">
        <f>'GEN.AD - DEDS'!R26</f>
        <v>0</v>
      </c>
      <c r="N27" s="37">
        <f>'GEN.AD - DEDS'!X26</f>
        <v>0</v>
      </c>
      <c r="O27" s="37">
        <f>'GEN.AD - DEDS'!Y26</f>
        <v>0</v>
      </c>
      <c r="P27" s="37">
        <f>'GEN.AD - DEDS'!AE26</f>
        <v>0</v>
      </c>
      <c r="Q27" s="38">
        <f t="shared" si="3"/>
        <v>0</v>
      </c>
      <c r="R27" s="49">
        <f t="shared" si="4"/>
        <v>0</v>
      </c>
      <c r="S27" s="76">
        <f t="shared" si="5"/>
        <v>0</v>
      </c>
      <c r="T27" s="77">
        <f t="shared" si="6"/>
        <v>0</v>
      </c>
      <c r="U27" s="221">
        <f t="shared" si="7"/>
        <v>7</v>
      </c>
      <c r="V27" s="36">
        <f>ROUND('GEN.AD - PAY'!I27*0.12,2)</f>
        <v>0</v>
      </c>
      <c r="W27" s="37">
        <v>100</v>
      </c>
      <c r="X27" s="37">
        <f>MIN((I27*0.05)-'GEN.AD - DEDS'!Y26,2500)</f>
        <v>0</v>
      </c>
      <c r="Y27" s="35">
        <v>200</v>
      </c>
    </row>
    <row r="28" spans="1:26" ht="18.75" customHeight="1" x14ac:dyDescent="0.25">
      <c r="A28" s="98"/>
      <c r="B28" s="33">
        <f t="shared" si="0"/>
        <v>8</v>
      </c>
      <c r="C28" s="72">
        <f>VLOOKUP(B28,'WTAX-GEN.AD'!B:N,2,0)</f>
        <v>0</v>
      </c>
      <c r="D28" s="72" t="e">
        <f>VLOOKUP(C28,'WTAX-GEN.AD'!C:O,2,0)</f>
        <v>#N/A</v>
      </c>
      <c r="E28" s="306">
        <f>VLOOKUP(B28,'WTAX-GEN.AD'!B:N,4,0)</f>
        <v>0</v>
      </c>
      <c r="F28" s="86"/>
      <c r="G28" s="88"/>
      <c r="H28" s="88"/>
      <c r="I28" s="37">
        <f t="shared" si="1"/>
        <v>0</v>
      </c>
      <c r="J28" s="332">
        <f>'WTAX-GEN.AD'!N15</f>
        <v>0</v>
      </c>
      <c r="K28" s="211">
        <f t="shared" si="2"/>
        <v>0</v>
      </c>
      <c r="L28" s="40">
        <f>'WTAX-GEN.AD'!F15</f>
        <v>0</v>
      </c>
      <c r="M28" s="37">
        <f>'GEN.AD - DEDS'!R27</f>
        <v>0</v>
      </c>
      <c r="N28" s="37">
        <f>'GEN.AD - DEDS'!X27</f>
        <v>0</v>
      </c>
      <c r="O28" s="37">
        <f>'GEN.AD - DEDS'!Y27</f>
        <v>0</v>
      </c>
      <c r="P28" s="37">
        <f>'GEN.AD - DEDS'!AE27</f>
        <v>0</v>
      </c>
      <c r="Q28" s="38">
        <f t="shared" si="3"/>
        <v>0</v>
      </c>
      <c r="R28" s="49">
        <f t="shared" si="4"/>
        <v>0</v>
      </c>
      <c r="S28" s="76">
        <f t="shared" si="5"/>
        <v>0</v>
      </c>
      <c r="T28" s="77">
        <f t="shared" si="6"/>
        <v>0</v>
      </c>
      <c r="U28" s="221">
        <f t="shared" si="7"/>
        <v>8</v>
      </c>
      <c r="V28" s="36">
        <f>ROUND('GEN.AD - PAY'!I28*0.12,2)</f>
        <v>0</v>
      </c>
      <c r="W28" s="37">
        <v>100</v>
      </c>
      <c r="X28" s="37">
        <f>MIN((I28*0.05)-'GEN.AD - DEDS'!Y27,2500)</f>
        <v>0</v>
      </c>
      <c r="Y28" s="35">
        <v>200</v>
      </c>
    </row>
    <row r="29" spans="1:26" ht="18.75" customHeight="1" x14ac:dyDescent="0.25">
      <c r="A29" s="98"/>
      <c r="B29" s="33">
        <f t="shared" si="0"/>
        <v>9</v>
      </c>
      <c r="C29" s="72">
        <f>VLOOKUP(B29,'WTAX-GEN.AD'!B:N,2,0)</f>
        <v>0</v>
      </c>
      <c r="D29" s="72" t="e">
        <f>VLOOKUP(C29,'WTAX-GEN.AD'!C:O,2,0)</f>
        <v>#N/A</v>
      </c>
      <c r="E29" s="306">
        <f>VLOOKUP(B29,'WTAX-GEN.AD'!B:N,4,0)</f>
        <v>0</v>
      </c>
      <c r="F29" s="86"/>
      <c r="G29" s="88"/>
      <c r="H29" s="88"/>
      <c r="I29" s="37">
        <f t="shared" si="1"/>
        <v>0</v>
      </c>
      <c r="J29" s="332">
        <f>'WTAX-GEN.AD'!N16</f>
        <v>0</v>
      </c>
      <c r="K29" s="211">
        <f t="shared" si="2"/>
        <v>0</v>
      </c>
      <c r="L29" s="40">
        <f>'WTAX-GEN.AD'!F16</f>
        <v>0</v>
      </c>
      <c r="M29" s="37">
        <f>'GEN.AD - DEDS'!R28</f>
        <v>0</v>
      </c>
      <c r="N29" s="37">
        <f>'GEN.AD - DEDS'!X28</f>
        <v>0</v>
      </c>
      <c r="O29" s="37">
        <f>'GEN.AD - DEDS'!Y28</f>
        <v>0</v>
      </c>
      <c r="P29" s="37">
        <f>'GEN.AD - DEDS'!AE28</f>
        <v>0</v>
      </c>
      <c r="Q29" s="38">
        <f t="shared" si="3"/>
        <v>0</v>
      </c>
      <c r="R29" s="49">
        <f t="shared" si="4"/>
        <v>0</v>
      </c>
      <c r="S29" s="76">
        <f t="shared" si="5"/>
        <v>0</v>
      </c>
      <c r="T29" s="77">
        <f t="shared" si="6"/>
        <v>0</v>
      </c>
      <c r="U29" s="221">
        <f t="shared" si="7"/>
        <v>9</v>
      </c>
      <c r="V29" s="36">
        <f>ROUND('GEN.AD - PAY'!I29*0.12,2)</f>
        <v>0</v>
      </c>
      <c r="W29" s="37">
        <v>100</v>
      </c>
      <c r="X29" s="37">
        <f>MIN((I29*0.05)-'GEN.AD - DEDS'!Y28,2500)</f>
        <v>0</v>
      </c>
      <c r="Y29" s="35">
        <v>200</v>
      </c>
    </row>
    <row r="30" spans="1:26" ht="18.75" customHeight="1" x14ac:dyDescent="0.25">
      <c r="A30" s="98"/>
      <c r="B30" s="33">
        <f t="shared" si="0"/>
        <v>10</v>
      </c>
      <c r="C30" s="72">
        <f>VLOOKUP(B30,'WTAX-GEN.AD'!B:N,2,0)</f>
        <v>0</v>
      </c>
      <c r="D30" s="72" t="e">
        <f>VLOOKUP(C30,'WTAX-GEN.AD'!C:O,2,0)</f>
        <v>#N/A</v>
      </c>
      <c r="E30" s="306">
        <f>VLOOKUP(B30,'WTAX-GEN.AD'!B:N,4,0)</f>
        <v>0</v>
      </c>
      <c r="F30" s="86"/>
      <c r="G30" s="88"/>
      <c r="H30" s="88"/>
      <c r="I30" s="37">
        <f t="shared" si="1"/>
        <v>0</v>
      </c>
      <c r="J30" s="332">
        <f>'WTAX-GEN.AD'!N17</f>
        <v>0</v>
      </c>
      <c r="K30" s="211">
        <f t="shared" si="2"/>
        <v>0</v>
      </c>
      <c r="L30" s="40">
        <f>'WTAX-GEN.AD'!F17</f>
        <v>0</v>
      </c>
      <c r="M30" s="37">
        <f>'GEN.AD - DEDS'!R29</f>
        <v>0</v>
      </c>
      <c r="N30" s="37">
        <f>'GEN.AD - DEDS'!X29</f>
        <v>0</v>
      </c>
      <c r="O30" s="37">
        <f>'GEN.AD - DEDS'!Y29</f>
        <v>0</v>
      </c>
      <c r="P30" s="37">
        <f>'GEN.AD - DEDS'!AE29</f>
        <v>0</v>
      </c>
      <c r="Q30" s="38">
        <f t="shared" si="3"/>
        <v>0</v>
      </c>
      <c r="R30" s="49">
        <f t="shared" si="4"/>
        <v>0</v>
      </c>
      <c r="S30" s="76">
        <f t="shared" si="5"/>
        <v>0</v>
      </c>
      <c r="T30" s="77">
        <f t="shared" si="6"/>
        <v>0</v>
      </c>
      <c r="U30" s="221">
        <f t="shared" si="7"/>
        <v>10</v>
      </c>
      <c r="V30" s="36">
        <f>ROUND('GEN.AD - PAY'!I30*0.12,2)</f>
        <v>0</v>
      </c>
      <c r="W30" s="37">
        <v>100</v>
      </c>
      <c r="X30" s="37">
        <f>MIN((I30*0.05)-'GEN.AD - DEDS'!Y29,2500)</f>
        <v>0</v>
      </c>
      <c r="Y30" s="35">
        <v>200</v>
      </c>
    </row>
    <row r="31" spans="1:26" s="654" customFormat="1" ht="18.75" customHeight="1" x14ac:dyDescent="0.25">
      <c r="A31" s="640"/>
      <c r="B31" s="641">
        <f t="shared" si="0"/>
        <v>11</v>
      </c>
      <c r="C31" s="642">
        <f>VLOOKUP(B31,'WTAX-GEN.AD'!B:N,2,0)</f>
        <v>0</v>
      </c>
      <c r="D31" s="642" t="e">
        <f>VLOOKUP(C31,'WTAX-GEN.AD'!C:O,2,0)</f>
        <v>#N/A</v>
      </c>
      <c r="E31" s="643">
        <f>VLOOKUP(B31,'WTAX-GEN.AD'!B:N,4,0)</f>
        <v>0</v>
      </c>
      <c r="F31" s="644"/>
      <c r="G31" s="645"/>
      <c r="H31" s="645"/>
      <c r="I31" s="645">
        <f t="shared" si="1"/>
        <v>0</v>
      </c>
      <c r="J31" s="645">
        <f>'WTAX-GEN.AD'!N18</f>
        <v>0</v>
      </c>
      <c r="K31" s="646">
        <f t="shared" si="2"/>
        <v>0</v>
      </c>
      <c r="L31" s="647">
        <f>'WTAX-GEN.AD'!F18</f>
        <v>0</v>
      </c>
      <c r="M31" s="645">
        <f>'GEN.AD - DEDS'!R30</f>
        <v>0</v>
      </c>
      <c r="N31" s="645">
        <f>'GEN.AD - DEDS'!X30</f>
        <v>0</v>
      </c>
      <c r="O31" s="645">
        <f>'GEN.AD - DEDS'!Y30</f>
        <v>0</v>
      </c>
      <c r="P31" s="645">
        <f>'GEN.AD - DEDS'!AE30</f>
        <v>0</v>
      </c>
      <c r="Q31" s="648">
        <f t="shared" si="3"/>
        <v>0</v>
      </c>
      <c r="R31" s="649">
        <f t="shared" si="4"/>
        <v>0</v>
      </c>
      <c r="S31" s="650">
        <f t="shared" si="5"/>
        <v>0</v>
      </c>
      <c r="T31" s="651">
        <f t="shared" si="6"/>
        <v>0</v>
      </c>
      <c r="U31" s="652">
        <f t="shared" si="7"/>
        <v>11</v>
      </c>
      <c r="V31" s="644">
        <f>ROUND('GEN.AD - PAY'!I31*0.12,2)</f>
        <v>0</v>
      </c>
      <c r="W31" s="645">
        <v>100</v>
      </c>
      <c r="X31" s="645">
        <f>MIN((I31*0.05)-'GEN.AD - DEDS'!Y30,2500)</f>
        <v>0</v>
      </c>
      <c r="Y31" s="653">
        <v>200</v>
      </c>
    </row>
    <row r="32" spans="1:26" ht="18.75" customHeight="1" x14ac:dyDescent="0.25">
      <c r="A32" s="98"/>
      <c r="B32" s="33">
        <f>+B31+1</f>
        <v>12</v>
      </c>
      <c r="C32" s="72">
        <f>VLOOKUP(B32,'WTAX-GEN.AD'!B:N,2,0)</f>
        <v>0</v>
      </c>
      <c r="D32" s="72" t="e">
        <f>VLOOKUP(C32,'WTAX-GEN.AD'!C:O,2,0)</f>
        <v>#N/A</v>
      </c>
      <c r="E32" s="306">
        <f>VLOOKUP(B32,'WTAX-GEN.AD'!B:N,4,0)</f>
        <v>0</v>
      </c>
      <c r="F32" s="86"/>
      <c r="G32" s="88"/>
      <c r="H32" s="88"/>
      <c r="I32" s="37">
        <f t="shared" si="1"/>
        <v>0</v>
      </c>
      <c r="J32" s="332">
        <f>'WTAX-GEN.AD'!N19</f>
        <v>0</v>
      </c>
      <c r="K32" s="211">
        <f t="shared" si="2"/>
        <v>0</v>
      </c>
      <c r="L32" s="40">
        <f>'WTAX-GEN.AD'!F19</f>
        <v>0</v>
      </c>
      <c r="M32" s="37">
        <f>'GEN.AD - DEDS'!R31</f>
        <v>0</v>
      </c>
      <c r="N32" s="37">
        <f>'GEN.AD - DEDS'!X31</f>
        <v>0</v>
      </c>
      <c r="O32" s="37">
        <f>'GEN.AD - DEDS'!Y31</f>
        <v>0</v>
      </c>
      <c r="P32" s="37">
        <f>'GEN.AD - DEDS'!AE31</f>
        <v>0</v>
      </c>
      <c r="Q32" s="38">
        <f t="shared" si="3"/>
        <v>0</v>
      </c>
      <c r="R32" s="49">
        <f t="shared" si="4"/>
        <v>0</v>
      </c>
      <c r="S32" s="76">
        <f t="shared" si="5"/>
        <v>0</v>
      </c>
      <c r="T32" s="77">
        <f t="shared" si="6"/>
        <v>0</v>
      </c>
      <c r="U32" s="221">
        <f t="shared" si="7"/>
        <v>12</v>
      </c>
      <c r="V32" s="36">
        <f>ROUND('GEN.AD - PAY'!I32*0.12,2)</f>
        <v>0</v>
      </c>
      <c r="W32" s="37">
        <v>100</v>
      </c>
      <c r="X32" s="37">
        <f>MIN((I32*0.05)-'GEN.AD - DEDS'!Y31,2500)</f>
        <v>0</v>
      </c>
      <c r="Y32" s="35">
        <v>200</v>
      </c>
    </row>
    <row r="33" spans="1:25" ht="18.75" customHeight="1" x14ac:dyDescent="0.25">
      <c r="A33" s="98"/>
      <c r="B33" s="33">
        <f>+B32+1</f>
        <v>13</v>
      </c>
      <c r="C33" s="72">
        <f>VLOOKUP(B33,'WTAX-GEN.AD'!B:N,2,0)</f>
        <v>0</v>
      </c>
      <c r="D33" s="72" t="e">
        <f>VLOOKUP(C33,'WTAX-GEN.AD'!C:O,2,0)</f>
        <v>#N/A</v>
      </c>
      <c r="E33" s="306">
        <f>VLOOKUP(B33,'WTAX-GEN.AD'!B:N,4,0)</f>
        <v>0</v>
      </c>
      <c r="F33" s="86"/>
      <c r="G33" s="88"/>
      <c r="H33" s="88"/>
      <c r="I33" s="37">
        <f t="shared" si="1"/>
        <v>0</v>
      </c>
      <c r="J33" s="332">
        <f>'WTAX-GEN.AD'!N20</f>
        <v>0</v>
      </c>
      <c r="K33" s="211">
        <f t="shared" si="2"/>
        <v>0</v>
      </c>
      <c r="L33" s="40">
        <f>'WTAX-GEN.AD'!F20</f>
        <v>0</v>
      </c>
      <c r="M33" s="37">
        <f>'GEN.AD - DEDS'!R32</f>
        <v>0</v>
      </c>
      <c r="N33" s="37">
        <f>'GEN.AD - DEDS'!X32</f>
        <v>0</v>
      </c>
      <c r="O33" s="37">
        <f>'GEN.AD - DEDS'!Y32</f>
        <v>0</v>
      </c>
      <c r="P33" s="37">
        <f>'GEN.AD - DEDS'!AE32</f>
        <v>0</v>
      </c>
      <c r="Q33" s="38">
        <f t="shared" si="3"/>
        <v>0</v>
      </c>
      <c r="R33" s="49">
        <f t="shared" si="4"/>
        <v>0</v>
      </c>
      <c r="S33" s="76">
        <f t="shared" si="5"/>
        <v>0</v>
      </c>
      <c r="T33" s="77">
        <f t="shared" si="6"/>
        <v>0</v>
      </c>
      <c r="U33" s="221">
        <f t="shared" si="7"/>
        <v>13</v>
      </c>
      <c r="V33" s="36">
        <f>ROUND('GEN.AD - PAY'!I33*0.12,2)</f>
        <v>0</v>
      </c>
      <c r="W33" s="37">
        <v>100</v>
      </c>
      <c r="X33" s="37">
        <f>MIN((I33*0.05)-'GEN.AD - DEDS'!Y32,2500)</f>
        <v>0</v>
      </c>
      <c r="Y33" s="35">
        <v>200</v>
      </c>
    </row>
    <row r="34" spans="1:25" ht="18.75" customHeight="1" x14ac:dyDescent="0.25">
      <c r="A34" s="98"/>
      <c r="B34" s="33">
        <f>+B33+1</f>
        <v>14</v>
      </c>
      <c r="C34" s="72">
        <f>VLOOKUP(B34,'WTAX-GEN.AD'!B:N,2,0)</f>
        <v>0</v>
      </c>
      <c r="D34" s="72" t="e">
        <f>VLOOKUP(C34,'WTAX-GEN.AD'!C:O,2,0)</f>
        <v>#N/A</v>
      </c>
      <c r="E34" s="306">
        <f>VLOOKUP(B34,'WTAX-GEN.AD'!B:N,4,0)</f>
        <v>0</v>
      </c>
      <c r="F34" s="86"/>
      <c r="G34" s="88"/>
      <c r="H34" s="88"/>
      <c r="I34" s="37">
        <f t="shared" si="1"/>
        <v>0</v>
      </c>
      <c r="J34" s="332">
        <f>'WTAX-GEN.AD'!N21</f>
        <v>0</v>
      </c>
      <c r="K34" s="211">
        <f t="shared" si="2"/>
        <v>0</v>
      </c>
      <c r="L34" s="40">
        <f>'WTAX-GEN.AD'!F21</f>
        <v>0</v>
      </c>
      <c r="M34" s="37">
        <f>'GEN.AD - DEDS'!R33</f>
        <v>0</v>
      </c>
      <c r="N34" s="37">
        <f>'GEN.AD - DEDS'!X33</f>
        <v>0</v>
      </c>
      <c r="O34" s="37">
        <f>'GEN.AD - DEDS'!Y33</f>
        <v>0</v>
      </c>
      <c r="P34" s="37">
        <f>'GEN.AD - DEDS'!AE33</f>
        <v>0</v>
      </c>
      <c r="Q34" s="38">
        <f t="shared" si="3"/>
        <v>0</v>
      </c>
      <c r="R34" s="49">
        <f t="shared" si="4"/>
        <v>0</v>
      </c>
      <c r="S34" s="76">
        <f t="shared" si="5"/>
        <v>0</v>
      </c>
      <c r="T34" s="77">
        <f t="shared" si="6"/>
        <v>0</v>
      </c>
      <c r="U34" s="221">
        <f t="shared" si="7"/>
        <v>14</v>
      </c>
      <c r="V34" s="36">
        <f>ROUND('GEN.AD - PAY'!I34*0.12,2)</f>
        <v>0</v>
      </c>
      <c r="W34" s="37">
        <v>100</v>
      </c>
      <c r="X34" s="37">
        <f>MIN((I34*0.05)-'GEN.AD - DEDS'!Y33,2500)</f>
        <v>0</v>
      </c>
      <c r="Y34" s="35">
        <v>200</v>
      </c>
    </row>
    <row r="35" spans="1:25" ht="18.75" customHeight="1" x14ac:dyDescent="0.25">
      <c r="A35" s="98"/>
      <c r="B35" s="33">
        <f>+B34+1</f>
        <v>15</v>
      </c>
      <c r="C35" s="72">
        <f>VLOOKUP(B35,'WTAX-GEN.AD'!B:N,2,0)</f>
        <v>0</v>
      </c>
      <c r="D35" s="72" t="e">
        <f>VLOOKUP(C35,'WTAX-GEN.AD'!C:O,2,0)</f>
        <v>#N/A</v>
      </c>
      <c r="E35" s="306">
        <f>VLOOKUP(B35,'WTAX-GEN.AD'!B:N,4,0)</f>
        <v>0</v>
      </c>
      <c r="F35" s="86"/>
      <c r="G35" s="88"/>
      <c r="H35" s="88"/>
      <c r="I35" s="37">
        <f t="shared" si="1"/>
        <v>0</v>
      </c>
      <c r="J35" s="332">
        <f>'WTAX-GEN.AD'!N22</f>
        <v>0</v>
      </c>
      <c r="K35" s="211">
        <f t="shared" si="2"/>
        <v>0</v>
      </c>
      <c r="L35" s="40">
        <f>'WTAX-GEN.AD'!F22</f>
        <v>0</v>
      </c>
      <c r="M35" s="37">
        <f>'GEN.AD - DEDS'!R34</f>
        <v>0</v>
      </c>
      <c r="N35" s="37">
        <f>'GEN.AD - DEDS'!X34</f>
        <v>0</v>
      </c>
      <c r="O35" s="37">
        <f>'GEN.AD - DEDS'!Y34</f>
        <v>0</v>
      </c>
      <c r="P35" s="37">
        <f>'GEN.AD - DEDS'!AE34</f>
        <v>0</v>
      </c>
      <c r="Q35" s="38">
        <f t="shared" si="3"/>
        <v>0</v>
      </c>
      <c r="R35" s="49">
        <f t="shared" si="4"/>
        <v>0</v>
      </c>
      <c r="S35" s="76">
        <f t="shared" si="5"/>
        <v>0</v>
      </c>
      <c r="T35" s="77">
        <f t="shared" si="6"/>
        <v>0</v>
      </c>
      <c r="U35" s="221">
        <f t="shared" si="7"/>
        <v>15</v>
      </c>
      <c r="V35" s="36">
        <f>ROUND('GEN.AD - PAY'!I35*0.12,2)</f>
        <v>0</v>
      </c>
      <c r="W35" s="37">
        <v>100</v>
      </c>
      <c r="X35" s="37">
        <f>MIN((I35*0.05)-'GEN.AD - DEDS'!Y34,2500)</f>
        <v>0</v>
      </c>
      <c r="Y35" s="35">
        <v>200</v>
      </c>
    </row>
    <row r="36" spans="1:25" ht="18.75" customHeight="1" x14ac:dyDescent="0.25">
      <c r="A36" s="98"/>
      <c r="B36" s="33">
        <f t="shared" ref="B36:B64" si="8">+B35+1</f>
        <v>16</v>
      </c>
      <c r="C36" s="72">
        <f>VLOOKUP(B36,'WTAX-GEN.AD'!B:N,2,0)</f>
        <v>0</v>
      </c>
      <c r="D36" s="72" t="e">
        <f>VLOOKUP(C36,'WTAX-GEN.AD'!C:O,2,0)</f>
        <v>#N/A</v>
      </c>
      <c r="E36" s="306">
        <f>VLOOKUP(B36,'WTAX-GEN.AD'!B:N,4,0)</f>
        <v>0</v>
      </c>
      <c r="F36" s="86"/>
      <c r="G36" s="88"/>
      <c r="H36" s="88"/>
      <c r="I36" s="37">
        <f t="shared" si="1"/>
        <v>0</v>
      </c>
      <c r="J36" s="332">
        <f>'WTAX-GEN.AD'!N23</f>
        <v>0</v>
      </c>
      <c r="K36" s="211">
        <f t="shared" si="2"/>
        <v>0</v>
      </c>
      <c r="L36" s="40">
        <f>'WTAX-GEN.AD'!F23</f>
        <v>0</v>
      </c>
      <c r="M36" s="37">
        <f>'GEN.AD - DEDS'!R35</f>
        <v>0</v>
      </c>
      <c r="N36" s="37">
        <f>'GEN.AD - DEDS'!X35</f>
        <v>0</v>
      </c>
      <c r="O36" s="37">
        <f>'GEN.AD - DEDS'!Y35</f>
        <v>0</v>
      </c>
      <c r="P36" s="37">
        <f>'GEN.AD - DEDS'!AE35</f>
        <v>0</v>
      </c>
      <c r="Q36" s="38">
        <f t="shared" si="3"/>
        <v>0</v>
      </c>
      <c r="R36" s="49">
        <f t="shared" si="4"/>
        <v>0</v>
      </c>
      <c r="S36" s="76">
        <f t="shared" si="5"/>
        <v>0</v>
      </c>
      <c r="T36" s="77">
        <f t="shared" si="6"/>
        <v>0</v>
      </c>
      <c r="U36" s="221">
        <f t="shared" si="7"/>
        <v>16</v>
      </c>
      <c r="V36" s="36">
        <f>ROUND('GEN.AD - PAY'!I36*0.12,2)</f>
        <v>0</v>
      </c>
      <c r="W36" s="37">
        <v>100</v>
      </c>
      <c r="X36" s="37">
        <f>MIN((I36*0.05)-'GEN.AD - DEDS'!Y35,2500)</f>
        <v>0</v>
      </c>
      <c r="Y36" s="35">
        <v>200</v>
      </c>
    </row>
    <row r="37" spans="1:25" ht="18.75" customHeight="1" x14ac:dyDescent="0.25">
      <c r="A37" s="98"/>
      <c r="B37" s="33">
        <f t="shared" si="8"/>
        <v>17</v>
      </c>
      <c r="C37" s="72">
        <f>VLOOKUP(B37,'WTAX-GEN.AD'!B:N,2,0)</f>
        <v>0</v>
      </c>
      <c r="D37" s="72" t="e">
        <f>VLOOKUP(C37,'WTAX-GEN.AD'!C:O,2,0)</f>
        <v>#N/A</v>
      </c>
      <c r="E37" s="306">
        <f>VLOOKUP(B37,'WTAX-GEN.AD'!B:N,4,0)</f>
        <v>0</v>
      </c>
      <c r="F37" s="86"/>
      <c r="G37" s="88"/>
      <c r="H37" s="88"/>
      <c r="I37" s="37">
        <f t="shared" si="1"/>
        <v>0</v>
      </c>
      <c r="J37" s="332">
        <f>'WTAX-GEN.AD'!N24</f>
        <v>0</v>
      </c>
      <c r="K37" s="211">
        <f t="shared" si="2"/>
        <v>0</v>
      </c>
      <c r="L37" s="40">
        <f>'WTAX-GEN.AD'!F24</f>
        <v>0</v>
      </c>
      <c r="M37" s="37">
        <f>'GEN.AD - DEDS'!R36</f>
        <v>0</v>
      </c>
      <c r="N37" s="37">
        <f>'GEN.AD - DEDS'!X36</f>
        <v>0</v>
      </c>
      <c r="O37" s="37">
        <f>'GEN.AD - DEDS'!Y36</f>
        <v>0</v>
      </c>
      <c r="P37" s="37">
        <f>'GEN.AD - DEDS'!AE36</f>
        <v>0</v>
      </c>
      <c r="Q37" s="38">
        <f t="shared" si="3"/>
        <v>0</v>
      </c>
      <c r="R37" s="49">
        <f t="shared" si="4"/>
        <v>0</v>
      </c>
      <c r="S37" s="76">
        <f t="shared" si="5"/>
        <v>0</v>
      </c>
      <c r="T37" s="77">
        <f t="shared" si="6"/>
        <v>0</v>
      </c>
      <c r="U37" s="221">
        <f t="shared" si="7"/>
        <v>17</v>
      </c>
      <c r="V37" s="36">
        <f>ROUND('GEN.AD - PAY'!I37*0.12,2)</f>
        <v>0</v>
      </c>
      <c r="W37" s="37">
        <v>100</v>
      </c>
      <c r="X37" s="37">
        <f>MIN((I37*0.05)-'GEN.AD - DEDS'!Y36,2500)</f>
        <v>0</v>
      </c>
      <c r="Y37" s="35">
        <v>200</v>
      </c>
    </row>
    <row r="38" spans="1:25" s="654" customFormat="1" ht="18.75" customHeight="1" x14ac:dyDescent="0.25">
      <c r="A38" s="640"/>
      <c r="B38" s="641">
        <f t="shared" si="8"/>
        <v>18</v>
      </c>
      <c r="C38" s="642">
        <f>VLOOKUP(B38,'WTAX-GEN.AD'!B:N,2,0)</f>
        <v>0</v>
      </c>
      <c r="D38" s="642" t="e">
        <f>VLOOKUP(C38,'WTAX-GEN.AD'!C:O,2,0)</f>
        <v>#N/A</v>
      </c>
      <c r="E38" s="643">
        <f>VLOOKUP(B38,'WTAX-GEN.AD'!B:N,4,0)</f>
        <v>0</v>
      </c>
      <c r="F38" s="644"/>
      <c r="G38" s="645"/>
      <c r="H38" s="645"/>
      <c r="I38" s="645">
        <f t="shared" si="1"/>
        <v>0</v>
      </c>
      <c r="J38" s="645">
        <f>'WTAX-GEN.AD'!N25</f>
        <v>0</v>
      </c>
      <c r="K38" s="646">
        <f t="shared" si="2"/>
        <v>0</v>
      </c>
      <c r="L38" s="647">
        <f>'WTAX-GEN.AD'!F25</f>
        <v>0</v>
      </c>
      <c r="M38" s="645">
        <f>'GEN.AD - DEDS'!R37</f>
        <v>0</v>
      </c>
      <c r="N38" s="645">
        <f>'GEN.AD - DEDS'!X37</f>
        <v>0</v>
      </c>
      <c r="O38" s="645">
        <f>'GEN.AD - DEDS'!Y37</f>
        <v>0</v>
      </c>
      <c r="P38" s="645">
        <f>'GEN.AD - DEDS'!AE37</f>
        <v>0</v>
      </c>
      <c r="Q38" s="648">
        <f t="shared" si="3"/>
        <v>0</v>
      </c>
      <c r="R38" s="649">
        <f t="shared" si="4"/>
        <v>0</v>
      </c>
      <c r="S38" s="650">
        <f t="shared" si="5"/>
        <v>0</v>
      </c>
      <c r="T38" s="651">
        <f t="shared" si="6"/>
        <v>0</v>
      </c>
      <c r="U38" s="652">
        <f t="shared" si="7"/>
        <v>18</v>
      </c>
      <c r="V38" s="644">
        <f>ROUND('GEN.AD - PAY'!I38*0.12,2)</f>
        <v>0</v>
      </c>
      <c r="W38" s="645">
        <v>100</v>
      </c>
      <c r="X38" s="645">
        <f>MIN((I38*0.05)-'GEN.AD - DEDS'!Y37,2500)</f>
        <v>0</v>
      </c>
      <c r="Y38" s="653">
        <v>200</v>
      </c>
    </row>
    <row r="39" spans="1:25" ht="18.75" customHeight="1" x14ac:dyDescent="0.25">
      <c r="A39" s="98"/>
      <c r="B39" s="33">
        <f t="shared" si="8"/>
        <v>19</v>
      </c>
      <c r="C39" s="72">
        <f>VLOOKUP(B39,'WTAX-GEN.AD'!B:N,2,0)</f>
        <v>0</v>
      </c>
      <c r="D39" s="72" t="e">
        <f>VLOOKUP(C39,'WTAX-GEN.AD'!C:O,2,0)</f>
        <v>#N/A</v>
      </c>
      <c r="E39" s="306">
        <f>VLOOKUP(B39,'WTAX-GEN.AD'!B:N,4,0)</f>
        <v>0</v>
      </c>
      <c r="F39" s="86"/>
      <c r="G39" s="88"/>
      <c r="H39" s="88"/>
      <c r="I39" s="37">
        <f t="shared" si="1"/>
        <v>0</v>
      </c>
      <c r="J39" s="332">
        <f>'WTAX-GEN.AD'!N26</f>
        <v>0</v>
      </c>
      <c r="K39" s="211">
        <f t="shared" si="2"/>
        <v>0</v>
      </c>
      <c r="L39" s="40">
        <f>'WTAX-GEN.AD'!F26</f>
        <v>0</v>
      </c>
      <c r="M39" s="37">
        <f>'GEN.AD - DEDS'!R38</f>
        <v>0</v>
      </c>
      <c r="N39" s="37">
        <f>'GEN.AD - DEDS'!X38</f>
        <v>0</v>
      </c>
      <c r="O39" s="37">
        <f>'GEN.AD - DEDS'!Y38</f>
        <v>0</v>
      </c>
      <c r="P39" s="37">
        <f>'GEN.AD - DEDS'!AE38</f>
        <v>0</v>
      </c>
      <c r="Q39" s="38">
        <f t="shared" si="3"/>
        <v>0</v>
      </c>
      <c r="R39" s="49">
        <f t="shared" si="4"/>
        <v>0</v>
      </c>
      <c r="S39" s="76">
        <f t="shared" si="5"/>
        <v>0</v>
      </c>
      <c r="T39" s="77">
        <f t="shared" si="6"/>
        <v>0</v>
      </c>
      <c r="U39" s="221">
        <f t="shared" si="7"/>
        <v>19</v>
      </c>
      <c r="V39" s="36">
        <f>ROUND('GEN.AD - PAY'!I39*0.12,2)</f>
        <v>0</v>
      </c>
      <c r="W39" s="37">
        <v>100</v>
      </c>
      <c r="X39" s="37">
        <f>MIN((I39*0.05)-'GEN.AD - DEDS'!Y38,2500)</f>
        <v>0</v>
      </c>
      <c r="Y39" s="35">
        <v>200</v>
      </c>
    </row>
    <row r="40" spans="1:25" ht="18.75" customHeight="1" x14ac:dyDescent="0.25">
      <c r="A40" s="98"/>
      <c r="B40" s="33">
        <f t="shared" si="8"/>
        <v>20</v>
      </c>
      <c r="C40" s="72">
        <f>VLOOKUP(B40,'WTAX-GEN.AD'!B:N,2,0)</f>
        <v>0</v>
      </c>
      <c r="D40" s="72" t="e">
        <f>VLOOKUP(C40,'WTAX-GEN.AD'!C:O,2,0)</f>
        <v>#N/A</v>
      </c>
      <c r="E40" s="306">
        <f>VLOOKUP(B40,'WTAX-GEN.AD'!B:N,4,0)</f>
        <v>0</v>
      </c>
      <c r="F40" s="89"/>
      <c r="G40" s="91"/>
      <c r="H40" s="91"/>
      <c r="I40" s="37">
        <f t="shared" si="1"/>
        <v>0</v>
      </c>
      <c r="J40" s="332">
        <f>'WTAX-GEN.AD'!N27</f>
        <v>0</v>
      </c>
      <c r="K40" s="211">
        <f t="shared" si="2"/>
        <v>0</v>
      </c>
      <c r="L40" s="40">
        <f>'WTAX-GEN.AD'!F27</f>
        <v>0</v>
      </c>
      <c r="M40" s="37">
        <f>'GEN.AD - DEDS'!R39</f>
        <v>0</v>
      </c>
      <c r="N40" s="37">
        <f>'GEN.AD - DEDS'!X39</f>
        <v>0</v>
      </c>
      <c r="O40" s="37">
        <f>'GEN.AD - DEDS'!Y39</f>
        <v>0</v>
      </c>
      <c r="P40" s="37">
        <f>'GEN.AD - DEDS'!AE39</f>
        <v>0</v>
      </c>
      <c r="Q40" s="38">
        <f t="shared" si="3"/>
        <v>0</v>
      </c>
      <c r="R40" s="49">
        <f t="shared" si="4"/>
        <v>0</v>
      </c>
      <c r="S40" s="76">
        <f t="shared" si="5"/>
        <v>0</v>
      </c>
      <c r="T40" s="77">
        <f t="shared" si="6"/>
        <v>0</v>
      </c>
      <c r="U40" s="221">
        <f t="shared" si="7"/>
        <v>20</v>
      </c>
      <c r="V40" s="36">
        <f>ROUND('GEN.AD - PAY'!I40*0.12,2)</f>
        <v>0</v>
      </c>
      <c r="W40" s="37">
        <v>100</v>
      </c>
      <c r="X40" s="37">
        <f>MIN((I40*0.05)-'GEN.AD - DEDS'!Y39,2500)</f>
        <v>0</v>
      </c>
      <c r="Y40" s="35">
        <v>200</v>
      </c>
    </row>
    <row r="41" spans="1:25" ht="18.75" customHeight="1" x14ac:dyDescent="0.25">
      <c r="A41" s="98"/>
      <c r="B41" s="33">
        <f t="shared" si="8"/>
        <v>21</v>
      </c>
      <c r="C41" s="72">
        <f>VLOOKUP(B41,'WTAX-GEN.AD'!B:N,2,0)</f>
        <v>0</v>
      </c>
      <c r="D41" s="72" t="e">
        <f>VLOOKUP(C41,'WTAX-GEN.AD'!C:O,2,0)</f>
        <v>#N/A</v>
      </c>
      <c r="E41" s="306">
        <f>VLOOKUP(B41,'WTAX-GEN.AD'!B:N,4,0)</f>
        <v>0</v>
      </c>
      <c r="F41" s="89"/>
      <c r="G41" s="91"/>
      <c r="H41" s="91"/>
      <c r="I41" s="37">
        <f t="shared" si="1"/>
        <v>0</v>
      </c>
      <c r="J41" s="332">
        <f>'WTAX-GEN.AD'!N28</f>
        <v>0</v>
      </c>
      <c r="K41" s="211">
        <f t="shared" si="2"/>
        <v>0</v>
      </c>
      <c r="L41" s="40">
        <f>'WTAX-GEN.AD'!F28</f>
        <v>0</v>
      </c>
      <c r="M41" s="37">
        <f>'GEN.AD - DEDS'!R40</f>
        <v>0</v>
      </c>
      <c r="N41" s="37">
        <f>'GEN.AD - DEDS'!X40</f>
        <v>0</v>
      </c>
      <c r="O41" s="37">
        <f>'GEN.AD - DEDS'!Y40</f>
        <v>0</v>
      </c>
      <c r="P41" s="37">
        <f>'GEN.AD - DEDS'!AE40</f>
        <v>0</v>
      </c>
      <c r="Q41" s="38">
        <f t="shared" si="3"/>
        <v>0</v>
      </c>
      <c r="R41" s="49">
        <f t="shared" si="4"/>
        <v>0</v>
      </c>
      <c r="S41" s="76">
        <f t="shared" si="5"/>
        <v>0</v>
      </c>
      <c r="T41" s="77">
        <f t="shared" si="6"/>
        <v>0</v>
      </c>
      <c r="U41" s="221">
        <f t="shared" si="7"/>
        <v>21</v>
      </c>
      <c r="V41" s="36">
        <f>ROUND('GEN.AD - PAY'!I41*0.12,2)</f>
        <v>0</v>
      </c>
      <c r="W41" s="37">
        <v>100</v>
      </c>
      <c r="X41" s="37">
        <f>MIN((I41*0.05)-'GEN.AD - DEDS'!Y40,2500)</f>
        <v>0</v>
      </c>
      <c r="Y41" s="35">
        <v>200</v>
      </c>
    </row>
    <row r="42" spans="1:25" ht="18.75" customHeight="1" x14ac:dyDescent="0.25">
      <c r="A42" s="98"/>
      <c r="B42" s="33">
        <f t="shared" si="8"/>
        <v>22</v>
      </c>
      <c r="C42" s="72">
        <f>VLOOKUP(B42,'WTAX-GEN.AD'!B:N,2,0)</f>
        <v>0</v>
      </c>
      <c r="D42" s="72" t="e">
        <f>VLOOKUP(C42,'WTAX-GEN.AD'!C:O,2,0)</f>
        <v>#N/A</v>
      </c>
      <c r="E42" s="306">
        <f>VLOOKUP(B42,'WTAX-GEN.AD'!B:N,4,0)</f>
        <v>0</v>
      </c>
      <c r="F42" s="89"/>
      <c r="G42" s="91"/>
      <c r="H42" s="91"/>
      <c r="I42" s="37">
        <f t="shared" si="1"/>
        <v>0</v>
      </c>
      <c r="J42" s="332">
        <f>'WTAX-GEN.AD'!N29</f>
        <v>0</v>
      </c>
      <c r="K42" s="211">
        <f t="shared" si="2"/>
        <v>0</v>
      </c>
      <c r="L42" s="40">
        <f>'WTAX-GEN.AD'!F29</f>
        <v>0</v>
      </c>
      <c r="M42" s="37">
        <f>'GEN.AD - DEDS'!R41</f>
        <v>0</v>
      </c>
      <c r="N42" s="37">
        <f>'GEN.AD - DEDS'!X41</f>
        <v>0</v>
      </c>
      <c r="O42" s="37">
        <f>'GEN.AD - DEDS'!Y41</f>
        <v>0</v>
      </c>
      <c r="P42" s="37">
        <f>'GEN.AD - DEDS'!AE41</f>
        <v>0</v>
      </c>
      <c r="Q42" s="38">
        <f t="shared" si="3"/>
        <v>0</v>
      </c>
      <c r="R42" s="49">
        <f t="shared" si="4"/>
        <v>0</v>
      </c>
      <c r="S42" s="76">
        <f t="shared" si="5"/>
        <v>0</v>
      </c>
      <c r="T42" s="77">
        <f t="shared" si="6"/>
        <v>0</v>
      </c>
      <c r="U42" s="221">
        <f t="shared" si="7"/>
        <v>22</v>
      </c>
      <c r="V42" s="36">
        <f>ROUND('GEN.AD - PAY'!I42*0.12,2)</f>
        <v>0</v>
      </c>
      <c r="W42" s="37">
        <v>100</v>
      </c>
      <c r="X42" s="37">
        <f>MIN((I42*0.05)-'GEN.AD - DEDS'!Y41,2500)</f>
        <v>0</v>
      </c>
      <c r="Y42" s="35">
        <v>200</v>
      </c>
    </row>
    <row r="43" spans="1:25" ht="18.75" customHeight="1" x14ac:dyDescent="0.25">
      <c r="A43" s="98"/>
      <c r="B43" s="33">
        <f t="shared" si="8"/>
        <v>23</v>
      </c>
      <c r="C43" s="72">
        <f>VLOOKUP(B43,'WTAX-GEN.AD'!B:N,2,0)</f>
        <v>0</v>
      </c>
      <c r="D43" s="72" t="e">
        <f>VLOOKUP(C43,'WTAX-GEN.AD'!C:O,2,0)</f>
        <v>#N/A</v>
      </c>
      <c r="E43" s="306">
        <f>VLOOKUP(B43,'WTAX-GEN.AD'!B:N,4,0)</f>
        <v>0</v>
      </c>
      <c r="F43" s="86"/>
      <c r="G43" s="91"/>
      <c r="H43" s="91"/>
      <c r="I43" s="37">
        <f t="shared" si="1"/>
        <v>0</v>
      </c>
      <c r="J43" s="332">
        <f>'WTAX-GEN.AD'!N30</f>
        <v>0</v>
      </c>
      <c r="K43" s="211">
        <f t="shared" si="2"/>
        <v>0</v>
      </c>
      <c r="L43" s="40">
        <f>'WTAX-GEN.AD'!F30</f>
        <v>0</v>
      </c>
      <c r="M43" s="37">
        <f>'GEN.AD - DEDS'!R42</f>
        <v>0</v>
      </c>
      <c r="N43" s="37">
        <f>'GEN.AD - DEDS'!X42</f>
        <v>0</v>
      </c>
      <c r="O43" s="37">
        <f>'GEN.AD - DEDS'!Y42</f>
        <v>0</v>
      </c>
      <c r="P43" s="37">
        <f>'GEN.AD - DEDS'!AE42</f>
        <v>0</v>
      </c>
      <c r="Q43" s="38">
        <f t="shared" si="3"/>
        <v>0</v>
      </c>
      <c r="R43" s="49">
        <f t="shared" si="4"/>
        <v>0</v>
      </c>
      <c r="S43" s="76">
        <f t="shared" si="5"/>
        <v>0</v>
      </c>
      <c r="T43" s="77">
        <f t="shared" si="6"/>
        <v>0</v>
      </c>
      <c r="U43" s="221">
        <f t="shared" si="7"/>
        <v>23</v>
      </c>
      <c r="V43" s="36">
        <f>ROUND('GEN.AD - PAY'!I43*0.12,2)</f>
        <v>0</v>
      </c>
      <c r="W43" s="37">
        <v>100</v>
      </c>
      <c r="X43" s="37">
        <f>MIN((I43*0.05)-'GEN.AD - DEDS'!Y42,2500)</f>
        <v>0</v>
      </c>
      <c r="Y43" s="35">
        <v>200</v>
      </c>
    </row>
    <row r="44" spans="1:25" ht="18.75" customHeight="1" x14ac:dyDescent="0.25">
      <c r="A44" s="98"/>
      <c r="B44" s="33">
        <f t="shared" si="8"/>
        <v>24</v>
      </c>
      <c r="C44" s="72">
        <f>VLOOKUP(B44,'WTAX-GEN.AD'!B:N,2,0)</f>
        <v>0</v>
      </c>
      <c r="D44" s="72" t="e">
        <f>VLOOKUP(C44,'WTAX-GEN.AD'!C:O,2,0)</f>
        <v>#N/A</v>
      </c>
      <c r="E44" s="306">
        <f>VLOOKUP(B44,'WTAX-GEN.AD'!B:N,4,0)</f>
        <v>0</v>
      </c>
      <c r="F44" s="89"/>
      <c r="G44" s="91"/>
      <c r="H44" s="91"/>
      <c r="I44" s="37">
        <f t="shared" si="1"/>
        <v>0</v>
      </c>
      <c r="J44" s="332">
        <f>'WTAX-GEN.AD'!N31</f>
        <v>0</v>
      </c>
      <c r="K44" s="211">
        <f t="shared" si="2"/>
        <v>0</v>
      </c>
      <c r="L44" s="40">
        <f>'WTAX-GEN.AD'!F31</f>
        <v>0</v>
      </c>
      <c r="M44" s="37">
        <f>'GEN.AD - DEDS'!R43</f>
        <v>0</v>
      </c>
      <c r="N44" s="37">
        <f>'GEN.AD - DEDS'!X43</f>
        <v>0</v>
      </c>
      <c r="O44" s="37">
        <f>'GEN.AD - DEDS'!Y43</f>
        <v>0</v>
      </c>
      <c r="P44" s="37">
        <f>'GEN.AD - DEDS'!AE43</f>
        <v>0</v>
      </c>
      <c r="Q44" s="38">
        <f t="shared" si="3"/>
        <v>0</v>
      </c>
      <c r="R44" s="49">
        <f t="shared" si="4"/>
        <v>0</v>
      </c>
      <c r="S44" s="76">
        <f t="shared" si="5"/>
        <v>0</v>
      </c>
      <c r="T44" s="77">
        <f t="shared" si="6"/>
        <v>0</v>
      </c>
      <c r="U44" s="221">
        <f t="shared" si="7"/>
        <v>24</v>
      </c>
      <c r="V44" s="36">
        <f>ROUND('GEN.AD - PAY'!I44*0.12,2)</f>
        <v>0</v>
      </c>
      <c r="W44" s="37">
        <v>100</v>
      </c>
      <c r="X44" s="37">
        <f>MIN((I44*0.05)-'GEN.AD - DEDS'!Y43,2500)</f>
        <v>0</v>
      </c>
      <c r="Y44" s="35">
        <v>200</v>
      </c>
    </row>
    <row r="45" spans="1:25" ht="18.75" customHeight="1" x14ac:dyDescent="0.25">
      <c r="A45" s="98"/>
      <c r="B45" s="33">
        <f t="shared" si="8"/>
        <v>25</v>
      </c>
      <c r="C45" s="72">
        <f>VLOOKUP(B45,'WTAX-GEN.AD'!B:N,2,0)</f>
        <v>0</v>
      </c>
      <c r="D45" s="72" t="e">
        <f>VLOOKUP(C45,'WTAX-GEN.AD'!C:O,2,0)</f>
        <v>#N/A</v>
      </c>
      <c r="E45" s="306">
        <f>VLOOKUP(B45,'WTAX-GEN.AD'!B:N,4,0)</f>
        <v>0</v>
      </c>
      <c r="F45" s="86"/>
      <c r="G45" s="91"/>
      <c r="H45" s="91"/>
      <c r="I45" s="37">
        <f t="shared" si="1"/>
        <v>0</v>
      </c>
      <c r="J45" s="332">
        <f>'WTAX-GEN.AD'!N32</f>
        <v>0</v>
      </c>
      <c r="K45" s="211">
        <f t="shared" si="2"/>
        <v>0</v>
      </c>
      <c r="L45" s="40">
        <f>'WTAX-GEN.AD'!F32</f>
        <v>0</v>
      </c>
      <c r="M45" s="37">
        <f>'GEN.AD - DEDS'!R44</f>
        <v>0</v>
      </c>
      <c r="N45" s="37">
        <f>'GEN.AD - DEDS'!X44</f>
        <v>0</v>
      </c>
      <c r="O45" s="37">
        <f>'GEN.AD - DEDS'!Y44</f>
        <v>0</v>
      </c>
      <c r="P45" s="37">
        <f>'GEN.AD - DEDS'!AE44</f>
        <v>0</v>
      </c>
      <c r="Q45" s="38">
        <f t="shared" si="3"/>
        <v>0</v>
      </c>
      <c r="R45" s="49">
        <f t="shared" si="4"/>
        <v>0</v>
      </c>
      <c r="S45" s="76">
        <f t="shared" si="5"/>
        <v>0</v>
      </c>
      <c r="T45" s="77">
        <f t="shared" si="6"/>
        <v>0</v>
      </c>
      <c r="U45" s="221">
        <f t="shared" si="7"/>
        <v>25</v>
      </c>
      <c r="V45" s="36">
        <f>ROUND('GEN.AD - PAY'!I45*0.12,2)</f>
        <v>0</v>
      </c>
      <c r="W45" s="37">
        <v>100</v>
      </c>
      <c r="X45" s="37">
        <f>MIN((I45*0.05)-'GEN.AD - DEDS'!Y44,2500)</f>
        <v>0</v>
      </c>
      <c r="Y45" s="35">
        <v>200</v>
      </c>
    </row>
    <row r="46" spans="1:25" s="601" customFormat="1" ht="18.75" customHeight="1" x14ac:dyDescent="0.25">
      <c r="A46" s="587" t="s">
        <v>164</v>
      </c>
      <c r="B46" s="600">
        <f t="shared" si="8"/>
        <v>26</v>
      </c>
      <c r="C46" s="589">
        <f>VLOOKUP(B46,'WTAX-GEN.AD'!B:N,2,0)</f>
        <v>0</v>
      </c>
      <c r="D46" s="589" t="e">
        <f>VLOOKUP(C46,'WTAX-GEN.AD'!C:O,2,0)</f>
        <v>#N/A</v>
      </c>
      <c r="E46" s="591">
        <f>VLOOKUP(B46,'WTAX-GEN.AD'!B:N,4,0)</f>
        <v>0</v>
      </c>
      <c r="F46" s="606"/>
      <c r="G46" s="607"/>
      <c r="H46" s="607"/>
      <c r="I46" s="593">
        <f t="shared" si="1"/>
        <v>0</v>
      </c>
      <c r="J46" s="593">
        <f>'WTAX-GEN.AD'!N33</f>
        <v>0</v>
      </c>
      <c r="K46" s="602">
        <f t="shared" si="2"/>
        <v>0</v>
      </c>
      <c r="L46" s="592">
        <f>'WTAX-GEN.AD'!F33</f>
        <v>0</v>
      </c>
      <c r="M46" s="593">
        <f>'GEN.AD - DEDS'!R45</f>
        <v>0</v>
      </c>
      <c r="N46" s="593">
        <f>'GEN.AD - DEDS'!X45</f>
        <v>0</v>
      </c>
      <c r="O46" s="593">
        <f>'GEN.AD - DEDS'!Y45</f>
        <v>0</v>
      </c>
      <c r="P46" s="593">
        <f>'GEN.AD - DEDS'!AE45</f>
        <v>0</v>
      </c>
      <c r="Q46" s="594">
        <f t="shared" si="3"/>
        <v>0</v>
      </c>
      <c r="R46" s="603">
        <f t="shared" si="4"/>
        <v>0</v>
      </c>
      <c r="S46" s="604">
        <f t="shared" si="5"/>
        <v>0</v>
      </c>
      <c r="T46" s="605">
        <f t="shared" si="6"/>
        <v>0</v>
      </c>
      <c r="U46" s="639">
        <f t="shared" si="7"/>
        <v>26</v>
      </c>
      <c r="V46" s="595">
        <f>ROUND('GEN.AD - PAY'!I46*0.12,2)</f>
        <v>0</v>
      </c>
      <c r="W46" s="593">
        <v>100</v>
      </c>
      <c r="X46" s="593">
        <f>MIN((I46*0.05)-'GEN.AD - DEDS'!Y45,2500)</f>
        <v>0</v>
      </c>
      <c r="Y46" s="596">
        <v>200</v>
      </c>
    </row>
    <row r="47" spans="1:25" ht="18.75" customHeight="1" x14ac:dyDescent="0.25">
      <c r="A47" s="98"/>
      <c r="B47" s="33">
        <f t="shared" si="8"/>
        <v>27</v>
      </c>
      <c r="C47" s="72">
        <f>VLOOKUP(B47,'WTAX-GEN.AD'!B:N,2,0)</f>
        <v>0</v>
      </c>
      <c r="D47" s="72" t="e">
        <f>VLOOKUP(C47,'WTAX-GEN.AD'!C:O,2,0)</f>
        <v>#N/A</v>
      </c>
      <c r="E47" s="306">
        <f>VLOOKUP(B47,'WTAX-GEN.AD'!B:N,4,0)</f>
        <v>0</v>
      </c>
      <c r="F47" s="89"/>
      <c r="G47" s="91"/>
      <c r="H47" s="91"/>
      <c r="I47" s="37">
        <f t="shared" si="1"/>
        <v>0</v>
      </c>
      <c r="J47" s="332">
        <f>'WTAX-GEN.AD'!N34</f>
        <v>0</v>
      </c>
      <c r="K47" s="211">
        <f t="shared" si="2"/>
        <v>0</v>
      </c>
      <c r="L47" s="40">
        <f>'WTAX-GEN.AD'!F34</f>
        <v>0</v>
      </c>
      <c r="M47" s="37">
        <f>'GEN.AD - DEDS'!R46</f>
        <v>0</v>
      </c>
      <c r="N47" s="37">
        <f>'GEN.AD - DEDS'!X46</f>
        <v>0</v>
      </c>
      <c r="O47" s="37">
        <f>'GEN.AD - DEDS'!Y46</f>
        <v>0</v>
      </c>
      <c r="P47" s="37">
        <f>'GEN.AD - DEDS'!AE46</f>
        <v>0</v>
      </c>
      <c r="Q47" s="38">
        <f t="shared" si="3"/>
        <v>0</v>
      </c>
      <c r="R47" s="49">
        <f t="shared" si="4"/>
        <v>0</v>
      </c>
      <c r="S47" s="76">
        <f t="shared" si="5"/>
        <v>0</v>
      </c>
      <c r="T47" s="77">
        <f t="shared" si="6"/>
        <v>0</v>
      </c>
      <c r="U47" s="221">
        <f t="shared" si="7"/>
        <v>27</v>
      </c>
      <c r="V47" s="36">
        <f>ROUND('GEN.AD - PAY'!I47*0.12,2)</f>
        <v>0</v>
      </c>
      <c r="W47" s="37">
        <v>100</v>
      </c>
      <c r="X47" s="37">
        <f>MIN((I47*0.05)-'GEN.AD - DEDS'!Y46,2500)</f>
        <v>0</v>
      </c>
      <c r="Y47" s="35">
        <v>200</v>
      </c>
    </row>
    <row r="48" spans="1:25" ht="18.75" customHeight="1" x14ac:dyDescent="0.25">
      <c r="A48" s="98"/>
      <c r="B48" s="33">
        <f t="shared" si="8"/>
        <v>28</v>
      </c>
      <c r="C48" s="72">
        <f>VLOOKUP(B48,'WTAX-GEN.AD'!B:N,2,0)</f>
        <v>0</v>
      </c>
      <c r="D48" s="72" t="e">
        <f>VLOOKUP(C48,'WTAX-GEN.AD'!C:O,2,0)</f>
        <v>#N/A</v>
      </c>
      <c r="E48" s="306">
        <f>VLOOKUP(B48,'WTAX-GEN.AD'!B:N,4,0)</f>
        <v>0</v>
      </c>
      <c r="F48" s="89"/>
      <c r="G48" s="91"/>
      <c r="H48" s="91"/>
      <c r="I48" s="37">
        <f t="shared" si="1"/>
        <v>0</v>
      </c>
      <c r="J48" s="332">
        <f>'WTAX-GEN.AD'!N35</f>
        <v>0</v>
      </c>
      <c r="K48" s="211">
        <f t="shared" si="2"/>
        <v>0</v>
      </c>
      <c r="L48" s="40">
        <f>'WTAX-GEN.AD'!F35</f>
        <v>0</v>
      </c>
      <c r="M48" s="37">
        <f>'GEN.AD - DEDS'!R47</f>
        <v>0</v>
      </c>
      <c r="N48" s="37">
        <f>'GEN.AD - DEDS'!X47</f>
        <v>0</v>
      </c>
      <c r="O48" s="37">
        <f>'GEN.AD - DEDS'!Y47</f>
        <v>0</v>
      </c>
      <c r="P48" s="37">
        <f>'GEN.AD - DEDS'!AE47</f>
        <v>0</v>
      </c>
      <c r="Q48" s="38">
        <f t="shared" si="3"/>
        <v>0</v>
      </c>
      <c r="R48" s="49">
        <f t="shared" si="4"/>
        <v>0</v>
      </c>
      <c r="S48" s="76">
        <f t="shared" si="5"/>
        <v>0</v>
      </c>
      <c r="T48" s="77">
        <f t="shared" si="6"/>
        <v>0</v>
      </c>
      <c r="U48" s="221">
        <f t="shared" si="7"/>
        <v>28</v>
      </c>
      <c r="V48" s="36">
        <f>ROUND('GEN.AD - PAY'!I48*0.12,2)</f>
        <v>0</v>
      </c>
      <c r="W48" s="37">
        <v>100</v>
      </c>
      <c r="X48" s="37">
        <f>MIN((I48*0.05)-'GEN.AD - DEDS'!Y47,2500)</f>
        <v>0</v>
      </c>
      <c r="Y48" s="35">
        <v>200</v>
      </c>
    </row>
    <row r="49" spans="1:25" ht="18.75" customHeight="1" x14ac:dyDescent="0.25">
      <c r="A49" s="98"/>
      <c r="B49" s="33">
        <f t="shared" si="8"/>
        <v>29</v>
      </c>
      <c r="C49" s="72">
        <f>VLOOKUP(B49,'WTAX-GEN.AD'!B:N,2,0)</f>
        <v>0</v>
      </c>
      <c r="D49" s="72" t="e">
        <f>VLOOKUP(C49,'WTAX-GEN.AD'!C:O,2,0)</f>
        <v>#N/A</v>
      </c>
      <c r="E49" s="306">
        <f>VLOOKUP(B49,'WTAX-GEN.AD'!B:N,4,0)</f>
        <v>0</v>
      </c>
      <c r="F49" s="89"/>
      <c r="G49" s="91"/>
      <c r="H49" s="91"/>
      <c r="I49" s="37">
        <f t="shared" si="1"/>
        <v>0</v>
      </c>
      <c r="J49" s="332">
        <f>'WTAX-GEN.AD'!N36</f>
        <v>0</v>
      </c>
      <c r="K49" s="211">
        <f t="shared" si="2"/>
        <v>0</v>
      </c>
      <c r="L49" s="40">
        <f>'WTAX-GEN.AD'!F36</f>
        <v>0</v>
      </c>
      <c r="M49" s="37">
        <f>'GEN.AD - DEDS'!R48</f>
        <v>0</v>
      </c>
      <c r="N49" s="37">
        <f>'GEN.AD - DEDS'!X48</f>
        <v>0</v>
      </c>
      <c r="O49" s="37">
        <f>'GEN.AD - DEDS'!Y48</f>
        <v>0</v>
      </c>
      <c r="P49" s="37">
        <f>'GEN.AD - DEDS'!AE48</f>
        <v>0</v>
      </c>
      <c r="Q49" s="38">
        <f t="shared" si="3"/>
        <v>0</v>
      </c>
      <c r="R49" s="49">
        <f t="shared" si="4"/>
        <v>0</v>
      </c>
      <c r="S49" s="76">
        <f t="shared" si="5"/>
        <v>0</v>
      </c>
      <c r="T49" s="77">
        <f t="shared" si="6"/>
        <v>0</v>
      </c>
      <c r="U49" s="221">
        <f t="shared" si="7"/>
        <v>29</v>
      </c>
      <c r="V49" s="36">
        <f>ROUND('GEN.AD - PAY'!I49*0.12,2)</f>
        <v>0</v>
      </c>
      <c r="W49" s="37">
        <v>100</v>
      </c>
      <c r="X49" s="37">
        <f>MIN((I49*0.05)-'GEN.AD - DEDS'!Y48,2500)</f>
        <v>0</v>
      </c>
      <c r="Y49" s="35">
        <v>200</v>
      </c>
    </row>
    <row r="50" spans="1:25" ht="18.75" customHeight="1" x14ac:dyDescent="0.25">
      <c r="A50" s="98"/>
      <c r="B50" s="33">
        <f t="shared" si="8"/>
        <v>30</v>
      </c>
      <c r="C50" s="72">
        <f>VLOOKUP(B50,'WTAX-GEN.AD'!B:N,2,0)</f>
        <v>0</v>
      </c>
      <c r="D50" s="72" t="e">
        <f>VLOOKUP(C50,'WTAX-GEN.AD'!C:O,2,0)</f>
        <v>#N/A</v>
      </c>
      <c r="E50" s="306">
        <f>VLOOKUP(B50,'WTAX-GEN.AD'!B:N,4,0)</f>
        <v>0</v>
      </c>
      <c r="F50" s="89"/>
      <c r="G50" s="91"/>
      <c r="H50" s="91"/>
      <c r="I50" s="37">
        <f t="shared" si="1"/>
        <v>0</v>
      </c>
      <c r="J50" s="332">
        <f>'WTAX-GEN.AD'!N37</f>
        <v>0</v>
      </c>
      <c r="K50" s="211">
        <f t="shared" si="2"/>
        <v>0</v>
      </c>
      <c r="L50" s="40">
        <f>'WTAX-GEN.AD'!F37</f>
        <v>0</v>
      </c>
      <c r="M50" s="37">
        <f>'GEN.AD - DEDS'!R49</f>
        <v>0</v>
      </c>
      <c r="N50" s="37">
        <f>'GEN.AD - DEDS'!X49</f>
        <v>0</v>
      </c>
      <c r="O50" s="37">
        <f>'GEN.AD - DEDS'!Y49</f>
        <v>0</v>
      </c>
      <c r="P50" s="37">
        <f>'GEN.AD - DEDS'!AE49</f>
        <v>0</v>
      </c>
      <c r="Q50" s="38">
        <f t="shared" si="3"/>
        <v>0</v>
      </c>
      <c r="R50" s="49">
        <f t="shared" si="4"/>
        <v>0</v>
      </c>
      <c r="S50" s="76">
        <f t="shared" si="5"/>
        <v>0</v>
      </c>
      <c r="T50" s="77">
        <f t="shared" si="6"/>
        <v>0</v>
      </c>
      <c r="U50" s="221">
        <f t="shared" si="7"/>
        <v>30</v>
      </c>
      <c r="V50" s="36">
        <f>ROUND('GEN.AD - PAY'!I50*0.12,2)</f>
        <v>0</v>
      </c>
      <c r="W50" s="37">
        <v>100</v>
      </c>
      <c r="X50" s="37">
        <f>MIN((I50*0.05)-'GEN.AD - DEDS'!Y49,2500)</f>
        <v>0</v>
      </c>
      <c r="Y50" s="35">
        <v>200</v>
      </c>
    </row>
    <row r="51" spans="1:25" ht="18.75" customHeight="1" x14ac:dyDescent="0.25">
      <c r="A51" s="98"/>
      <c r="B51" s="33">
        <f t="shared" si="8"/>
        <v>31</v>
      </c>
      <c r="C51" s="72">
        <f>VLOOKUP(B51,'WTAX-GEN.AD'!B:N,2,0)</f>
        <v>0</v>
      </c>
      <c r="D51" s="72" t="e">
        <f>VLOOKUP(C51,'WTAX-GEN.AD'!C:O,2,0)</f>
        <v>#N/A</v>
      </c>
      <c r="E51" s="306">
        <f>VLOOKUP(B51,'WTAX-GEN.AD'!B:N,4,0)</f>
        <v>0</v>
      </c>
      <c r="F51" s="89"/>
      <c r="G51" s="91"/>
      <c r="H51" s="91"/>
      <c r="I51" s="37">
        <f t="shared" si="1"/>
        <v>0</v>
      </c>
      <c r="J51" s="332">
        <f>'WTAX-GEN.AD'!N38</f>
        <v>0</v>
      </c>
      <c r="K51" s="211">
        <f t="shared" si="2"/>
        <v>0</v>
      </c>
      <c r="L51" s="40">
        <f>'WTAX-GEN.AD'!F38</f>
        <v>0</v>
      </c>
      <c r="M51" s="37">
        <f>'GEN.AD - DEDS'!R50</f>
        <v>0</v>
      </c>
      <c r="N51" s="37">
        <f>'GEN.AD - DEDS'!X50</f>
        <v>0</v>
      </c>
      <c r="O51" s="37">
        <f>'GEN.AD - DEDS'!Y50</f>
        <v>0</v>
      </c>
      <c r="P51" s="37">
        <f>'GEN.AD - DEDS'!AE50</f>
        <v>0</v>
      </c>
      <c r="Q51" s="38">
        <f t="shared" si="3"/>
        <v>0</v>
      </c>
      <c r="R51" s="49">
        <f t="shared" si="4"/>
        <v>0</v>
      </c>
      <c r="S51" s="76">
        <f t="shared" si="5"/>
        <v>0</v>
      </c>
      <c r="T51" s="77">
        <f t="shared" si="6"/>
        <v>0</v>
      </c>
      <c r="U51" s="221">
        <f t="shared" si="7"/>
        <v>31</v>
      </c>
      <c r="V51" s="36">
        <f>ROUND('GEN.AD - PAY'!I51*0.12,2)</f>
        <v>0</v>
      </c>
      <c r="W51" s="37">
        <v>100</v>
      </c>
      <c r="X51" s="37">
        <f>MIN((I51*0.05)-'GEN.AD - DEDS'!Y50,2500)</f>
        <v>0</v>
      </c>
      <c r="Y51" s="35">
        <v>200</v>
      </c>
    </row>
    <row r="52" spans="1:25" ht="18.75" customHeight="1" x14ac:dyDescent="0.25">
      <c r="A52" s="98"/>
      <c r="B52" s="33">
        <f t="shared" si="8"/>
        <v>32</v>
      </c>
      <c r="C52" s="72">
        <f>VLOOKUP(B52,'WTAX-GEN.AD'!B:N,2,0)</f>
        <v>0</v>
      </c>
      <c r="D52" s="72" t="e">
        <f>VLOOKUP(C52,'WTAX-GEN.AD'!C:O,2,0)</f>
        <v>#N/A</v>
      </c>
      <c r="E52" s="306">
        <f>VLOOKUP(B52,'WTAX-GEN.AD'!B:N,4,0)</f>
        <v>0</v>
      </c>
      <c r="F52" s="89"/>
      <c r="G52" s="91"/>
      <c r="H52" s="91"/>
      <c r="I52" s="37">
        <f t="shared" si="1"/>
        <v>0</v>
      </c>
      <c r="J52" s="332">
        <f>'WTAX-GEN.AD'!N39</f>
        <v>0</v>
      </c>
      <c r="K52" s="211">
        <f t="shared" si="2"/>
        <v>0</v>
      </c>
      <c r="L52" s="40">
        <f>'WTAX-GEN.AD'!F39</f>
        <v>0</v>
      </c>
      <c r="M52" s="37">
        <f>'GEN.AD - DEDS'!R51</f>
        <v>0</v>
      </c>
      <c r="N52" s="37">
        <f>'GEN.AD - DEDS'!X51</f>
        <v>0</v>
      </c>
      <c r="O52" s="37">
        <f>'GEN.AD - DEDS'!Y51</f>
        <v>0</v>
      </c>
      <c r="P52" s="37">
        <f>'GEN.AD - DEDS'!AE51</f>
        <v>0</v>
      </c>
      <c r="Q52" s="38">
        <f t="shared" si="3"/>
        <v>0</v>
      </c>
      <c r="R52" s="49">
        <f t="shared" si="4"/>
        <v>0</v>
      </c>
      <c r="S52" s="76">
        <f t="shared" si="5"/>
        <v>0</v>
      </c>
      <c r="T52" s="77">
        <f t="shared" si="6"/>
        <v>0</v>
      </c>
      <c r="U52" s="221">
        <f t="shared" si="7"/>
        <v>32</v>
      </c>
      <c r="V52" s="36">
        <f>ROUND('GEN.AD - PAY'!I52*0.12,2)</f>
        <v>0</v>
      </c>
      <c r="W52" s="37">
        <v>100</v>
      </c>
      <c r="X52" s="37">
        <f>MIN((I52*0.05)-'GEN.AD - DEDS'!Y51,2500)</f>
        <v>0</v>
      </c>
      <c r="Y52" s="35">
        <v>200</v>
      </c>
    </row>
    <row r="53" spans="1:25" ht="18.75" customHeight="1" x14ac:dyDescent="0.25">
      <c r="A53" s="98"/>
      <c r="B53" s="33">
        <f t="shared" si="8"/>
        <v>33</v>
      </c>
      <c r="C53" s="72">
        <f>VLOOKUP(B53,'WTAX-GEN.AD'!B:N,2,0)</f>
        <v>0</v>
      </c>
      <c r="D53" s="72" t="e">
        <f>VLOOKUP(C53,'WTAX-GEN.AD'!C:O,2,0)</f>
        <v>#N/A</v>
      </c>
      <c r="E53" s="306">
        <f>VLOOKUP(B53,'WTAX-GEN.AD'!B:N,4,0)</f>
        <v>0</v>
      </c>
      <c r="F53" s="89"/>
      <c r="G53" s="91"/>
      <c r="H53" s="91"/>
      <c r="I53" s="37">
        <f t="shared" si="1"/>
        <v>0</v>
      </c>
      <c r="J53" s="332">
        <f>'WTAX-GEN.AD'!N40</f>
        <v>0</v>
      </c>
      <c r="K53" s="211">
        <f t="shared" si="2"/>
        <v>0</v>
      </c>
      <c r="L53" s="40">
        <f>'WTAX-GEN.AD'!F40</f>
        <v>0</v>
      </c>
      <c r="M53" s="37">
        <f>'GEN.AD - DEDS'!R52</f>
        <v>0</v>
      </c>
      <c r="N53" s="37">
        <f>'GEN.AD - DEDS'!X52</f>
        <v>0</v>
      </c>
      <c r="O53" s="37">
        <f>'GEN.AD - DEDS'!Y52</f>
        <v>0</v>
      </c>
      <c r="P53" s="37">
        <f>'GEN.AD - DEDS'!AE52</f>
        <v>0</v>
      </c>
      <c r="Q53" s="38">
        <f t="shared" si="3"/>
        <v>0</v>
      </c>
      <c r="R53" s="49">
        <f t="shared" si="4"/>
        <v>0</v>
      </c>
      <c r="S53" s="76">
        <f t="shared" si="5"/>
        <v>0</v>
      </c>
      <c r="T53" s="77">
        <f t="shared" si="6"/>
        <v>0</v>
      </c>
      <c r="U53" s="221">
        <f t="shared" si="7"/>
        <v>33</v>
      </c>
      <c r="V53" s="36">
        <f>ROUND('GEN.AD - PAY'!I53*0.12,2)</f>
        <v>0</v>
      </c>
      <c r="W53" s="37">
        <v>100</v>
      </c>
      <c r="X53" s="37">
        <f>MIN((I53*0.05)-'GEN.AD - DEDS'!Y52,2500)</f>
        <v>0</v>
      </c>
      <c r="Y53" s="35">
        <v>200</v>
      </c>
    </row>
    <row r="54" spans="1:25" ht="18.75" customHeight="1" x14ac:dyDescent="0.25">
      <c r="A54" s="98"/>
      <c r="B54" s="33">
        <f t="shared" si="8"/>
        <v>34</v>
      </c>
      <c r="C54" s="72">
        <f>VLOOKUP(B54,'WTAX-GEN.AD'!B:N,2,0)</f>
        <v>0</v>
      </c>
      <c r="D54" s="72" t="e">
        <f>VLOOKUP(C54,'WTAX-GEN.AD'!C:O,2,0)</f>
        <v>#N/A</v>
      </c>
      <c r="E54" s="306">
        <f>VLOOKUP(B54,'WTAX-GEN.AD'!B:N,4,0)</f>
        <v>0</v>
      </c>
      <c r="F54" s="89"/>
      <c r="G54" s="91"/>
      <c r="H54" s="91"/>
      <c r="I54" s="37">
        <f t="shared" si="1"/>
        <v>0</v>
      </c>
      <c r="J54" s="332">
        <f>'WTAX-GEN.AD'!N41</f>
        <v>0</v>
      </c>
      <c r="K54" s="211">
        <f t="shared" si="2"/>
        <v>0</v>
      </c>
      <c r="L54" s="40">
        <f>'WTAX-GEN.AD'!F41</f>
        <v>0</v>
      </c>
      <c r="M54" s="37">
        <f>'GEN.AD - DEDS'!R53</f>
        <v>0</v>
      </c>
      <c r="N54" s="37">
        <f>'GEN.AD - DEDS'!X53</f>
        <v>0</v>
      </c>
      <c r="O54" s="37">
        <f>'GEN.AD - DEDS'!Y53</f>
        <v>0</v>
      </c>
      <c r="P54" s="37">
        <f>'GEN.AD - DEDS'!AE53</f>
        <v>0</v>
      </c>
      <c r="Q54" s="38">
        <f t="shared" si="3"/>
        <v>0</v>
      </c>
      <c r="R54" s="49">
        <f t="shared" si="4"/>
        <v>0</v>
      </c>
      <c r="S54" s="76">
        <f t="shared" si="5"/>
        <v>0</v>
      </c>
      <c r="T54" s="77">
        <f t="shared" si="6"/>
        <v>0</v>
      </c>
      <c r="U54" s="221">
        <f t="shared" si="7"/>
        <v>34</v>
      </c>
      <c r="V54" s="36">
        <f>ROUND('GEN.AD - PAY'!I54*0.12,2)</f>
        <v>0</v>
      </c>
      <c r="W54" s="37">
        <v>100</v>
      </c>
      <c r="X54" s="37">
        <f>MIN((I54*0.05)-'GEN.AD - DEDS'!Y53,2500)</f>
        <v>0</v>
      </c>
      <c r="Y54" s="35">
        <v>200</v>
      </c>
    </row>
    <row r="55" spans="1:25" ht="18.75" customHeight="1" x14ac:dyDescent="0.25">
      <c r="A55" s="98"/>
      <c r="B55" s="33">
        <f t="shared" si="8"/>
        <v>35</v>
      </c>
      <c r="C55" s="72">
        <f>VLOOKUP(B55,'WTAX-GEN.AD'!B:N,2,0)</f>
        <v>0</v>
      </c>
      <c r="D55" s="72" t="e">
        <f>VLOOKUP(C55,'WTAX-GEN.AD'!C:O,2,0)</f>
        <v>#N/A</v>
      </c>
      <c r="E55" s="306">
        <f>VLOOKUP(B55,'WTAX-GEN.AD'!B:N,4,0)</f>
        <v>0</v>
      </c>
      <c r="F55" s="89"/>
      <c r="G55" s="91"/>
      <c r="H55" s="91"/>
      <c r="I55" s="37">
        <f t="shared" si="1"/>
        <v>0</v>
      </c>
      <c r="J55" s="332">
        <f>'WTAX-GEN.AD'!N42</f>
        <v>0</v>
      </c>
      <c r="K55" s="211">
        <f t="shared" si="2"/>
        <v>0</v>
      </c>
      <c r="L55" s="40">
        <f>'WTAX-GEN.AD'!F42</f>
        <v>0</v>
      </c>
      <c r="M55" s="37">
        <f>'GEN.AD - DEDS'!R54</f>
        <v>0</v>
      </c>
      <c r="N55" s="37">
        <f>'GEN.AD - DEDS'!X54</f>
        <v>0</v>
      </c>
      <c r="O55" s="37">
        <f>'GEN.AD - DEDS'!Y54</f>
        <v>0</v>
      </c>
      <c r="P55" s="37">
        <f>'GEN.AD - DEDS'!AE54</f>
        <v>0</v>
      </c>
      <c r="Q55" s="38">
        <f t="shared" si="3"/>
        <v>0</v>
      </c>
      <c r="R55" s="49">
        <f t="shared" si="4"/>
        <v>0</v>
      </c>
      <c r="S55" s="76">
        <f t="shared" si="5"/>
        <v>0</v>
      </c>
      <c r="T55" s="77">
        <f t="shared" si="6"/>
        <v>0</v>
      </c>
      <c r="U55" s="221">
        <f t="shared" si="7"/>
        <v>35</v>
      </c>
      <c r="V55" s="36">
        <f>ROUND('GEN.AD - PAY'!I55*0.12,2)</f>
        <v>0</v>
      </c>
      <c r="W55" s="37">
        <v>100</v>
      </c>
      <c r="X55" s="37">
        <f>MIN((I55*0.05)-'GEN.AD - DEDS'!Y54,2500)</f>
        <v>0</v>
      </c>
      <c r="Y55" s="35">
        <v>200</v>
      </c>
    </row>
    <row r="56" spans="1:25" ht="18.75" customHeight="1" x14ac:dyDescent="0.25">
      <c r="A56" s="98"/>
      <c r="B56" s="33">
        <f t="shared" si="8"/>
        <v>36</v>
      </c>
      <c r="C56" s="72">
        <f>VLOOKUP(B56,'WTAX-GEN.AD'!B:N,2,0)</f>
        <v>0</v>
      </c>
      <c r="D56" s="72" t="e">
        <f>VLOOKUP(C56,'WTAX-GEN.AD'!C:O,2,0)</f>
        <v>#N/A</v>
      </c>
      <c r="E56" s="306">
        <f>VLOOKUP(B56,'WTAX-GEN.AD'!B:N,4,0)</f>
        <v>0</v>
      </c>
      <c r="F56" s="89"/>
      <c r="G56" s="91"/>
      <c r="H56" s="91"/>
      <c r="I56" s="37">
        <f t="shared" si="1"/>
        <v>0</v>
      </c>
      <c r="J56" s="332">
        <f>'WTAX-GEN.AD'!N43</f>
        <v>0</v>
      </c>
      <c r="K56" s="211">
        <f t="shared" si="2"/>
        <v>0</v>
      </c>
      <c r="L56" s="40">
        <f>'WTAX-GEN.AD'!F43</f>
        <v>0</v>
      </c>
      <c r="M56" s="37">
        <f>'GEN.AD - DEDS'!R55</f>
        <v>0</v>
      </c>
      <c r="N56" s="37">
        <f>'GEN.AD - DEDS'!X55</f>
        <v>0</v>
      </c>
      <c r="O56" s="37">
        <f>'GEN.AD - DEDS'!Y55</f>
        <v>0</v>
      </c>
      <c r="P56" s="37">
        <f>'GEN.AD - DEDS'!AE55</f>
        <v>0</v>
      </c>
      <c r="Q56" s="38">
        <f t="shared" si="3"/>
        <v>0</v>
      </c>
      <c r="R56" s="49">
        <f t="shared" si="4"/>
        <v>0</v>
      </c>
      <c r="S56" s="76">
        <f t="shared" si="5"/>
        <v>0</v>
      </c>
      <c r="T56" s="77">
        <f t="shared" si="6"/>
        <v>0</v>
      </c>
      <c r="U56" s="221">
        <f t="shared" si="7"/>
        <v>36</v>
      </c>
      <c r="V56" s="36">
        <f>ROUND('GEN.AD - PAY'!I56*0.12,2)</f>
        <v>0</v>
      </c>
      <c r="W56" s="37">
        <v>100</v>
      </c>
      <c r="X56" s="37">
        <f>MIN((I56*0.05)-'GEN.AD - DEDS'!Y55,2500)</f>
        <v>0</v>
      </c>
      <c r="Y56" s="35">
        <v>200</v>
      </c>
    </row>
    <row r="57" spans="1:25" ht="18.75" customHeight="1" x14ac:dyDescent="0.25">
      <c r="A57" s="98"/>
      <c r="B57" s="33">
        <f t="shared" si="8"/>
        <v>37</v>
      </c>
      <c r="C57" s="72">
        <f>VLOOKUP(B57,'WTAX-GEN.AD'!B:N,2,0)</f>
        <v>0</v>
      </c>
      <c r="D57" s="72" t="e">
        <f>VLOOKUP(C57,'WTAX-GEN.AD'!C:O,2,0)</f>
        <v>#N/A</v>
      </c>
      <c r="E57" s="306">
        <f>VLOOKUP(B57,'WTAX-GEN.AD'!B:N,4,0)</f>
        <v>0</v>
      </c>
      <c r="F57" s="86"/>
      <c r="G57" s="91"/>
      <c r="H57" s="91"/>
      <c r="I57" s="37">
        <f t="shared" si="1"/>
        <v>0</v>
      </c>
      <c r="J57" s="332">
        <f>'WTAX-GEN.AD'!N44</f>
        <v>0</v>
      </c>
      <c r="K57" s="211">
        <f t="shared" si="2"/>
        <v>0</v>
      </c>
      <c r="L57" s="40">
        <f>'WTAX-GEN.AD'!F44</f>
        <v>0</v>
      </c>
      <c r="M57" s="37">
        <f>'GEN.AD - DEDS'!R56</f>
        <v>0</v>
      </c>
      <c r="N57" s="37">
        <f>'GEN.AD - DEDS'!X56</f>
        <v>0</v>
      </c>
      <c r="O57" s="37">
        <f>'GEN.AD - DEDS'!Y56</f>
        <v>0</v>
      </c>
      <c r="P57" s="37">
        <f>'GEN.AD - DEDS'!AE56</f>
        <v>0</v>
      </c>
      <c r="Q57" s="38">
        <f t="shared" si="3"/>
        <v>0</v>
      </c>
      <c r="R57" s="49">
        <f t="shared" si="4"/>
        <v>0</v>
      </c>
      <c r="S57" s="76">
        <f t="shared" si="5"/>
        <v>0</v>
      </c>
      <c r="T57" s="77">
        <f t="shared" si="6"/>
        <v>0</v>
      </c>
      <c r="U57" s="221">
        <f t="shared" si="7"/>
        <v>37</v>
      </c>
      <c r="V57" s="36">
        <f>ROUND('GEN.AD - PAY'!I57*0.12,2)</f>
        <v>0</v>
      </c>
      <c r="W57" s="37">
        <v>100</v>
      </c>
      <c r="X57" s="37">
        <f>MIN((I57*0.05)-'GEN.AD - DEDS'!Y56,2500)</f>
        <v>0</v>
      </c>
      <c r="Y57" s="35">
        <v>200</v>
      </c>
    </row>
    <row r="58" spans="1:25" ht="18.75" customHeight="1" x14ac:dyDescent="0.25">
      <c r="A58" s="98"/>
      <c r="B58" s="33">
        <f t="shared" si="8"/>
        <v>38</v>
      </c>
      <c r="C58" s="72">
        <f>VLOOKUP(B58,'WTAX-GEN.AD'!B:N,2,0)</f>
        <v>0</v>
      </c>
      <c r="D58" s="72" t="e">
        <f>VLOOKUP(C58,'WTAX-GEN.AD'!C:O,2,0)</f>
        <v>#N/A</v>
      </c>
      <c r="E58" s="306">
        <f>VLOOKUP(B58,'WTAX-GEN.AD'!B:N,4,0)</f>
        <v>0</v>
      </c>
      <c r="F58" s="89"/>
      <c r="G58" s="91"/>
      <c r="H58" s="91"/>
      <c r="I58" s="37">
        <f t="shared" si="1"/>
        <v>0</v>
      </c>
      <c r="J58" s="332">
        <f>'WTAX-GEN.AD'!N45</f>
        <v>0</v>
      </c>
      <c r="K58" s="211">
        <f t="shared" si="2"/>
        <v>0</v>
      </c>
      <c r="L58" s="40">
        <f>'WTAX-GEN.AD'!F45</f>
        <v>0</v>
      </c>
      <c r="M58" s="37">
        <f>'GEN.AD - DEDS'!R57</f>
        <v>0</v>
      </c>
      <c r="N58" s="37">
        <f>'GEN.AD - DEDS'!X57</f>
        <v>0</v>
      </c>
      <c r="O58" s="37">
        <f>'GEN.AD - DEDS'!Y57</f>
        <v>0</v>
      </c>
      <c r="P58" s="37">
        <f>'GEN.AD - DEDS'!AE57</f>
        <v>0</v>
      </c>
      <c r="Q58" s="38">
        <f t="shared" si="3"/>
        <v>0</v>
      </c>
      <c r="R58" s="49">
        <f t="shared" si="4"/>
        <v>0</v>
      </c>
      <c r="S58" s="76">
        <f t="shared" si="5"/>
        <v>0</v>
      </c>
      <c r="T58" s="77">
        <f t="shared" si="6"/>
        <v>0</v>
      </c>
      <c r="U58" s="221">
        <f t="shared" si="7"/>
        <v>38</v>
      </c>
      <c r="V58" s="36">
        <f>ROUND('GEN.AD - PAY'!I58*0.12,2)</f>
        <v>0</v>
      </c>
      <c r="W58" s="37">
        <v>100</v>
      </c>
      <c r="X58" s="37">
        <f>MIN((I58*0.05)-'GEN.AD - DEDS'!Y57,2500)</f>
        <v>0</v>
      </c>
      <c r="Y58" s="35">
        <v>200</v>
      </c>
    </row>
    <row r="59" spans="1:25" ht="18.75" customHeight="1" x14ac:dyDescent="0.25">
      <c r="A59" s="98"/>
      <c r="B59" s="33">
        <f t="shared" si="8"/>
        <v>39</v>
      </c>
      <c r="C59" s="72">
        <f>VLOOKUP(B59,'WTAX-GEN.AD'!B:N,2,0)</f>
        <v>0</v>
      </c>
      <c r="D59" s="72" t="e">
        <f>VLOOKUP(C59,'WTAX-GEN.AD'!C:O,2,0)</f>
        <v>#N/A</v>
      </c>
      <c r="E59" s="306">
        <f>VLOOKUP(B59,'WTAX-GEN.AD'!B:N,4,0)</f>
        <v>0</v>
      </c>
      <c r="F59" s="89"/>
      <c r="G59" s="91"/>
      <c r="H59" s="91"/>
      <c r="I59" s="37">
        <f t="shared" si="1"/>
        <v>0</v>
      </c>
      <c r="J59" s="332">
        <f>'WTAX-GEN.AD'!N46</f>
        <v>0</v>
      </c>
      <c r="K59" s="211">
        <f t="shared" si="2"/>
        <v>0</v>
      </c>
      <c r="L59" s="40">
        <f>'WTAX-GEN.AD'!F46</f>
        <v>0</v>
      </c>
      <c r="M59" s="37">
        <f>'GEN.AD - DEDS'!R58</f>
        <v>0</v>
      </c>
      <c r="N59" s="37">
        <f>'GEN.AD - DEDS'!X58</f>
        <v>0</v>
      </c>
      <c r="O59" s="37">
        <f>'GEN.AD - DEDS'!Y58</f>
        <v>0</v>
      </c>
      <c r="P59" s="37">
        <f>'GEN.AD - DEDS'!AE58</f>
        <v>0</v>
      </c>
      <c r="Q59" s="38">
        <f t="shared" si="3"/>
        <v>0</v>
      </c>
      <c r="R59" s="49">
        <f t="shared" si="4"/>
        <v>0</v>
      </c>
      <c r="S59" s="76">
        <f t="shared" si="5"/>
        <v>0</v>
      </c>
      <c r="T59" s="77">
        <f t="shared" si="6"/>
        <v>0</v>
      </c>
      <c r="U59" s="221">
        <f t="shared" si="7"/>
        <v>39</v>
      </c>
      <c r="V59" s="36">
        <f>ROUND('GEN.AD - PAY'!I59*0.12,2)</f>
        <v>0</v>
      </c>
      <c r="W59" s="37">
        <v>100</v>
      </c>
      <c r="X59" s="37">
        <f>MIN((I59*0.05)-'GEN.AD - DEDS'!Y58,2500)</f>
        <v>0</v>
      </c>
      <c r="Y59" s="35">
        <v>200</v>
      </c>
    </row>
    <row r="60" spans="1:25" ht="18.75" customHeight="1" x14ac:dyDescent="0.25">
      <c r="A60" s="98"/>
      <c r="B60" s="33">
        <f t="shared" si="8"/>
        <v>40</v>
      </c>
      <c r="C60" s="72">
        <f>VLOOKUP(B60,'WTAX-GEN.AD'!B:N,2,0)</f>
        <v>0</v>
      </c>
      <c r="D60" s="72" t="e">
        <f>VLOOKUP(C60,'WTAX-GEN.AD'!C:O,2,0)</f>
        <v>#N/A</v>
      </c>
      <c r="E60" s="306">
        <f>VLOOKUP(B60,'WTAX-GEN.AD'!B:N,4,0)</f>
        <v>0</v>
      </c>
      <c r="F60" s="86"/>
      <c r="G60" s="88"/>
      <c r="H60" s="88"/>
      <c r="I60" s="37">
        <f t="shared" si="1"/>
        <v>0</v>
      </c>
      <c r="J60" s="332">
        <f>'WTAX-GEN.AD'!N47</f>
        <v>0</v>
      </c>
      <c r="K60" s="211">
        <f t="shared" si="2"/>
        <v>0</v>
      </c>
      <c r="L60" s="40">
        <f>'WTAX-GEN.AD'!F47</f>
        <v>0</v>
      </c>
      <c r="M60" s="37">
        <f>'GEN.AD - DEDS'!R59</f>
        <v>0</v>
      </c>
      <c r="N60" s="37">
        <f>'GEN.AD - DEDS'!X59</f>
        <v>0</v>
      </c>
      <c r="O60" s="37">
        <f>'GEN.AD - DEDS'!Y59</f>
        <v>0</v>
      </c>
      <c r="P60" s="37">
        <f>'GEN.AD - DEDS'!AE59</f>
        <v>0</v>
      </c>
      <c r="Q60" s="38">
        <f t="shared" si="3"/>
        <v>0</v>
      </c>
      <c r="R60" s="49">
        <f t="shared" si="4"/>
        <v>0</v>
      </c>
      <c r="S60" s="76">
        <f t="shared" si="5"/>
        <v>0</v>
      </c>
      <c r="T60" s="77">
        <f t="shared" si="6"/>
        <v>0</v>
      </c>
      <c r="U60" s="221">
        <f t="shared" si="7"/>
        <v>40</v>
      </c>
      <c r="V60" s="36">
        <f>ROUND('GEN.AD - PAY'!I60*0.12,2)</f>
        <v>0</v>
      </c>
      <c r="W60" s="37">
        <v>100</v>
      </c>
      <c r="X60" s="37">
        <f>MIN((I60*0.05)-'GEN.AD - DEDS'!Y59,2500)</f>
        <v>0</v>
      </c>
      <c r="Y60" s="35">
        <v>200</v>
      </c>
    </row>
    <row r="61" spans="1:25" ht="18.75" customHeight="1" x14ac:dyDescent="0.25">
      <c r="A61" s="98"/>
      <c r="B61" s="33">
        <f t="shared" si="8"/>
        <v>41</v>
      </c>
      <c r="C61" s="72">
        <f>VLOOKUP(B61,'WTAX-GEN.AD'!B:N,2,0)</f>
        <v>0</v>
      </c>
      <c r="D61" s="72" t="e">
        <f>VLOOKUP(C61,'WTAX-GEN.AD'!C:O,2,0)</f>
        <v>#N/A</v>
      </c>
      <c r="E61" s="306">
        <f>VLOOKUP(B61,'WTAX-GEN.AD'!B:N,4,0)</f>
        <v>0</v>
      </c>
      <c r="F61" s="89"/>
      <c r="G61" s="91"/>
      <c r="H61" s="91"/>
      <c r="I61" s="37">
        <f t="shared" si="1"/>
        <v>0</v>
      </c>
      <c r="J61" s="332">
        <f>'WTAX-GEN.AD'!N48</f>
        <v>0</v>
      </c>
      <c r="K61" s="211">
        <f t="shared" si="2"/>
        <v>0</v>
      </c>
      <c r="L61" s="40">
        <f>'WTAX-GEN.AD'!F48</f>
        <v>0</v>
      </c>
      <c r="M61" s="37">
        <f>'GEN.AD - DEDS'!R60</f>
        <v>0</v>
      </c>
      <c r="N61" s="37">
        <f>'GEN.AD - DEDS'!X60</f>
        <v>0</v>
      </c>
      <c r="O61" s="37">
        <f>'GEN.AD - DEDS'!Y60</f>
        <v>0</v>
      </c>
      <c r="P61" s="37">
        <f>'GEN.AD - DEDS'!AE60</f>
        <v>0</v>
      </c>
      <c r="Q61" s="38">
        <f t="shared" si="3"/>
        <v>0</v>
      </c>
      <c r="R61" s="49">
        <f t="shared" si="4"/>
        <v>0</v>
      </c>
      <c r="S61" s="76">
        <f t="shared" si="5"/>
        <v>0</v>
      </c>
      <c r="T61" s="77">
        <f t="shared" si="6"/>
        <v>0</v>
      </c>
      <c r="U61" s="221">
        <f t="shared" si="7"/>
        <v>41</v>
      </c>
      <c r="V61" s="36">
        <f>ROUND('GEN.AD - PAY'!I61*0.12,2)</f>
        <v>0</v>
      </c>
      <c r="W61" s="37">
        <v>100</v>
      </c>
      <c r="X61" s="37">
        <f>MIN((I61*0.05)-'GEN.AD - DEDS'!Y60,2500)</f>
        <v>0</v>
      </c>
      <c r="Y61" s="35">
        <v>200</v>
      </c>
    </row>
    <row r="62" spans="1:25" ht="18.75" customHeight="1" x14ac:dyDescent="0.25">
      <c r="A62" s="98"/>
      <c r="B62" s="33">
        <f t="shared" si="8"/>
        <v>42</v>
      </c>
      <c r="C62" s="72">
        <f>VLOOKUP(B62,'WTAX-GEN.AD'!B:N,2,0)</f>
        <v>0</v>
      </c>
      <c r="D62" s="72" t="e">
        <f>VLOOKUP(C62,'WTAX-GEN.AD'!C:O,2,0)</f>
        <v>#N/A</v>
      </c>
      <c r="E62" s="306">
        <f>VLOOKUP(B62,'WTAX-GEN.AD'!B:N,4,0)</f>
        <v>0</v>
      </c>
      <c r="F62" s="86"/>
      <c r="G62" s="88"/>
      <c r="H62" s="88"/>
      <c r="I62" s="37">
        <f t="shared" si="1"/>
        <v>0</v>
      </c>
      <c r="J62" s="332">
        <f>'WTAX-GEN.AD'!N49</f>
        <v>0</v>
      </c>
      <c r="K62" s="211">
        <f t="shared" si="2"/>
        <v>0</v>
      </c>
      <c r="L62" s="40">
        <f>'WTAX-GEN.AD'!F49</f>
        <v>0</v>
      </c>
      <c r="M62" s="37">
        <f>'GEN.AD - DEDS'!R61</f>
        <v>0</v>
      </c>
      <c r="N62" s="37">
        <f>'GEN.AD - DEDS'!X61</f>
        <v>0</v>
      </c>
      <c r="O62" s="37">
        <f>'GEN.AD - DEDS'!Y61</f>
        <v>0</v>
      </c>
      <c r="P62" s="37">
        <f>'GEN.AD - DEDS'!AE61</f>
        <v>0</v>
      </c>
      <c r="Q62" s="38">
        <f t="shared" si="3"/>
        <v>0</v>
      </c>
      <c r="R62" s="49">
        <f t="shared" si="4"/>
        <v>0</v>
      </c>
      <c r="S62" s="76">
        <f t="shared" si="5"/>
        <v>0</v>
      </c>
      <c r="T62" s="77">
        <f t="shared" si="6"/>
        <v>0</v>
      </c>
      <c r="U62" s="221">
        <f t="shared" si="7"/>
        <v>42</v>
      </c>
      <c r="V62" s="36">
        <f>ROUND('GEN.AD - PAY'!I62*0.12,2)</f>
        <v>0</v>
      </c>
      <c r="W62" s="37">
        <v>100</v>
      </c>
      <c r="X62" s="37">
        <f>MIN((I62*0.05)-'GEN.AD - DEDS'!Y61,2500)</f>
        <v>0</v>
      </c>
      <c r="Y62" s="35">
        <v>200</v>
      </c>
    </row>
    <row r="63" spans="1:25" ht="18.75" customHeight="1" x14ac:dyDescent="0.25">
      <c r="A63" s="98"/>
      <c r="B63" s="33">
        <f t="shared" si="8"/>
        <v>43</v>
      </c>
      <c r="C63" s="72">
        <f>VLOOKUP(B63,'WTAX-GEN.AD'!B:N,2,0)</f>
        <v>0</v>
      </c>
      <c r="D63" s="72" t="e">
        <f>VLOOKUP(C63,'WTAX-GEN.AD'!C:O,2,0)</f>
        <v>#N/A</v>
      </c>
      <c r="E63" s="306">
        <f>VLOOKUP(B63,'WTAX-GEN.AD'!B:N,4,0)</f>
        <v>0</v>
      </c>
      <c r="F63" s="86"/>
      <c r="G63" s="88"/>
      <c r="H63" s="88"/>
      <c r="I63" s="37">
        <f t="shared" si="1"/>
        <v>0</v>
      </c>
      <c r="J63" s="332">
        <f>'WTAX-GEN.AD'!N50</f>
        <v>0</v>
      </c>
      <c r="K63" s="211">
        <f t="shared" si="2"/>
        <v>0</v>
      </c>
      <c r="L63" s="40">
        <f>'WTAX-GEN.AD'!F50</f>
        <v>0</v>
      </c>
      <c r="M63" s="37">
        <f>'GEN.AD - DEDS'!R62</f>
        <v>0</v>
      </c>
      <c r="N63" s="37">
        <f>'GEN.AD - DEDS'!X62</f>
        <v>0</v>
      </c>
      <c r="O63" s="37">
        <f>'GEN.AD - DEDS'!Y62</f>
        <v>0</v>
      </c>
      <c r="P63" s="37">
        <f>'GEN.AD - DEDS'!AE62</f>
        <v>0</v>
      </c>
      <c r="Q63" s="38">
        <f t="shared" si="3"/>
        <v>0</v>
      </c>
      <c r="R63" s="49">
        <f t="shared" si="4"/>
        <v>0</v>
      </c>
      <c r="S63" s="76">
        <f t="shared" si="5"/>
        <v>0</v>
      </c>
      <c r="T63" s="77">
        <f t="shared" si="6"/>
        <v>0</v>
      </c>
      <c r="U63" s="221">
        <f t="shared" si="7"/>
        <v>43</v>
      </c>
      <c r="V63" s="36">
        <f>ROUND('GEN.AD - PAY'!I63*0.12,2)</f>
        <v>0</v>
      </c>
      <c r="W63" s="37">
        <v>100</v>
      </c>
      <c r="X63" s="37">
        <f>MIN((I63*0.05)-'GEN.AD - DEDS'!Y62,2500)</f>
        <v>0</v>
      </c>
      <c r="Y63" s="35">
        <v>200</v>
      </c>
    </row>
    <row r="64" spans="1:25" ht="18.75" customHeight="1" x14ac:dyDescent="0.25">
      <c r="A64" s="98"/>
      <c r="B64" s="33">
        <f t="shared" si="8"/>
        <v>44</v>
      </c>
      <c r="C64" s="72">
        <f>VLOOKUP(B64,'WTAX-GEN.AD'!B:N,2,0)</f>
        <v>0</v>
      </c>
      <c r="D64" s="72" t="e">
        <f>VLOOKUP(C64,'WTAX-GEN.AD'!C:O,2,0)</f>
        <v>#N/A</v>
      </c>
      <c r="E64" s="306">
        <f>VLOOKUP(B64,'WTAX-GEN.AD'!B:N,4,0)</f>
        <v>0</v>
      </c>
      <c r="F64" s="89"/>
      <c r="G64" s="91"/>
      <c r="H64" s="91"/>
      <c r="I64" s="37">
        <f t="shared" si="1"/>
        <v>0</v>
      </c>
      <c r="J64" s="332">
        <f>'WTAX-GEN.AD'!N51</f>
        <v>0</v>
      </c>
      <c r="K64" s="211">
        <f t="shared" si="2"/>
        <v>0</v>
      </c>
      <c r="L64" s="40">
        <f>'WTAX-GEN.AD'!F51</f>
        <v>0</v>
      </c>
      <c r="M64" s="37">
        <f>'GEN.AD - DEDS'!R63</f>
        <v>0</v>
      </c>
      <c r="N64" s="37">
        <f>'GEN.AD - DEDS'!X63</f>
        <v>0</v>
      </c>
      <c r="O64" s="37">
        <f>'GEN.AD - DEDS'!Y63</f>
        <v>0</v>
      </c>
      <c r="P64" s="37">
        <f>'GEN.AD - DEDS'!AE63</f>
        <v>0</v>
      </c>
      <c r="Q64" s="38">
        <f t="shared" si="3"/>
        <v>0</v>
      </c>
      <c r="R64" s="49">
        <f t="shared" si="4"/>
        <v>0</v>
      </c>
      <c r="S64" s="76">
        <f t="shared" si="5"/>
        <v>0</v>
      </c>
      <c r="T64" s="77">
        <f t="shared" si="6"/>
        <v>0</v>
      </c>
      <c r="U64" s="221">
        <f t="shared" si="7"/>
        <v>44</v>
      </c>
      <c r="V64" s="36">
        <f>ROUND('GEN.AD - PAY'!I64*0.12,2)</f>
        <v>0</v>
      </c>
      <c r="W64" s="37">
        <v>100</v>
      </c>
      <c r="X64" s="37">
        <f>MIN((I64*0.05)-'GEN.AD - DEDS'!Y63,2500)</f>
        <v>0</v>
      </c>
      <c r="Y64" s="35">
        <v>200</v>
      </c>
    </row>
    <row r="65" spans="1:25" ht="18.75" customHeight="1" x14ac:dyDescent="0.25">
      <c r="A65" s="98"/>
      <c r="B65" s="33">
        <f t="shared" ref="B65:B113" si="9">+B64+1</f>
        <v>45</v>
      </c>
      <c r="C65" s="72">
        <f>VLOOKUP(B65,'WTAX-GEN.AD'!B:N,2,0)</f>
        <v>0</v>
      </c>
      <c r="D65" s="72" t="e">
        <f>VLOOKUP(C65,'WTAX-GEN.AD'!C:O,2,0)</f>
        <v>#N/A</v>
      </c>
      <c r="E65" s="306">
        <f>VLOOKUP(B65,'WTAX-GEN.AD'!B:N,4,0)</f>
        <v>0</v>
      </c>
      <c r="F65" s="89"/>
      <c r="G65" s="91"/>
      <c r="H65" s="91"/>
      <c r="I65" s="37">
        <f t="shared" si="1"/>
        <v>0</v>
      </c>
      <c r="J65" s="332">
        <f>'WTAX-GEN.AD'!N52</f>
        <v>0</v>
      </c>
      <c r="K65" s="211">
        <f t="shared" si="2"/>
        <v>0</v>
      </c>
      <c r="L65" s="40">
        <f>'WTAX-GEN.AD'!F52</f>
        <v>0</v>
      </c>
      <c r="M65" s="37">
        <f>'GEN.AD - DEDS'!R64</f>
        <v>0</v>
      </c>
      <c r="N65" s="37">
        <f>'GEN.AD - DEDS'!X64</f>
        <v>0</v>
      </c>
      <c r="O65" s="37">
        <f>'GEN.AD - DEDS'!Y64</f>
        <v>0</v>
      </c>
      <c r="P65" s="37">
        <f>'GEN.AD - DEDS'!AE64</f>
        <v>0</v>
      </c>
      <c r="Q65" s="38">
        <f t="shared" si="3"/>
        <v>0</v>
      </c>
      <c r="R65" s="49">
        <f t="shared" si="4"/>
        <v>0</v>
      </c>
      <c r="S65" s="76">
        <f t="shared" si="5"/>
        <v>0</v>
      </c>
      <c r="T65" s="77">
        <f t="shared" si="6"/>
        <v>0</v>
      </c>
      <c r="U65" s="221">
        <f t="shared" si="7"/>
        <v>45</v>
      </c>
      <c r="V65" s="36">
        <f>ROUND('GEN.AD - PAY'!I65*0.12,2)</f>
        <v>0</v>
      </c>
      <c r="W65" s="37">
        <v>100</v>
      </c>
      <c r="X65" s="37">
        <f>MIN((I65*0.05)-'GEN.AD - DEDS'!Y64,2500)</f>
        <v>0</v>
      </c>
      <c r="Y65" s="35">
        <v>200</v>
      </c>
    </row>
    <row r="66" spans="1:25" ht="18.75" customHeight="1" x14ac:dyDescent="0.25">
      <c r="A66" s="98"/>
      <c r="B66" s="33">
        <f t="shared" si="9"/>
        <v>46</v>
      </c>
      <c r="C66" s="72">
        <f>VLOOKUP(B66,'WTAX-GEN.AD'!B:N,2,0)</f>
        <v>0</v>
      </c>
      <c r="D66" s="72" t="e">
        <f>VLOOKUP(C66,'WTAX-GEN.AD'!C:O,2,0)</f>
        <v>#N/A</v>
      </c>
      <c r="E66" s="306">
        <f>VLOOKUP(B66,'WTAX-GEN.AD'!B:N,4,0)</f>
        <v>0</v>
      </c>
      <c r="F66" s="89"/>
      <c r="G66" s="91"/>
      <c r="H66" s="91"/>
      <c r="I66" s="37">
        <f t="shared" si="1"/>
        <v>0</v>
      </c>
      <c r="J66" s="332">
        <f>'WTAX-GEN.AD'!N53</f>
        <v>0</v>
      </c>
      <c r="K66" s="211">
        <f t="shared" si="2"/>
        <v>0</v>
      </c>
      <c r="L66" s="40">
        <f>'WTAX-GEN.AD'!F53</f>
        <v>0</v>
      </c>
      <c r="M66" s="37">
        <f>'GEN.AD - DEDS'!R65</f>
        <v>0</v>
      </c>
      <c r="N66" s="37">
        <f>'GEN.AD - DEDS'!X65</f>
        <v>0</v>
      </c>
      <c r="O66" s="37">
        <f>'GEN.AD - DEDS'!Y65</f>
        <v>0</v>
      </c>
      <c r="P66" s="37">
        <f>'GEN.AD - DEDS'!AE65</f>
        <v>0</v>
      </c>
      <c r="Q66" s="38">
        <f t="shared" si="3"/>
        <v>0</v>
      </c>
      <c r="R66" s="49">
        <f t="shared" si="4"/>
        <v>0</v>
      </c>
      <c r="S66" s="76">
        <f t="shared" si="5"/>
        <v>0</v>
      </c>
      <c r="T66" s="77">
        <f t="shared" si="6"/>
        <v>0</v>
      </c>
      <c r="U66" s="221">
        <f t="shared" si="7"/>
        <v>46</v>
      </c>
      <c r="V66" s="36">
        <f>ROUND('GEN.AD - PAY'!I66*0.12,2)</f>
        <v>0</v>
      </c>
      <c r="W66" s="37">
        <v>100</v>
      </c>
      <c r="X66" s="37">
        <f>MIN((I66*0.05)-'GEN.AD - DEDS'!Y65,2500)</f>
        <v>0</v>
      </c>
      <c r="Y66" s="35">
        <v>200</v>
      </c>
    </row>
    <row r="67" spans="1:25" ht="18.75" customHeight="1" x14ac:dyDescent="0.25">
      <c r="A67" s="98"/>
      <c r="B67" s="33">
        <f t="shared" si="9"/>
        <v>47</v>
      </c>
      <c r="C67" s="72">
        <f>VLOOKUP(B67,'WTAX-GEN.AD'!B:N,2,0)</f>
        <v>0</v>
      </c>
      <c r="D67" s="72" t="e">
        <f>VLOOKUP(C67,'WTAX-GEN.AD'!C:O,2,0)</f>
        <v>#N/A</v>
      </c>
      <c r="E67" s="306">
        <f>VLOOKUP(B67,'WTAX-GEN.AD'!B:N,4,0)</f>
        <v>0</v>
      </c>
      <c r="F67" s="89"/>
      <c r="G67" s="91"/>
      <c r="H67" s="91"/>
      <c r="I67" s="37">
        <f t="shared" si="1"/>
        <v>0</v>
      </c>
      <c r="J67" s="332">
        <f>'WTAX-GEN.AD'!N54</f>
        <v>0</v>
      </c>
      <c r="K67" s="211">
        <f t="shared" si="2"/>
        <v>0</v>
      </c>
      <c r="L67" s="40">
        <f>'WTAX-GEN.AD'!F54</f>
        <v>0</v>
      </c>
      <c r="M67" s="37">
        <f>'GEN.AD - DEDS'!R66</f>
        <v>0</v>
      </c>
      <c r="N67" s="37">
        <f>'GEN.AD - DEDS'!X66</f>
        <v>0</v>
      </c>
      <c r="O67" s="37">
        <f>'GEN.AD - DEDS'!Y66</f>
        <v>0</v>
      </c>
      <c r="P67" s="37">
        <f>'GEN.AD - DEDS'!AE66</f>
        <v>0</v>
      </c>
      <c r="Q67" s="38">
        <f t="shared" si="3"/>
        <v>0</v>
      </c>
      <c r="R67" s="49">
        <f t="shared" si="4"/>
        <v>0</v>
      </c>
      <c r="S67" s="76">
        <f t="shared" si="5"/>
        <v>0</v>
      </c>
      <c r="T67" s="77">
        <f t="shared" si="6"/>
        <v>0</v>
      </c>
      <c r="U67" s="221">
        <f t="shared" si="7"/>
        <v>47</v>
      </c>
      <c r="V67" s="36">
        <f>ROUND('GEN.AD - PAY'!I67*0.12,2)</f>
        <v>0</v>
      </c>
      <c r="W67" s="37">
        <v>100</v>
      </c>
      <c r="X67" s="37">
        <f>MIN((I67*0.05)-'GEN.AD - DEDS'!Y66,2500)</f>
        <v>0</v>
      </c>
      <c r="Y67" s="35">
        <v>200</v>
      </c>
    </row>
    <row r="68" spans="1:25" ht="18.75" customHeight="1" x14ac:dyDescent="0.25">
      <c r="A68" s="98"/>
      <c r="B68" s="33">
        <f t="shared" si="9"/>
        <v>48</v>
      </c>
      <c r="C68" s="72">
        <f>VLOOKUP(B68,'WTAX-GEN.AD'!B:N,2,0)</f>
        <v>0</v>
      </c>
      <c r="D68" s="72" t="e">
        <f>VLOOKUP(C68,'WTAX-GEN.AD'!C:O,2,0)</f>
        <v>#N/A</v>
      </c>
      <c r="E68" s="306">
        <f>VLOOKUP(B68,'WTAX-GEN.AD'!B:N,4,0)</f>
        <v>0</v>
      </c>
      <c r="F68" s="89"/>
      <c r="G68" s="91"/>
      <c r="H68" s="91"/>
      <c r="I68" s="37">
        <f t="shared" si="1"/>
        <v>0</v>
      </c>
      <c r="J68" s="332">
        <f>'WTAX-GEN.AD'!N55</f>
        <v>0</v>
      </c>
      <c r="K68" s="211">
        <f t="shared" si="2"/>
        <v>0</v>
      </c>
      <c r="L68" s="40">
        <f>'WTAX-GEN.AD'!F55</f>
        <v>0</v>
      </c>
      <c r="M68" s="37">
        <f>'GEN.AD - DEDS'!R67</f>
        <v>0</v>
      </c>
      <c r="N68" s="37">
        <f>'GEN.AD - DEDS'!X67</f>
        <v>0</v>
      </c>
      <c r="O68" s="37">
        <f>'GEN.AD - DEDS'!Y67</f>
        <v>0</v>
      </c>
      <c r="P68" s="37">
        <f>'GEN.AD - DEDS'!AE67</f>
        <v>0</v>
      </c>
      <c r="Q68" s="38">
        <f t="shared" si="3"/>
        <v>0</v>
      </c>
      <c r="R68" s="49">
        <f t="shared" si="4"/>
        <v>0</v>
      </c>
      <c r="S68" s="76">
        <f t="shared" si="5"/>
        <v>0</v>
      </c>
      <c r="T68" s="77">
        <f t="shared" si="6"/>
        <v>0</v>
      </c>
      <c r="U68" s="221">
        <f t="shared" si="7"/>
        <v>48</v>
      </c>
      <c r="V68" s="36">
        <f>ROUND('GEN.AD - PAY'!I68*0.12,2)</f>
        <v>0</v>
      </c>
      <c r="W68" s="37">
        <v>100</v>
      </c>
      <c r="X68" s="37">
        <f>MIN((I68*0.05)-'GEN.AD - DEDS'!Y67,2500)</f>
        <v>0</v>
      </c>
      <c r="Y68" s="35">
        <v>200</v>
      </c>
    </row>
    <row r="69" spans="1:25" ht="18.75" customHeight="1" x14ac:dyDescent="0.25">
      <c r="A69" s="98"/>
      <c r="B69" s="33">
        <f t="shared" si="9"/>
        <v>49</v>
      </c>
      <c r="C69" s="72">
        <f>VLOOKUP(B69,'WTAX-GEN.AD'!B:N,2,0)</f>
        <v>0</v>
      </c>
      <c r="D69" s="72" t="e">
        <f>VLOOKUP(C69,'WTAX-GEN.AD'!C:O,2,0)</f>
        <v>#N/A</v>
      </c>
      <c r="E69" s="306">
        <f>VLOOKUP(B69,'WTAX-GEN.AD'!B:N,4,0)</f>
        <v>0</v>
      </c>
      <c r="F69" s="89"/>
      <c r="G69" s="91"/>
      <c r="H69" s="91"/>
      <c r="I69" s="37">
        <f t="shared" si="1"/>
        <v>0</v>
      </c>
      <c r="J69" s="332">
        <f>'WTAX-GEN.AD'!N56</f>
        <v>0</v>
      </c>
      <c r="K69" s="211">
        <f t="shared" si="2"/>
        <v>0</v>
      </c>
      <c r="L69" s="40">
        <f>'WTAX-GEN.AD'!F56</f>
        <v>0</v>
      </c>
      <c r="M69" s="37">
        <f>'GEN.AD - DEDS'!R68</f>
        <v>0</v>
      </c>
      <c r="N69" s="37">
        <f>'GEN.AD - DEDS'!X68</f>
        <v>0</v>
      </c>
      <c r="O69" s="37">
        <f>'GEN.AD - DEDS'!Y68</f>
        <v>0</v>
      </c>
      <c r="P69" s="37">
        <f>'GEN.AD - DEDS'!AE68</f>
        <v>0</v>
      </c>
      <c r="Q69" s="38">
        <f t="shared" si="3"/>
        <v>0</v>
      </c>
      <c r="R69" s="49">
        <f t="shared" si="4"/>
        <v>0</v>
      </c>
      <c r="S69" s="76">
        <f t="shared" si="5"/>
        <v>0</v>
      </c>
      <c r="T69" s="77">
        <f t="shared" si="6"/>
        <v>0</v>
      </c>
      <c r="U69" s="221">
        <f t="shared" si="7"/>
        <v>49</v>
      </c>
      <c r="V69" s="36">
        <f>ROUND('GEN.AD - PAY'!I69*0.12,2)</f>
        <v>0</v>
      </c>
      <c r="W69" s="37">
        <v>100</v>
      </c>
      <c r="X69" s="37">
        <f>MIN((I69*0.05)-'GEN.AD - DEDS'!Y68,2500)</f>
        <v>0</v>
      </c>
      <c r="Y69" s="35">
        <v>200</v>
      </c>
    </row>
    <row r="70" spans="1:25" ht="18.75" customHeight="1" x14ac:dyDescent="0.25">
      <c r="A70" s="98"/>
      <c r="B70" s="33">
        <f t="shared" si="9"/>
        <v>50</v>
      </c>
      <c r="C70" s="72">
        <f>VLOOKUP(B70,'WTAX-GEN.AD'!B:N,2,0)</f>
        <v>0</v>
      </c>
      <c r="D70" s="72" t="e">
        <f>VLOOKUP(C70,'WTAX-GEN.AD'!C:O,2,0)</f>
        <v>#N/A</v>
      </c>
      <c r="E70" s="306">
        <f>VLOOKUP(B70,'WTAX-GEN.AD'!B:N,4,0)</f>
        <v>0</v>
      </c>
      <c r="F70" s="89"/>
      <c r="G70" s="91"/>
      <c r="H70" s="91"/>
      <c r="I70" s="37">
        <f t="shared" si="1"/>
        <v>0</v>
      </c>
      <c r="J70" s="332">
        <f>'WTAX-GEN.AD'!N57</f>
        <v>0</v>
      </c>
      <c r="K70" s="211">
        <f t="shared" si="2"/>
        <v>0</v>
      </c>
      <c r="L70" s="40">
        <f>'WTAX-GEN.AD'!F57</f>
        <v>0</v>
      </c>
      <c r="M70" s="37">
        <f>'GEN.AD - DEDS'!R69</f>
        <v>0</v>
      </c>
      <c r="N70" s="37">
        <f>'GEN.AD - DEDS'!X69</f>
        <v>0</v>
      </c>
      <c r="O70" s="37">
        <f>'GEN.AD - DEDS'!Y69</f>
        <v>0</v>
      </c>
      <c r="P70" s="37">
        <f>'GEN.AD - DEDS'!AE69</f>
        <v>0</v>
      </c>
      <c r="Q70" s="38">
        <f t="shared" si="3"/>
        <v>0</v>
      </c>
      <c r="R70" s="49">
        <f t="shared" si="4"/>
        <v>0</v>
      </c>
      <c r="S70" s="76">
        <f t="shared" si="5"/>
        <v>0</v>
      </c>
      <c r="T70" s="77">
        <f t="shared" si="6"/>
        <v>0</v>
      </c>
      <c r="U70" s="221">
        <f t="shared" si="7"/>
        <v>50</v>
      </c>
      <c r="V70" s="36">
        <f>ROUND('GEN.AD - PAY'!I70*0.12,2)</f>
        <v>0</v>
      </c>
      <c r="W70" s="37">
        <v>100</v>
      </c>
      <c r="X70" s="37">
        <f>MIN((I70*0.05)-'GEN.AD - DEDS'!Y69,2500)</f>
        <v>0</v>
      </c>
      <c r="Y70" s="35">
        <v>200</v>
      </c>
    </row>
    <row r="71" spans="1:25" ht="18.75" customHeight="1" x14ac:dyDescent="0.25">
      <c r="A71" s="98"/>
      <c r="B71" s="33">
        <f t="shared" si="9"/>
        <v>51</v>
      </c>
      <c r="C71" s="72">
        <f>VLOOKUP(B71,'WTAX-GEN.AD'!B:N,2,0)</f>
        <v>0</v>
      </c>
      <c r="D71" s="72" t="e">
        <f>VLOOKUP(C71,'WTAX-GEN.AD'!C:O,2,0)</f>
        <v>#N/A</v>
      </c>
      <c r="E71" s="306">
        <f>VLOOKUP(B71,'WTAX-GEN.AD'!B:N,4,0)</f>
        <v>0</v>
      </c>
      <c r="F71" s="86"/>
      <c r="G71" s="91"/>
      <c r="H71" s="91"/>
      <c r="I71" s="37">
        <f t="shared" si="1"/>
        <v>0</v>
      </c>
      <c r="J71" s="332">
        <f>'WTAX-GEN.AD'!N58</f>
        <v>0</v>
      </c>
      <c r="K71" s="211">
        <f t="shared" si="2"/>
        <v>0</v>
      </c>
      <c r="L71" s="40">
        <f>'WTAX-GEN.AD'!F58</f>
        <v>0</v>
      </c>
      <c r="M71" s="37">
        <f>'GEN.AD - DEDS'!R70</f>
        <v>0</v>
      </c>
      <c r="N71" s="37">
        <f>'GEN.AD - DEDS'!X70</f>
        <v>0</v>
      </c>
      <c r="O71" s="37">
        <f>'GEN.AD - DEDS'!Y70</f>
        <v>0</v>
      </c>
      <c r="P71" s="37">
        <f>'GEN.AD - DEDS'!AE70</f>
        <v>0</v>
      </c>
      <c r="Q71" s="38">
        <f t="shared" si="3"/>
        <v>0</v>
      </c>
      <c r="R71" s="49">
        <f t="shared" si="4"/>
        <v>0</v>
      </c>
      <c r="S71" s="76">
        <f t="shared" si="5"/>
        <v>0</v>
      </c>
      <c r="T71" s="77">
        <f t="shared" si="6"/>
        <v>0</v>
      </c>
      <c r="U71" s="221">
        <f t="shared" si="7"/>
        <v>51</v>
      </c>
      <c r="V71" s="36">
        <f>ROUND('GEN.AD - PAY'!I71*0.12,2)</f>
        <v>0</v>
      </c>
      <c r="W71" s="37">
        <v>100</v>
      </c>
      <c r="X71" s="37">
        <f>MIN((I71*0.05)-'GEN.AD - DEDS'!Y70,2500)</f>
        <v>0</v>
      </c>
      <c r="Y71" s="35">
        <v>200</v>
      </c>
    </row>
    <row r="72" spans="1:25" ht="18.75" customHeight="1" x14ac:dyDescent="0.25">
      <c r="A72" s="98"/>
      <c r="B72" s="33">
        <f t="shared" si="9"/>
        <v>52</v>
      </c>
      <c r="C72" s="72">
        <f>VLOOKUP(B72,'WTAX-GEN.AD'!B:N,2,0)</f>
        <v>0</v>
      </c>
      <c r="D72" s="72" t="e">
        <f>VLOOKUP(C72,'WTAX-GEN.AD'!C:O,2,0)</f>
        <v>#N/A</v>
      </c>
      <c r="E72" s="306">
        <f>VLOOKUP(B72,'WTAX-GEN.AD'!B:N,4,0)</f>
        <v>0</v>
      </c>
      <c r="F72" s="89"/>
      <c r="G72" s="91"/>
      <c r="H72" s="91"/>
      <c r="I72" s="37">
        <f t="shared" si="1"/>
        <v>0</v>
      </c>
      <c r="J72" s="332">
        <f>'WTAX-GEN.AD'!N59</f>
        <v>0</v>
      </c>
      <c r="K72" s="211">
        <f t="shared" si="2"/>
        <v>0</v>
      </c>
      <c r="L72" s="40">
        <f>'WTAX-GEN.AD'!F59</f>
        <v>0</v>
      </c>
      <c r="M72" s="37">
        <f>'GEN.AD - DEDS'!R71</f>
        <v>0</v>
      </c>
      <c r="N72" s="37">
        <f>'GEN.AD - DEDS'!X71</f>
        <v>0</v>
      </c>
      <c r="O72" s="37">
        <f>'GEN.AD - DEDS'!Y71</f>
        <v>0</v>
      </c>
      <c r="P72" s="37">
        <f>'GEN.AD - DEDS'!AE71</f>
        <v>0</v>
      </c>
      <c r="Q72" s="38">
        <f t="shared" si="3"/>
        <v>0</v>
      </c>
      <c r="R72" s="49">
        <f t="shared" si="4"/>
        <v>0</v>
      </c>
      <c r="S72" s="76">
        <f t="shared" si="5"/>
        <v>0</v>
      </c>
      <c r="T72" s="77">
        <f t="shared" si="6"/>
        <v>0</v>
      </c>
      <c r="U72" s="221">
        <f t="shared" si="7"/>
        <v>52</v>
      </c>
      <c r="V72" s="36">
        <f>ROUND('GEN.AD - PAY'!I72*0.12,2)</f>
        <v>0</v>
      </c>
      <c r="W72" s="37">
        <v>100</v>
      </c>
      <c r="X72" s="37">
        <f>MIN((I72*0.05)-'GEN.AD - DEDS'!Y71,2500)</f>
        <v>0</v>
      </c>
      <c r="Y72" s="35">
        <v>200</v>
      </c>
    </row>
    <row r="73" spans="1:25" ht="18.75" customHeight="1" x14ac:dyDescent="0.25">
      <c r="A73" s="98"/>
      <c r="B73" s="33">
        <f t="shared" si="9"/>
        <v>53</v>
      </c>
      <c r="C73" s="72">
        <f>VLOOKUP(B73,'WTAX-GEN.AD'!B:N,2,0)</f>
        <v>0</v>
      </c>
      <c r="D73" s="72" t="e">
        <f>VLOOKUP(C73,'WTAX-GEN.AD'!C:O,2,0)</f>
        <v>#N/A</v>
      </c>
      <c r="E73" s="306">
        <f>VLOOKUP(B73,'WTAX-GEN.AD'!B:N,4,0)</f>
        <v>0</v>
      </c>
      <c r="F73" s="89"/>
      <c r="G73" s="91"/>
      <c r="H73" s="91"/>
      <c r="I73" s="37">
        <f t="shared" si="1"/>
        <v>0</v>
      </c>
      <c r="J73" s="332">
        <f>'WTAX-GEN.AD'!N60</f>
        <v>0</v>
      </c>
      <c r="K73" s="211">
        <f t="shared" si="2"/>
        <v>0</v>
      </c>
      <c r="L73" s="40">
        <f>'WTAX-GEN.AD'!F60</f>
        <v>0</v>
      </c>
      <c r="M73" s="37">
        <f>'GEN.AD - DEDS'!R72</f>
        <v>0</v>
      </c>
      <c r="N73" s="37">
        <f>'GEN.AD - DEDS'!X72</f>
        <v>0</v>
      </c>
      <c r="O73" s="37">
        <f>'GEN.AD - DEDS'!Y72</f>
        <v>0</v>
      </c>
      <c r="P73" s="37">
        <f>'GEN.AD - DEDS'!AE72</f>
        <v>0</v>
      </c>
      <c r="Q73" s="38">
        <f t="shared" si="3"/>
        <v>0</v>
      </c>
      <c r="R73" s="49">
        <f t="shared" si="4"/>
        <v>0</v>
      </c>
      <c r="S73" s="76">
        <f t="shared" si="5"/>
        <v>0</v>
      </c>
      <c r="T73" s="77">
        <f t="shared" si="6"/>
        <v>0</v>
      </c>
      <c r="U73" s="221">
        <f t="shared" si="7"/>
        <v>53</v>
      </c>
      <c r="V73" s="36">
        <f>ROUND('GEN.AD - PAY'!I73*0.12,2)</f>
        <v>0</v>
      </c>
      <c r="W73" s="37">
        <v>100</v>
      </c>
      <c r="X73" s="37">
        <f>MIN((I73*0.05)-'GEN.AD - DEDS'!Y72,2500)</f>
        <v>0</v>
      </c>
      <c r="Y73" s="35">
        <v>200</v>
      </c>
    </row>
    <row r="74" spans="1:25" ht="18.75" customHeight="1" x14ac:dyDescent="0.25">
      <c r="A74" s="98"/>
      <c r="B74" s="33">
        <f t="shared" si="9"/>
        <v>54</v>
      </c>
      <c r="C74" s="72">
        <f>VLOOKUP(B74,'WTAX-GEN.AD'!B:N,2,0)</f>
        <v>0</v>
      </c>
      <c r="D74" s="72" t="e">
        <f>VLOOKUP(C74,'WTAX-GEN.AD'!C:O,2,0)</f>
        <v>#N/A</v>
      </c>
      <c r="E74" s="306">
        <f>VLOOKUP(B74,'WTAX-GEN.AD'!B:N,4,0)</f>
        <v>0</v>
      </c>
      <c r="F74" s="86"/>
      <c r="G74" s="91"/>
      <c r="H74" s="91"/>
      <c r="I74" s="37">
        <f t="shared" si="1"/>
        <v>0</v>
      </c>
      <c r="J74" s="332">
        <f>'WTAX-GEN.AD'!N61</f>
        <v>0</v>
      </c>
      <c r="K74" s="211">
        <f t="shared" si="2"/>
        <v>0</v>
      </c>
      <c r="L74" s="40">
        <f>'WTAX-GEN.AD'!F61</f>
        <v>0</v>
      </c>
      <c r="M74" s="37">
        <f>'GEN.AD - DEDS'!R73</f>
        <v>0</v>
      </c>
      <c r="N74" s="37">
        <f>'GEN.AD - DEDS'!X73</f>
        <v>0</v>
      </c>
      <c r="O74" s="37">
        <f>'GEN.AD - DEDS'!Y73</f>
        <v>0</v>
      </c>
      <c r="P74" s="37">
        <f>'GEN.AD - DEDS'!AE73</f>
        <v>0</v>
      </c>
      <c r="Q74" s="38">
        <f t="shared" si="3"/>
        <v>0</v>
      </c>
      <c r="R74" s="49">
        <f t="shared" si="4"/>
        <v>0</v>
      </c>
      <c r="S74" s="76">
        <f t="shared" si="5"/>
        <v>0</v>
      </c>
      <c r="T74" s="77">
        <f t="shared" si="6"/>
        <v>0</v>
      </c>
      <c r="U74" s="221">
        <f t="shared" si="7"/>
        <v>54</v>
      </c>
      <c r="V74" s="36">
        <f>ROUND('GEN.AD - PAY'!I74*0.12,2)</f>
        <v>0</v>
      </c>
      <c r="W74" s="37">
        <v>100</v>
      </c>
      <c r="X74" s="37">
        <f>MIN((I74*0.05)-'GEN.AD - DEDS'!Y73,2500)</f>
        <v>0</v>
      </c>
      <c r="Y74" s="35">
        <v>200</v>
      </c>
    </row>
    <row r="75" spans="1:25" ht="18.75" customHeight="1" x14ac:dyDescent="0.25">
      <c r="A75" s="98"/>
      <c r="B75" s="33">
        <f t="shared" si="9"/>
        <v>55</v>
      </c>
      <c r="C75" s="72">
        <f>VLOOKUP(B75,'WTAX-GEN.AD'!B:N,2,0)</f>
        <v>0</v>
      </c>
      <c r="D75" s="72" t="e">
        <f>VLOOKUP(C75,'WTAX-GEN.AD'!C:O,2,0)</f>
        <v>#N/A</v>
      </c>
      <c r="E75" s="306">
        <f>VLOOKUP(B75,'WTAX-GEN.AD'!B:N,4,0)</f>
        <v>0</v>
      </c>
      <c r="F75" s="89"/>
      <c r="G75" s="91"/>
      <c r="H75" s="91"/>
      <c r="I75" s="37">
        <f t="shared" si="1"/>
        <v>0</v>
      </c>
      <c r="J75" s="332">
        <f>'WTAX-GEN.AD'!N62</f>
        <v>0</v>
      </c>
      <c r="K75" s="211">
        <f t="shared" si="2"/>
        <v>0</v>
      </c>
      <c r="L75" s="40">
        <f>'WTAX-GEN.AD'!F62</f>
        <v>0</v>
      </c>
      <c r="M75" s="37">
        <f>'GEN.AD - DEDS'!R74</f>
        <v>0</v>
      </c>
      <c r="N75" s="37">
        <f>'GEN.AD - DEDS'!X74</f>
        <v>0</v>
      </c>
      <c r="O75" s="37">
        <f>'GEN.AD - DEDS'!Y74</f>
        <v>0</v>
      </c>
      <c r="P75" s="37">
        <f>'GEN.AD - DEDS'!AE74</f>
        <v>0</v>
      </c>
      <c r="Q75" s="38">
        <f t="shared" si="3"/>
        <v>0</v>
      </c>
      <c r="R75" s="49">
        <f t="shared" si="4"/>
        <v>0</v>
      </c>
      <c r="S75" s="76">
        <f t="shared" si="5"/>
        <v>0</v>
      </c>
      <c r="T75" s="77">
        <f t="shared" si="6"/>
        <v>0</v>
      </c>
      <c r="U75" s="221">
        <f t="shared" si="7"/>
        <v>55</v>
      </c>
      <c r="V75" s="36">
        <f>ROUND('GEN.AD - PAY'!I75*0.12,2)</f>
        <v>0</v>
      </c>
      <c r="W75" s="37">
        <v>100</v>
      </c>
      <c r="X75" s="37">
        <f>MIN((I75*0.05)-'GEN.AD - DEDS'!Y74,2500)</f>
        <v>0</v>
      </c>
      <c r="Y75" s="35">
        <v>200</v>
      </c>
    </row>
    <row r="76" spans="1:25" ht="18.75" customHeight="1" x14ac:dyDescent="0.25">
      <c r="A76" s="98"/>
      <c r="B76" s="33">
        <f t="shared" si="9"/>
        <v>56</v>
      </c>
      <c r="C76" s="72">
        <f>VLOOKUP(B76,'WTAX-GEN.AD'!B:N,2,0)</f>
        <v>0</v>
      </c>
      <c r="D76" s="72" t="e">
        <f>VLOOKUP(C76,'WTAX-GEN.AD'!C:O,2,0)</f>
        <v>#N/A</v>
      </c>
      <c r="E76" s="306">
        <f>VLOOKUP(B76,'WTAX-GEN.AD'!B:N,4,0)</f>
        <v>0</v>
      </c>
      <c r="F76" s="89"/>
      <c r="G76" s="91"/>
      <c r="H76" s="91"/>
      <c r="I76" s="37">
        <f t="shared" si="1"/>
        <v>0</v>
      </c>
      <c r="J76" s="332">
        <f>'WTAX-GEN.AD'!N63</f>
        <v>0</v>
      </c>
      <c r="K76" s="211">
        <f t="shared" si="2"/>
        <v>0</v>
      </c>
      <c r="L76" s="40">
        <f>'WTAX-GEN.AD'!F63</f>
        <v>0</v>
      </c>
      <c r="M76" s="37">
        <f>'GEN.AD - DEDS'!R75</f>
        <v>0</v>
      </c>
      <c r="N76" s="37">
        <f>'GEN.AD - DEDS'!X75</f>
        <v>0</v>
      </c>
      <c r="O76" s="37">
        <f>'GEN.AD - DEDS'!Y75</f>
        <v>0</v>
      </c>
      <c r="P76" s="37">
        <f>'GEN.AD - DEDS'!AE75</f>
        <v>0</v>
      </c>
      <c r="Q76" s="38">
        <f t="shared" si="3"/>
        <v>0</v>
      </c>
      <c r="R76" s="49">
        <f t="shared" si="4"/>
        <v>0</v>
      </c>
      <c r="S76" s="76">
        <f t="shared" si="5"/>
        <v>0</v>
      </c>
      <c r="T76" s="77">
        <f t="shared" si="6"/>
        <v>0</v>
      </c>
      <c r="U76" s="221">
        <f t="shared" si="7"/>
        <v>56</v>
      </c>
      <c r="V76" s="36">
        <f>ROUND('GEN.AD - PAY'!I76*0.12,2)</f>
        <v>0</v>
      </c>
      <c r="W76" s="37">
        <v>100</v>
      </c>
      <c r="X76" s="37">
        <f>MIN((I76*0.05)-'GEN.AD - DEDS'!Y75,2500)</f>
        <v>0</v>
      </c>
      <c r="Y76" s="35">
        <v>200</v>
      </c>
    </row>
    <row r="77" spans="1:25" s="601" customFormat="1" ht="18.75" customHeight="1" x14ac:dyDescent="0.25">
      <c r="A77" s="587"/>
      <c r="B77" s="600">
        <f t="shared" si="9"/>
        <v>57</v>
      </c>
      <c r="C77" s="589">
        <f>VLOOKUP(B77,'WTAX-GEN.AD'!B:N,2,0)</f>
        <v>0</v>
      </c>
      <c r="D77" s="589" t="e">
        <f>VLOOKUP(C77,'WTAX-GEN.AD'!C:O,2,0)</f>
        <v>#N/A</v>
      </c>
      <c r="E77" s="591">
        <f>VLOOKUP(B77,'WTAX-GEN.AD'!B:N,4,0)</f>
        <v>0</v>
      </c>
      <c r="F77" s="595"/>
      <c r="G77" s="607"/>
      <c r="H77" s="607"/>
      <c r="I77" s="593">
        <f t="shared" si="1"/>
        <v>0</v>
      </c>
      <c r="J77" s="593">
        <f>'WTAX-GEN.AD'!N64</f>
        <v>0</v>
      </c>
      <c r="K77" s="602">
        <f t="shared" si="2"/>
        <v>0</v>
      </c>
      <c r="L77" s="592">
        <f>'WTAX-GEN.AD'!F64</f>
        <v>0</v>
      </c>
      <c r="M77" s="593">
        <f>'GEN.AD - DEDS'!R76</f>
        <v>0</v>
      </c>
      <c r="N77" s="593">
        <f>'GEN.AD - DEDS'!X76</f>
        <v>0</v>
      </c>
      <c r="O77" s="593">
        <f>'GEN.AD - DEDS'!Y76</f>
        <v>0</v>
      </c>
      <c r="P77" s="593">
        <f>'GEN.AD - DEDS'!AE76</f>
        <v>0</v>
      </c>
      <c r="Q77" s="594">
        <f t="shared" si="3"/>
        <v>0</v>
      </c>
      <c r="R77" s="603">
        <f t="shared" si="4"/>
        <v>0</v>
      </c>
      <c r="S77" s="604">
        <f t="shared" si="5"/>
        <v>0</v>
      </c>
      <c r="T77" s="605">
        <f t="shared" si="6"/>
        <v>0</v>
      </c>
      <c r="U77" s="639">
        <f t="shared" si="7"/>
        <v>57</v>
      </c>
      <c r="V77" s="595">
        <f>ROUND('GEN.AD - PAY'!I77*0.12,2)</f>
        <v>0</v>
      </c>
      <c r="W77" s="593">
        <v>100</v>
      </c>
      <c r="X77" s="593">
        <f>MIN((I77*0.05)-'GEN.AD - DEDS'!Y76,2500)</f>
        <v>0</v>
      </c>
      <c r="Y77" s="596">
        <v>200</v>
      </c>
    </row>
    <row r="78" spans="1:25" ht="18.75" customHeight="1" x14ac:dyDescent="0.25">
      <c r="A78" s="98"/>
      <c r="B78" s="33">
        <f t="shared" si="9"/>
        <v>58</v>
      </c>
      <c r="C78" s="72">
        <f>VLOOKUP(B78,'WTAX-GEN.AD'!B:N,2,0)</f>
        <v>0</v>
      </c>
      <c r="D78" s="72" t="e">
        <f>VLOOKUP(C78,'WTAX-GEN.AD'!C:O,2,0)</f>
        <v>#N/A</v>
      </c>
      <c r="E78" s="306">
        <f>VLOOKUP(B78,'WTAX-GEN.AD'!B:N,4,0)</f>
        <v>0</v>
      </c>
      <c r="F78" s="89"/>
      <c r="G78" s="91"/>
      <c r="H78" s="91"/>
      <c r="I78" s="37">
        <f t="shared" si="1"/>
        <v>0</v>
      </c>
      <c r="J78" s="332">
        <f>'WTAX-GEN.AD'!N65</f>
        <v>0</v>
      </c>
      <c r="K78" s="211">
        <f t="shared" si="2"/>
        <v>0</v>
      </c>
      <c r="L78" s="40">
        <f>'WTAX-GEN.AD'!F65</f>
        <v>0</v>
      </c>
      <c r="M78" s="37">
        <f>'GEN.AD - DEDS'!R77</f>
        <v>0</v>
      </c>
      <c r="N78" s="37">
        <f>'GEN.AD - DEDS'!X77</f>
        <v>0</v>
      </c>
      <c r="O78" s="37">
        <f>'GEN.AD - DEDS'!Y77</f>
        <v>0</v>
      </c>
      <c r="P78" s="37">
        <f>'GEN.AD - DEDS'!AE77</f>
        <v>0</v>
      </c>
      <c r="Q78" s="38">
        <f t="shared" si="3"/>
        <v>0</v>
      </c>
      <c r="R78" s="49">
        <f t="shared" si="4"/>
        <v>0</v>
      </c>
      <c r="S78" s="76">
        <f t="shared" si="5"/>
        <v>0</v>
      </c>
      <c r="T78" s="77">
        <f t="shared" si="6"/>
        <v>0</v>
      </c>
      <c r="U78" s="221">
        <f t="shared" si="7"/>
        <v>58</v>
      </c>
      <c r="V78" s="36">
        <f>ROUND('GEN.AD - PAY'!I78*0.12,2)</f>
        <v>0</v>
      </c>
      <c r="W78" s="37">
        <v>100</v>
      </c>
      <c r="X78" s="37">
        <f>MIN((I78*0.05)-'GEN.AD - DEDS'!Y77,2500)</f>
        <v>0</v>
      </c>
      <c r="Y78" s="35">
        <v>200</v>
      </c>
    </row>
    <row r="79" spans="1:25" ht="18.75" customHeight="1" x14ac:dyDescent="0.25">
      <c r="A79" s="98"/>
      <c r="B79" s="33">
        <f t="shared" si="9"/>
        <v>59</v>
      </c>
      <c r="C79" s="72">
        <f>VLOOKUP(B79,'WTAX-GEN.AD'!B:N,2,0)</f>
        <v>0</v>
      </c>
      <c r="D79" s="72" t="e">
        <f>VLOOKUP(C79,'WTAX-GEN.AD'!C:O,2,0)</f>
        <v>#N/A</v>
      </c>
      <c r="E79" s="306">
        <f>VLOOKUP(B79,'WTAX-GEN.AD'!B:N,4,0)</f>
        <v>0</v>
      </c>
      <c r="F79" s="89"/>
      <c r="G79" s="91"/>
      <c r="H79" s="91"/>
      <c r="I79" s="37">
        <f t="shared" si="1"/>
        <v>0</v>
      </c>
      <c r="J79" s="332">
        <f>'WTAX-GEN.AD'!N66</f>
        <v>0</v>
      </c>
      <c r="K79" s="211">
        <f t="shared" si="2"/>
        <v>0</v>
      </c>
      <c r="L79" s="40">
        <f>'WTAX-GEN.AD'!F66</f>
        <v>0</v>
      </c>
      <c r="M79" s="37">
        <f>'GEN.AD - DEDS'!R78</f>
        <v>0</v>
      </c>
      <c r="N79" s="37">
        <f>'GEN.AD - DEDS'!X78</f>
        <v>0</v>
      </c>
      <c r="O79" s="37">
        <f>'GEN.AD - DEDS'!Y78</f>
        <v>0</v>
      </c>
      <c r="P79" s="37">
        <f>'GEN.AD - DEDS'!AE78</f>
        <v>0</v>
      </c>
      <c r="Q79" s="38">
        <f t="shared" si="3"/>
        <v>0</v>
      </c>
      <c r="R79" s="49">
        <f t="shared" si="4"/>
        <v>0</v>
      </c>
      <c r="S79" s="76">
        <f t="shared" si="5"/>
        <v>0</v>
      </c>
      <c r="T79" s="77">
        <f t="shared" si="6"/>
        <v>0</v>
      </c>
      <c r="U79" s="221">
        <f t="shared" si="7"/>
        <v>59</v>
      </c>
      <c r="V79" s="36">
        <f>ROUND('GEN.AD - PAY'!I79*0.12,2)</f>
        <v>0</v>
      </c>
      <c r="W79" s="37">
        <v>100</v>
      </c>
      <c r="X79" s="37">
        <f>MIN((I79*0.05)-'GEN.AD - DEDS'!Y78,2500)</f>
        <v>0</v>
      </c>
      <c r="Y79" s="35">
        <v>200</v>
      </c>
    </row>
    <row r="80" spans="1:25" ht="18.75" customHeight="1" x14ac:dyDescent="0.25">
      <c r="A80" s="98"/>
      <c r="B80" s="33">
        <f t="shared" si="9"/>
        <v>60</v>
      </c>
      <c r="C80" s="72">
        <f>VLOOKUP(B80,'WTAX-GEN.AD'!B:N,2,0)</f>
        <v>0</v>
      </c>
      <c r="D80" s="72" t="e">
        <f>VLOOKUP(C80,'WTAX-GEN.AD'!C:O,2,0)</f>
        <v>#N/A</v>
      </c>
      <c r="E80" s="306">
        <f>VLOOKUP(B80,'WTAX-GEN.AD'!B:N,4,0)</f>
        <v>0</v>
      </c>
      <c r="F80" s="89"/>
      <c r="G80" s="91"/>
      <c r="H80" s="91"/>
      <c r="I80" s="37">
        <f t="shared" si="1"/>
        <v>0</v>
      </c>
      <c r="J80" s="332">
        <f>'WTAX-GEN.AD'!N67</f>
        <v>0</v>
      </c>
      <c r="K80" s="211">
        <f t="shared" si="2"/>
        <v>0</v>
      </c>
      <c r="L80" s="40">
        <f>'WTAX-GEN.AD'!F67</f>
        <v>0</v>
      </c>
      <c r="M80" s="37">
        <f>'GEN.AD - DEDS'!R79</f>
        <v>0</v>
      </c>
      <c r="N80" s="37">
        <f>'GEN.AD - DEDS'!X79</f>
        <v>0</v>
      </c>
      <c r="O80" s="37">
        <f>'GEN.AD - DEDS'!Y79</f>
        <v>0</v>
      </c>
      <c r="P80" s="37">
        <f>'GEN.AD - DEDS'!AE79</f>
        <v>0</v>
      </c>
      <c r="Q80" s="38">
        <f t="shared" si="3"/>
        <v>0</v>
      </c>
      <c r="R80" s="49">
        <f t="shared" si="4"/>
        <v>0</v>
      </c>
      <c r="S80" s="76">
        <f t="shared" si="5"/>
        <v>0</v>
      </c>
      <c r="T80" s="77">
        <f t="shared" si="6"/>
        <v>0</v>
      </c>
      <c r="U80" s="221">
        <f t="shared" si="7"/>
        <v>60</v>
      </c>
      <c r="V80" s="36">
        <f>ROUND('GEN.AD - PAY'!I80*0.12,2)</f>
        <v>0</v>
      </c>
      <c r="W80" s="37">
        <v>100</v>
      </c>
      <c r="X80" s="37">
        <f>MIN((I80*0.05)-'GEN.AD - DEDS'!Y79,2500)</f>
        <v>0</v>
      </c>
      <c r="Y80" s="35">
        <v>200</v>
      </c>
    </row>
    <row r="81" spans="1:25" ht="18.75" customHeight="1" x14ac:dyDescent="0.25">
      <c r="A81" s="98"/>
      <c r="B81" s="33">
        <f t="shared" si="9"/>
        <v>61</v>
      </c>
      <c r="C81" s="72">
        <f>VLOOKUP(B81,'WTAX-GEN.AD'!B:N,2,0)</f>
        <v>0</v>
      </c>
      <c r="D81" s="72" t="e">
        <f>VLOOKUP(C81,'WTAX-GEN.AD'!C:O,2,0)</f>
        <v>#N/A</v>
      </c>
      <c r="E81" s="306">
        <f>VLOOKUP(B81,'WTAX-GEN.AD'!B:N,4,0)</f>
        <v>0</v>
      </c>
      <c r="F81" s="86"/>
      <c r="G81" s="88"/>
      <c r="H81" s="88"/>
      <c r="I81" s="37">
        <f t="shared" si="1"/>
        <v>0</v>
      </c>
      <c r="J81" s="332">
        <f>'WTAX-GEN.AD'!N68</f>
        <v>0</v>
      </c>
      <c r="K81" s="211">
        <f t="shared" si="2"/>
        <v>0</v>
      </c>
      <c r="L81" s="40">
        <f>'WTAX-GEN.AD'!F68</f>
        <v>0</v>
      </c>
      <c r="M81" s="37">
        <f>'GEN.AD - DEDS'!R80</f>
        <v>0</v>
      </c>
      <c r="N81" s="37">
        <f>'GEN.AD - DEDS'!X80</f>
        <v>0</v>
      </c>
      <c r="O81" s="37">
        <f>'GEN.AD - DEDS'!Y80</f>
        <v>0</v>
      </c>
      <c r="P81" s="37">
        <f>'GEN.AD - DEDS'!AE80</f>
        <v>0</v>
      </c>
      <c r="Q81" s="38">
        <f t="shared" si="3"/>
        <v>0</v>
      </c>
      <c r="R81" s="49">
        <f t="shared" si="4"/>
        <v>0</v>
      </c>
      <c r="S81" s="76">
        <f t="shared" si="5"/>
        <v>0</v>
      </c>
      <c r="T81" s="77">
        <f t="shared" si="6"/>
        <v>0</v>
      </c>
      <c r="U81" s="221">
        <f t="shared" si="7"/>
        <v>61</v>
      </c>
      <c r="V81" s="36">
        <f>ROUND('GEN.AD - PAY'!I81*0.12,2)</f>
        <v>0</v>
      </c>
      <c r="W81" s="37">
        <v>100</v>
      </c>
      <c r="X81" s="37">
        <f>MIN((I81*0.05)-'GEN.AD - DEDS'!Y80,2500)</f>
        <v>0</v>
      </c>
      <c r="Y81" s="35">
        <v>200</v>
      </c>
    </row>
    <row r="82" spans="1:25" ht="18.75" customHeight="1" x14ac:dyDescent="0.25">
      <c r="A82" s="98"/>
      <c r="B82" s="33">
        <f t="shared" si="9"/>
        <v>62</v>
      </c>
      <c r="C82" s="72">
        <f>VLOOKUP(B82,'WTAX-GEN.AD'!B:N,2,0)</f>
        <v>0</v>
      </c>
      <c r="D82" s="72" t="e">
        <f>VLOOKUP(C82,'WTAX-GEN.AD'!C:O,2,0)</f>
        <v>#N/A</v>
      </c>
      <c r="E82" s="306">
        <f>VLOOKUP(B82,'WTAX-GEN.AD'!B:N,4,0)</f>
        <v>0</v>
      </c>
      <c r="F82" s="89"/>
      <c r="G82" s="91"/>
      <c r="H82" s="91"/>
      <c r="I82" s="37">
        <f t="shared" si="1"/>
        <v>0</v>
      </c>
      <c r="J82" s="332">
        <f>'WTAX-GEN.AD'!N69</f>
        <v>0</v>
      </c>
      <c r="K82" s="211">
        <f t="shared" si="2"/>
        <v>0</v>
      </c>
      <c r="L82" s="40">
        <f>'WTAX-GEN.AD'!F69</f>
        <v>0</v>
      </c>
      <c r="M82" s="37">
        <f>'GEN.AD - DEDS'!R81</f>
        <v>0</v>
      </c>
      <c r="N82" s="37">
        <f>'GEN.AD - DEDS'!X81</f>
        <v>0</v>
      </c>
      <c r="O82" s="37">
        <f>'GEN.AD - DEDS'!Y81</f>
        <v>0</v>
      </c>
      <c r="P82" s="37">
        <f>'GEN.AD - DEDS'!AE81</f>
        <v>0</v>
      </c>
      <c r="Q82" s="38">
        <f t="shared" si="3"/>
        <v>0</v>
      </c>
      <c r="R82" s="49">
        <f t="shared" si="4"/>
        <v>0</v>
      </c>
      <c r="S82" s="76">
        <f t="shared" si="5"/>
        <v>0</v>
      </c>
      <c r="T82" s="77">
        <f t="shared" si="6"/>
        <v>0</v>
      </c>
      <c r="U82" s="221">
        <f t="shared" si="7"/>
        <v>62</v>
      </c>
      <c r="V82" s="36">
        <f>ROUND('GEN.AD - PAY'!I82*0.12,2)</f>
        <v>0</v>
      </c>
      <c r="W82" s="37">
        <v>100</v>
      </c>
      <c r="X82" s="37">
        <f>MIN((I82*0.05)-'GEN.AD - DEDS'!Y81,2500)</f>
        <v>0</v>
      </c>
      <c r="Y82" s="35">
        <v>200</v>
      </c>
    </row>
    <row r="83" spans="1:25" ht="18.75" customHeight="1" x14ac:dyDescent="0.25">
      <c r="A83" s="98"/>
      <c r="B83" s="33">
        <f t="shared" si="9"/>
        <v>63</v>
      </c>
      <c r="C83" s="72">
        <f>VLOOKUP(B83,'WTAX-GEN.AD'!B:N,2,0)</f>
        <v>0</v>
      </c>
      <c r="D83" s="72" t="e">
        <f>VLOOKUP(C83,'WTAX-GEN.AD'!C:O,2,0)</f>
        <v>#N/A</v>
      </c>
      <c r="E83" s="306">
        <f>VLOOKUP(B83,'WTAX-GEN.AD'!B:N,4,0)</f>
        <v>0</v>
      </c>
      <c r="F83" s="89"/>
      <c r="G83" s="91"/>
      <c r="H83" s="91"/>
      <c r="I83" s="37">
        <f t="shared" si="1"/>
        <v>0</v>
      </c>
      <c r="J83" s="332">
        <f>'WTAX-GEN.AD'!N70</f>
        <v>0</v>
      </c>
      <c r="K83" s="211">
        <f t="shared" si="2"/>
        <v>0</v>
      </c>
      <c r="L83" s="40">
        <f>'WTAX-GEN.AD'!F70</f>
        <v>0</v>
      </c>
      <c r="M83" s="37">
        <f>'GEN.AD - DEDS'!R82</f>
        <v>0</v>
      </c>
      <c r="N83" s="37">
        <f>'GEN.AD - DEDS'!X82</f>
        <v>0</v>
      </c>
      <c r="O83" s="37">
        <f>'GEN.AD - DEDS'!Y82</f>
        <v>0</v>
      </c>
      <c r="P83" s="37">
        <f>'GEN.AD - DEDS'!AE82</f>
        <v>0</v>
      </c>
      <c r="Q83" s="38">
        <f t="shared" si="3"/>
        <v>0</v>
      </c>
      <c r="R83" s="49">
        <f t="shared" si="4"/>
        <v>0</v>
      </c>
      <c r="S83" s="76">
        <f t="shared" si="5"/>
        <v>0</v>
      </c>
      <c r="T83" s="77">
        <f t="shared" si="6"/>
        <v>0</v>
      </c>
      <c r="U83" s="221">
        <f t="shared" si="7"/>
        <v>63</v>
      </c>
      <c r="V83" s="36">
        <f>ROUND('GEN.AD - PAY'!I83*0.12,2)</f>
        <v>0</v>
      </c>
      <c r="W83" s="37">
        <v>100</v>
      </c>
      <c r="X83" s="37">
        <f>MIN((I83*0.05)-'GEN.AD - DEDS'!Y82,2500)</f>
        <v>0</v>
      </c>
      <c r="Y83" s="35">
        <v>200</v>
      </c>
    </row>
    <row r="84" spans="1:25" ht="18.75" customHeight="1" x14ac:dyDescent="0.25">
      <c r="A84" s="98"/>
      <c r="B84" s="33">
        <f t="shared" si="9"/>
        <v>64</v>
      </c>
      <c r="C84" s="72">
        <f>VLOOKUP(B84,'WTAX-GEN.AD'!B:N,2,0)</f>
        <v>0</v>
      </c>
      <c r="D84" s="72" t="e">
        <f>VLOOKUP(C84,'WTAX-GEN.AD'!C:O,2,0)</f>
        <v>#N/A</v>
      </c>
      <c r="E84" s="306">
        <f>VLOOKUP(B84,'WTAX-GEN.AD'!B:N,4,0)</f>
        <v>0</v>
      </c>
      <c r="F84" s="86"/>
      <c r="G84" s="88"/>
      <c r="H84" s="88"/>
      <c r="I84" s="37">
        <f t="shared" si="1"/>
        <v>0</v>
      </c>
      <c r="J84" s="332">
        <f>'WTAX-GEN.AD'!N71</f>
        <v>0</v>
      </c>
      <c r="K84" s="211">
        <f t="shared" si="2"/>
        <v>0</v>
      </c>
      <c r="L84" s="40">
        <f>'WTAX-GEN.AD'!F71</f>
        <v>0</v>
      </c>
      <c r="M84" s="37">
        <f>'GEN.AD - DEDS'!R83</f>
        <v>0</v>
      </c>
      <c r="N84" s="37">
        <f>'GEN.AD - DEDS'!X83</f>
        <v>0</v>
      </c>
      <c r="O84" s="37">
        <f>'GEN.AD - DEDS'!Y83</f>
        <v>0</v>
      </c>
      <c r="P84" s="37">
        <f>'GEN.AD - DEDS'!AE83</f>
        <v>0</v>
      </c>
      <c r="Q84" s="38">
        <f t="shared" si="3"/>
        <v>0</v>
      </c>
      <c r="R84" s="49">
        <f t="shared" si="4"/>
        <v>0</v>
      </c>
      <c r="S84" s="76">
        <f t="shared" si="5"/>
        <v>0</v>
      </c>
      <c r="T84" s="77">
        <f t="shared" si="6"/>
        <v>0</v>
      </c>
      <c r="U84" s="221">
        <f t="shared" si="7"/>
        <v>64</v>
      </c>
      <c r="V84" s="36">
        <f>ROUND('GEN.AD - PAY'!I84*0.12,2)</f>
        <v>0</v>
      </c>
      <c r="W84" s="37">
        <v>100</v>
      </c>
      <c r="X84" s="37">
        <f>MIN((I84*0.05)-'GEN.AD - DEDS'!Y83,2500)</f>
        <v>0</v>
      </c>
      <c r="Y84" s="35">
        <v>200</v>
      </c>
    </row>
    <row r="85" spans="1:25" s="654" customFormat="1" ht="18.75" customHeight="1" x14ac:dyDescent="0.25">
      <c r="A85" s="640"/>
      <c r="B85" s="641">
        <f t="shared" si="9"/>
        <v>65</v>
      </c>
      <c r="C85" s="642">
        <f>VLOOKUP(B85,'WTAX-GEN.AD'!B:N,2,0)</f>
        <v>0</v>
      </c>
      <c r="D85" s="642" t="e">
        <f>VLOOKUP(C85,'WTAX-GEN.AD'!C:O,2,0)</f>
        <v>#N/A</v>
      </c>
      <c r="E85" s="643">
        <f>VLOOKUP(B85,'WTAX-GEN.AD'!B:N,4,0)</f>
        <v>0</v>
      </c>
      <c r="F85" s="655"/>
      <c r="G85" s="656"/>
      <c r="H85" s="656"/>
      <c r="I85" s="645">
        <f t="shared" si="1"/>
        <v>0</v>
      </c>
      <c r="J85" s="645">
        <f>'WTAX-GEN.AD'!N72</f>
        <v>0</v>
      </c>
      <c r="K85" s="646">
        <f t="shared" si="2"/>
        <v>0</v>
      </c>
      <c r="L85" s="647">
        <f>'WTAX-GEN.AD'!F72</f>
        <v>0</v>
      </c>
      <c r="M85" s="645">
        <f>'GEN.AD - DEDS'!R84</f>
        <v>0</v>
      </c>
      <c r="N85" s="645">
        <f>'GEN.AD - DEDS'!X84</f>
        <v>0</v>
      </c>
      <c r="O85" s="645">
        <f>'GEN.AD - DEDS'!Y84</f>
        <v>0</v>
      </c>
      <c r="P85" s="645">
        <f>'GEN.AD - DEDS'!AE84</f>
        <v>0</v>
      </c>
      <c r="Q85" s="648">
        <f t="shared" si="3"/>
        <v>0</v>
      </c>
      <c r="R85" s="649">
        <f t="shared" si="4"/>
        <v>0</v>
      </c>
      <c r="S85" s="650">
        <f t="shared" si="5"/>
        <v>0</v>
      </c>
      <c r="T85" s="651">
        <f t="shared" si="6"/>
        <v>0</v>
      </c>
      <c r="U85" s="652">
        <f t="shared" si="7"/>
        <v>65</v>
      </c>
      <c r="V85" s="644">
        <f>ROUND('GEN.AD - PAY'!I85*0.12,2)</f>
        <v>0</v>
      </c>
      <c r="W85" s="645">
        <v>100</v>
      </c>
      <c r="X85" s="645">
        <f>MIN((I85*0.05)-'GEN.AD - DEDS'!Y84,2500)</f>
        <v>0</v>
      </c>
      <c r="Y85" s="653">
        <v>200</v>
      </c>
    </row>
    <row r="86" spans="1:25" ht="18.75" customHeight="1" x14ac:dyDescent="0.25">
      <c r="A86" s="98"/>
      <c r="B86" s="33">
        <f t="shared" si="9"/>
        <v>66</v>
      </c>
      <c r="C86" s="72">
        <f>VLOOKUP(B86,'WTAX-GEN.AD'!B:N,2,0)</f>
        <v>0</v>
      </c>
      <c r="D86" s="72" t="e">
        <f>VLOOKUP(C86,'WTAX-GEN.AD'!C:O,2,0)</f>
        <v>#N/A</v>
      </c>
      <c r="E86" s="306">
        <f>VLOOKUP(B86,'WTAX-GEN.AD'!B:N,4,0)</f>
        <v>0</v>
      </c>
      <c r="F86" s="86"/>
      <c r="G86" s="88"/>
      <c r="H86" s="88"/>
      <c r="I86" s="37">
        <f t="shared" si="1"/>
        <v>0</v>
      </c>
      <c r="J86" s="332">
        <f>'WTAX-GEN.AD'!N73</f>
        <v>0</v>
      </c>
      <c r="K86" s="211">
        <f t="shared" si="2"/>
        <v>0</v>
      </c>
      <c r="L86" s="40">
        <f>'WTAX-GEN.AD'!F73</f>
        <v>0</v>
      </c>
      <c r="M86" s="37">
        <f>'GEN.AD - DEDS'!R85</f>
        <v>0</v>
      </c>
      <c r="N86" s="37">
        <f>'GEN.AD - DEDS'!X85</f>
        <v>0</v>
      </c>
      <c r="O86" s="37">
        <f>'GEN.AD - DEDS'!Y85</f>
        <v>0</v>
      </c>
      <c r="P86" s="37">
        <f>'GEN.AD - DEDS'!AE85</f>
        <v>0</v>
      </c>
      <c r="Q86" s="38">
        <f t="shared" si="3"/>
        <v>0</v>
      </c>
      <c r="R86" s="49">
        <f t="shared" si="4"/>
        <v>0</v>
      </c>
      <c r="S86" s="76">
        <f t="shared" si="5"/>
        <v>0</v>
      </c>
      <c r="T86" s="77">
        <f t="shared" si="6"/>
        <v>0</v>
      </c>
      <c r="U86" s="221">
        <f t="shared" si="7"/>
        <v>66</v>
      </c>
      <c r="V86" s="36">
        <f>ROUND('GEN.AD - PAY'!I86*0.12,2)</f>
        <v>0</v>
      </c>
      <c r="W86" s="37">
        <v>100</v>
      </c>
      <c r="X86" s="37">
        <f>MIN((I86*0.05)-'GEN.AD - DEDS'!Y85,2500)</f>
        <v>0</v>
      </c>
      <c r="Y86" s="35">
        <v>200</v>
      </c>
    </row>
    <row r="87" spans="1:25" ht="18.75" customHeight="1" x14ac:dyDescent="0.25">
      <c r="A87" s="98"/>
      <c r="B87" s="33">
        <f t="shared" si="9"/>
        <v>67</v>
      </c>
      <c r="C87" s="72">
        <f>VLOOKUP(B87,'WTAX-GEN.AD'!B:N,2,0)</f>
        <v>0</v>
      </c>
      <c r="D87" s="72" t="e">
        <f>VLOOKUP(C87,'WTAX-GEN.AD'!C:O,2,0)</f>
        <v>#N/A</v>
      </c>
      <c r="E87" s="306">
        <f>VLOOKUP(B87,'WTAX-GEN.AD'!B:N,4,0)</f>
        <v>0</v>
      </c>
      <c r="F87" s="86"/>
      <c r="G87" s="88"/>
      <c r="H87" s="88"/>
      <c r="I87" s="37">
        <f t="shared" ref="I87:I161" si="10">SUM(F87:H87)</f>
        <v>0</v>
      </c>
      <c r="J87" s="332">
        <f>'WTAX-GEN.AD'!N74</f>
        <v>0</v>
      </c>
      <c r="K87" s="211">
        <f t="shared" ref="K87:K161" si="11">ROUND(I87-J87,2)</f>
        <v>0</v>
      </c>
      <c r="L87" s="40">
        <f>'WTAX-GEN.AD'!F74</f>
        <v>0</v>
      </c>
      <c r="M87" s="37">
        <f>'GEN.AD - DEDS'!R86</f>
        <v>0</v>
      </c>
      <c r="N87" s="37">
        <f>'GEN.AD - DEDS'!X86</f>
        <v>0</v>
      </c>
      <c r="O87" s="37">
        <f>'GEN.AD - DEDS'!Y86</f>
        <v>0</v>
      </c>
      <c r="P87" s="37">
        <f>'GEN.AD - DEDS'!AE86</f>
        <v>0</v>
      </c>
      <c r="Q87" s="38">
        <f t="shared" ref="Q87:Q161" si="12">ROUND(SUM(L87:P87),2)</f>
        <v>0</v>
      </c>
      <c r="R87" s="49">
        <f t="shared" ref="R87:R161" si="13">K87-Q87</f>
        <v>0</v>
      </c>
      <c r="S87" s="76">
        <f t="shared" ref="S87:S161" si="14">ROUND(R87/2,0)</f>
        <v>0</v>
      </c>
      <c r="T87" s="77">
        <f t="shared" ref="T87:T161" si="15">R87-S87</f>
        <v>0</v>
      </c>
      <c r="U87" s="221">
        <f t="shared" ref="U87:U161" si="16">B87</f>
        <v>67</v>
      </c>
      <c r="V87" s="36">
        <f>ROUND('GEN.AD - PAY'!I87*0.12,2)</f>
        <v>0</v>
      </c>
      <c r="W87" s="37">
        <v>100</v>
      </c>
      <c r="X87" s="37">
        <f>MIN((I87*0.05)-'GEN.AD - DEDS'!Y86,2500)</f>
        <v>0</v>
      </c>
      <c r="Y87" s="35">
        <v>200</v>
      </c>
    </row>
    <row r="88" spans="1:25" ht="18.75" customHeight="1" x14ac:dyDescent="0.25">
      <c r="A88" s="98"/>
      <c r="B88" s="33">
        <f t="shared" si="9"/>
        <v>68</v>
      </c>
      <c r="C88" s="72">
        <f>VLOOKUP(B88,'WTAX-GEN.AD'!B:N,2,0)</f>
        <v>0</v>
      </c>
      <c r="D88" s="72" t="e">
        <f>VLOOKUP(C88,'WTAX-GEN.AD'!C:O,2,0)</f>
        <v>#N/A</v>
      </c>
      <c r="E88" s="306">
        <f>VLOOKUP(B88,'WTAX-GEN.AD'!B:N,4,0)</f>
        <v>0</v>
      </c>
      <c r="F88" s="89"/>
      <c r="G88" s="91"/>
      <c r="H88" s="91"/>
      <c r="I88" s="37">
        <f t="shared" si="10"/>
        <v>0</v>
      </c>
      <c r="J88" s="332">
        <f>'WTAX-GEN.AD'!N75</f>
        <v>0</v>
      </c>
      <c r="K88" s="211">
        <f t="shared" si="11"/>
        <v>0</v>
      </c>
      <c r="L88" s="40">
        <f>'WTAX-GEN.AD'!F75</f>
        <v>0</v>
      </c>
      <c r="M88" s="37">
        <f>'GEN.AD - DEDS'!R87</f>
        <v>0</v>
      </c>
      <c r="N88" s="37">
        <f>'GEN.AD - DEDS'!X87</f>
        <v>0</v>
      </c>
      <c r="O88" s="37">
        <f>'GEN.AD - DEDS'!Y87</f>
        <v>0</v>
      </c>
      <c r="P88" s="37">
        <f>'GEN.AD - DEDS'!AE87</f>
        <v>0</v>
      </c>
      <c r="Q88" s="38">
        <f t="shared" si="12"/>
        <v>0</v>
      </c>
      <c r="R88" s="49">
        <f t="shared" si="13"/>
        <v>0</v>
      </c>
      <c r="S88" s="76">
        <f t="shared" si="14"/>
        <v>0</v>
      </c>
      <c r="T88" s="77">
        <f t="shared" si="15"/>
        <v>0</v>
      </c>
      <c r="U88" s="221">
        <f t="shared" si="16"/>
        <v>68</v>
      </c>
      <c r="V88" s="36">
        <f>ROUND('GEN.AD - PAY'!I88*0.12,2)</f>
        <v>0</v>
      </c>
      <c r="W88" s="37">
        <v>100</v>
      </c>
      <c r="X88" s="37">
        <f>MIN((I88*0.05)-'GEN.AD - DEDS'!Y87,2500)</f>
        <v>0</v>
      </c>
      <c r="Y88" s="35">
        <v>200</v>
      </c>
    </row>
    <row r="89" spans="1:25" ht="18.75" customHeight="1" x14ac:dyDescent="0.25">
      <c r="A89" s="98"/>
      <c r="B89" s="33">
        <f t="shared" si="9"/>
        <v>69</v>
      </c>
      <c r="C89" s="72">
        <f>VLOOKUP(B89,'WTAX-GEN.AD'!B:N,2,0)</f>
        <v>0</v>
      </c>
      <c r="D89" s="72" t="e">
        <f>VLOOKUP(C89,'WTAX-GEN.AD'!C:O,2,0)</f>
        <v>#N/A</v>
      </c>
      <c r="E89" s="306">
        <f>VLOOKUP(B89,'WTAX-GEN.AD'!B:N,4,0)</f>
        <v>0</v>
      </c>
      <c r="F89" s="89"/>
      <c r="G89" s="91"/>
      <c r="H89" s="91"/>
      <c r="I89" s="37">
        <f t="shared" si="10"/>
        <v>0</v>
      </c>
      <c r="J89" s="332">
        <f>'WTAX-GEN.AD'!N76</f>
        <v>0</v>
      </c>
      <c r="K89" s="211">
        <f t="shared" si="11"/>
        <v>0</v>
      </c>
      <c r="L89" s="40">
        <f>'WTAX-GEN.AD'!F76</f>
        <v>0</v>
      </c>
      <c r="M89" s="37">
        <f>'GEN.AD - DEDS'!R88</f>
        <v>0</v>
      </c>
      <c r="N89" s="37">
        <f>'GEN.AD - DEDS'!X88</f>
        <v>0</v>
      </c>
      <c r="O89" s="37">
        <f>'GEN.AD - DEDS'!Y88</f>
        <v>0</v>
      </c>
      <c r="P89" s="37">
        <f>'GEN.AD - DEDS'!AE88</f>
        <v>0</v>
      </c>
      <c r="Q89" s="38">
        <f t="shared" si="12"/>
        <v>0</v>
      </c>
      <c r="R89" s="49">
        <f t="shared" si="13"/>
        <v>0</v>
      </c>
      <c r="S89" s="76">
        <f t="shared" si="14"/>
        <v>0</v>
      </c>
      <c r="T89" s="77">
        <f t="shared" si="15"/>
        <v>0</v>
      </c>
      <c r="U89" s="221">
        <f t="shared" si="16"/>
        <v>69</v>
      </c>
      <c r="V89" s="36">
        <f>ROUND('GEN.AD - PAY'!I89*0.12,2)</f>
        <v>0</v>
      </c>
      <c r="W89" s="37">
        <v>100</v>
      </c>
      <c r="X89" s="37">
        <f>MIN((I89*0.05)-'GEN.AD - DEDS'!Y88,2500)</f>
        <v>0</v>
      </c>
      <c r="Y89" s="35">
        <v>200</v>
      </c>
    </row>
    <row r="90" spans="1:25" ht="18.75" customHeight="1" x14ac:dyDescent="0.25">
      <c r="A90" s="98"/>
      <c r="B90" s="33">
        <f t="shared" si="9"/>
        <v>70</v>
      </c>
      <c r="C90" s="72">
        <f>VLOOKUP(B90,'WTAX-GEN.AD'!B:N,2,0)</f>
        <v>0</v>
      </c>
      <c r="D90" s="72" t="e">
        <f>VLOOKUP(C90,'WTAX-GEN.AD'!C:O,2,0)</f>
        <v>#N/A</v>
      </c>
      <c r="E90" s="306">
        <f>VLOOKUP(B90,'WTAX-GEN.AD'!B:N,4,0)</f>
        <v>0</v>
      </c>
      <c r="F90" s="89"/>
      <c r="G90" s="91"/>
      <c r="H90" s="91"/>
      <c r="I90" s="37">
        <f t="shared" si="10"/>
        <v>0</v>
      </c>
      <c r="J90" s="332">
        <f>'WTAX-GEN.AD'!N77</f>
        <v>0</v>
      </c>
      <c r="K90" s="211">
        <f t="shared" si="11"/>
        <v>0</v>
      </c>
      <c r="L90" s="40">
        <f>'WTAX-GEN.AD'!F77</f>
        <v>0</v>
      </c>
      <c r="M90" s="37">
        <f>'GEN.AD - DEDS'!R89</f>
        <v>0</v>
      </c>
      <c r="N90" s="37">
        <f>'GEN.AD - DEDS'!X89</f>
        <v>0</v>
      </c>
      <c r="O90" s="37">
        <f>'GEN.AD - DEDS'!Y89</f>
        <v>0</v>
      </c>
      <c r="P90" s="37">
        <f>'GEN.AD - DEDS'!AE89</f>
        <v>0</v>
      </c>
      <c r="Q90" s="38">
        <f t="shared" si="12"/>
        <v>0</v>
      </c>
      <c r="R90" s="49">
        <f t="shared" si="13"/>
        <v>0</v>
      </c>
      <c r="S90" s="76">
        <f t="shared" si="14"/>
        <v>0</v>
      </c>
      <c r="T90" s="77">
        <f t="shared" si="15"/>
        <v>0</v>
      </c>
      <c r="U90" s="221">
        <f t="shared" si="16"/>
        <v>70</v>
      </c>
      <c r="V90" s="36">
        <f>ROUND('GEN.AD - PAY'!I90*0.12,2)</f>
        <v>0</v>
      </c>
      <c r="W90" s="37">
        <v>100</v>
      </c>
      <c r="X90" s="37">
        <f>MIN((I90*0.05)-'GEN.AD - DEDS'!Y89,2500)</f>
        <v>0</v>
      </c>
      <c r="Y90" s="35">
        <v>200</v>
      </c>
    </row>
    <row r="91" spans="1:25" ht="18.75" customHeight="1" x14ac:dyDescent="0.25">
      <c r="A91" s="98"/>
      <c r="B91" s="33">
        <f t="shared" si="9"/>
        <v>71</v>
      </c>
      <c r="C91" s="72">
        <f>VLOOKUP(B91,'WTAX-GEN.AD'!B:N,2,0)</f>
        <v>0</v>
      </c>
      <c r="D91" s="72" t="e">
        <f>VLOOKUP(C91,'WTAX-GEN.AD'!C:O,2,0)</f>
        <v>#N/A</v>
      </c>
      <c r="E91" s="306">
        <f>VLOOKUP(B91,'WTAX-GEN.AD'!B:N,4,0)</f>
        <v>0</v>
      </c>
      <c r="F91" s="86"/>
      <c r="G91" s="88"/>
      <c r="H91" s="88"/>
      <c r="I91" s="37">
        <f t="shared" si="10"/>
        <v>0</v>
      </c>
      <c r="J91" s="332">
        <f>'WTAX-GEN.AD'!N78</f>
        <v>0</v>
      </c>
      <c r="K91" s="211">
        <f t="shared" si="11"/>
        <v>0</v>
      </c>
      <c r="L91" s="40">
        <f>'WTAX-GEN.AD'!F78</f>
        <v>0</v>
      </c>
      <c r="M91" s="37">
        <f>'GEN.AD - DEDS'!R90</f>
        <v>0</v>
      </c>
      <c r="N91" s="37">
        <f>'GEN.AD - DEDS'!X90</f>
        <v>0</v>
      </c>
      <c r="O91" s="37">
        <f>'GEN.AD - DEDS'!Y90</f>
        <v>0</v>
      </c>
      <c r="P91" s="37">
        <f>'GEN.AD - DEDS'!AE90</f>
        <v>0</v>
      </c>
      <c r="Q91" s="38">
        <f t="shared" si="12"/>
        <v>0</v>
      </c>
      <c r="R91" s="49">
        <f t="shared" si="13"/>
        <v>0</v>
      </c>
      <c r="S91" s="76">
        <f t="shared" si="14"/>
        <v>0</v>
      </c>
      <c r="T91" s="77">
        <f t="shared" si="15"/>
        <v>0</v>
      </c>
      <c r="U91" s="221">
        <f t="shared" si="16"/>
        <v>71</v>
      </c>
      <c r="V91" s="36">
        <f>ROUND('GEN.AD - PAY'!I91*0.12,2)</f>
        <v>0</v>
      </c>
      <c r="W91" s="37">
        <v>100</v>
      </c>
      <c r="X91" s="37">
        <f>MIN((I91*0.05)-'GEN.AD - DEDS'!Y90,2500)</f>
        <v>0</v>
      </c>
      <c r="Y91" s="35">
        <v>200</v>
      </c>
    </row>
    <row r="92" spans="1:25" ht="18.75" customHeight="1" x14ac:dyDescent="0.25">
      <c r="A92" s="98"/>
      <c r="B92" s="33">
        <f t="shared" si="9"/>
        <v>72</v>
      </c>
      <c r="C92" s="72">
        <f>VLOOKUP(B92,'WTAX-GEN.AD'!B:N,2,0)</f>
        <v>0</v>
      </c>
      <c r="D92" s="72" t="e">
        <f>VLOOKUP(C92,'WTAX-GEN.AD'!C:O,2,0)</f>
        <v>#N/A</v>
      </c>
      <c r="E92" s="306">
        <f>VLOOKUP(B92,'WTAX-GEN.AD'!B:N,4,0)</f>
        <v>0</v>
      </c>
      <c r="F92" s="89"/>
      <c r="G92" s="91"/>
      <c r="H92" s="91"/>
      <c r="I92" s="37">
        <f t="shared" si="10"/>
        <v>0</v>
      </c>
      <c r="J92" s="332">
        <f>'WTAX-GEN.AD'!N79</f>
        <v>0</v>
      </c>
      <c r="K92" s="211">
        <f t="shared" si="11"/>
        <v>0</v>
      </c>
      <c r="L92" s="40">
        <f>'WTAX-GEN.AD'!F79</f>
        <v>0</v>
      </c>
      <c r="M92" s="37">
        <f>'GEN.AD - DEDS'!R91</f>
        <v>0</v>
      </c>
      <c r="N92" s="37">
        <f>'GEN.AD - DEDS'!X91</f>
        <v>0</v>
      </c>
      <c r="O92" s="37">
        <f>'GEN.AD - DEDS'!Y91</f>
        <v>0</v>
      </c>
      <c r="P92" s="37">
        <f>'GEN.AD - DEDS'!AE91</f>
        <v>0</v>
      </c>
      <c r="Q92" s="38">
        <f t="shared" si="12"/>
        <v>0</v>
      </c>
      <c r="R92" s="49">
        <f t="shared" si="13"/>
        <v>0</v>
      </c>
      <c r="S92" s="76">
        <f t="shared" si="14"/>
        <v>0</v>
      </c>
      <c r="T92" s="77">
        <f t="shared" si="15"/>
        <v>0</v>
      </c>
      <c r="U92" s="221">
        <f t="shared" si="16"/>
        <v>72</v>
      </c>
      <c r="V92" s="36">
        <f>ROUND('GEN.AD - PAY'!I92*0.12,2)</f>
        <v>0</v>
      </c>
      <c r="W92" s="37">
        <v>100</v>
      </c>
      <c r="X92" s="37">
        <f>MIN((I92*0.05)-'GEN.AD - DEDS'!Y91,2500)</f>
        <v>0</v>
      </c>
      <c r="Y92" s="35">
        <v>200</v>
      </c>
    </row>
    <row r="93" spans="1:25" ht="18.75" customHeight="1" x14ac:dyDescent="0.25">
      <c r="A93" s="98"/>
      <c r="B93" s="33">
        <f t="shared" si="9"/>
        <v>73</v>
      </c>
      <c r="C93" s="72">
        <f>VLOOKUP(B93,'WTAX-GEN.AD'!B:N,2,0)</f>
        <v>0</v>
      </c>
      <c r="D93" s="72" t="e">
        <f>VLOOKUP(C93,'WTAX-GEN.AD'!C:O,2,0)</f>
        <v>#N/A</v>
      </c>
      <c r="E93" s="306">
        <f>VLOOKUP(B93,'WTAX-GEN.AD'!B:N,4,0)</f>
        <v>0</v>
      </c>
      <c r="F93" s="89"/>
      <c r="G93" s="91"/>
      <c r="H93" s="91"/>
      <c r="I93" s="37">
        <f t="shared" si="10"/>
        <v>0</v>
      </c>
      <c r="J93" s="332">
        <f>'WTAX-GEN.AD'!N80</f>
        <v>0</v>
      </c>
      <c r="K93" s="211">
        <f t="shared" si="11"/>
        <v>0</v>
      </c>
      <c r="L93" s="40">
        <f>'WTAX-GEN.AD'!F80</f>
        <v>0</v>
      </c>
      <c r="M93" s="37">
        <f>'GEN.AD - DEDS'!R92</f>
        <v>0</v>
      </c>
      <c r="N93" s="37">
        <f>'GEN.AD - DEDS'!X92</f>
        <v>0</v>
      </c>
      <c r="O93" s="37">
        <f>'GEN.AD - DEDS'!Y92</f>
        <v>0</v>
      </c>
      <c r="P93" s="37">
        <f>'GEN.AD - DEDS'!AE92</f>
        <v>0</v>
      </c>
      <c r="Q93" s="38">
        <f t="shared" si="12"/>
        <v>0</v>
      </c>
      <c r="R93" s="49">
        <f t="shared" si="13"/>
        <v>0</v>
      </c>
      <c r="S93" s="76">
        <f t="shared" si="14"/>
        <v>0</v>
      </c>
      <c r="T93" s="77">
        <f t="shared" si="15"/>
        <v>0</v>
      </c>
      <c r="U93" s="221">
        <f t="shared" si="16"/>
        <v>73</v>
      </c>
      <c r="V93" s="36">
        <f>ROUND('GEN.AD - PAY'!I93*0.12,2)</f>
        <v>0</v>
      </c>
      <c r="W93" s="37">
        <v>100</v>
      </c>
      <c r="X93" s="37">
        <f>MIN((I93*0.05)-'GEN.AD - DEDS'!Y92,2500)</f>
        <v>0</v>
      </c>
      <c r="Y93" s="35">
        <v>200</v>
      </c>
    </row>
    <row r="94" spans="1:25" ht="18.75" customHeight="1" x14ac:dyDescent="0.25">
      <c r="A94" s="98"/>
      <c r="B94" s="33">
        <f t="shared" si="9"/>
        <v>74</v>
      </c>
      <c r="C94" s="72">
        <f>VLOOKUP(B94,'WTAX-GEN.AD'!B:N,2,0)</f>
        <v>0</v>
      </c>
      <c r="D94" s="72" t="e">
        <f>VLOOKUP(C94,'WTAX-GEN.AD'!C:O,2,0)</f>
        <v>#N/A</v>
      </c>
      <c r="E94" s="306">
        <f>VLOOKUP(B94,'WTAX-GEN.AD'!B:N,4,0)</f>
        <v>0</v>
      </c>
      <c r="F94" s="89"/>
      <c r="G94" s="91"/>
      <c r="H94" s="91"/>
      <c r="I94" s="37">
        <f t="shared" si="10"/>
        <v>0</v>
      </c>
      <c r="J94" s="332">
        <f>'WTAX-GEN.AD'!N81</f>
        <v>0</v>
      </c>
      <c r="K94" s="211">
        <f t="shared" si="11"/>
        <v>0</v>
      </c>
      <c r="L94" s="40">
        <f>'WTAX-GEN.AD'!F81</f>
        <v>0</v>
      </c>
      <c r="M94" s="37">
        <f>'GEN.AD - DEDS'!R93</f>
        <v>0</v>
      </c>
      <c r="N94" s="37">
        <f>'GEN.AD - DEDS'!X93</f>
        <v>0</v>
      </c>
      <c r="O94" s="37">
        <f>'GEN.AD - DEDS'!Y93</f>
        <v>0</v>
      </c>
      <c r="P94" s="37">
        <f>'GEN.AD - DEDS'!AE93</f>
        <v>0</v>
      </c>
      <c r="Q94" s="38">
        <f t="shared" si="12"/>
        <v>0</v>
      </c>
      <c r="R94" s="49">
        <f t="shared" si="13"/>
        <v>0</v>
      </c>
      <c r="S94" s="76">
        <f t="shared" si="14"/>
        <v>0</v>
      </c>
      <c r="T94" s="77">
        <f t="shared" si="15"/>
        <v>0</v>
      </c>
      <c r="U94" s="221">
        <f t="shared" si="16"/>
        <v>74</v>
      </c>
      <c r="V94" s="36">
        <f>ROUND('GEN.AD - PAY'!I94*0.12,2)</f>
        <v>0</v>
      </c>
      <c r="W94" s="37">
        <v>100</v>
      </c>
      <c r="X94" s="37">
        <f>MIN((I94*0.05)-'GEN.AD - DEDS'!Y93,2500)</f>
        <v>0</v>
      </c>
      <c r="Y94" s="35">
        <v>200</v>
      </c>
    </row>
    <row r="95" spans="1:25" ht="18.75" customHeight="1" x14ac:dyDescent="0.25">
      <c r="A95" s="98"/>
      <c r="B95" s="33">
        <f t="shared" si="9"/>
        <v>75</v>
      </c>
      <c r="C95" s="72">
        <f>VLOOKUP(B95,'WTAX-GEN.AD'!B:N,2,0)</f>
        <v>0</v>
      </c>
      <c r="D95" s="72" t="e">
        <f>VLOOKUP(C95,'WTAX-GEN.AD'!C:O,2,0)</f>
        <v>#N/A</v>
      </c>
      <c r="E95" s="306">
        <f>VLOOKUP(B95,'WTAX-GEN.AD'!B:N,4,0)</f>
        <v>0</v>
      </c>
      <c r="F95" s="89"/>
      <c r="G95" s="91"/>
      <c r="H95" s="91"/>
      <c r="I95" s="37">
        <f t="shared" si="10"/>
        <v>0</v>
      </c>
      <c r="J95" s="332">
        <f>'WTAX-GEN.AD'!N82</f>
        <v>0</v>
      </c>
      <c r="K95" s="211">
        <f t="shared" si="11"/>
        <v>0</v>
      </c>
      <c r="L95" s="40">
        <f>'WTAX-GEN.AD'!F82</f>
        <v>0</v>
      </c>
      <c r="M95" s="37">
        <f>'GEN.AD - DEDS'!R94</f>
        <v>0</v>
      </c>
      <c r="N95" s="37">
        <f>'GEN.AD - DEDS'!X94</f>
        <v>0</v>
      </c>
      <c r="O95" s="37">
        <f>'GEN.AD - DEDS'!Y94</f>
        <v>0</v>
      </c>
      <c r="P95" s="37">
        <f>'GEN.AD - DEDS'!AE94</f>
        <v>0</v>
      </c>
      <c r="Q95" s="38">
        <f t="shared" si="12"/>
        <v>0</v>
      </c>
      <c r="R95" s="49">
        <f t="shared" si="13"/>
        <v>0</v>
      </c>
      <c r="S95" s="76">
        <f t="shared" si="14"/>
        <v>0</v>
      </c>
      <c r="T95" s="77">
        <f t="shared" si="15"/>
        <v>0</v>
      </c>
      <c r="U95" s="221">
        <f t="shared" si="16"/>
        <v>75</v>
      </c>
      <c r="V95" s="36">
        <f>ROUND('GEN.AD - PAY'!I95*0.12,2)</f>
        <v>0</v>
      </c>
      <c r="W95" s="37">
        <v>100</v>
      </c>
      <c r="X95" s="37">
        <f>MIN((I95*0.05)-'GEN.AD - DEDS'!Y94,2500)</f>
        <v>0</v>
      </c>
      <c r="Y95" s="35">
        <v>200</v>
      </c>
    </row>
    <row r="96" spans="1:25" ht="18.75" customHeight="1" x14ac:dyDescent="0.25">
      <c r="A96" s="98"/>
      <c r="B96" s="33">
        <f t="shared" si="9"/>
        <v>76</v>
      </c>
      <c r="C96" s="72">
        <f>VLOOKUP(B96,'WTAX-GEN.AD'!B:N,2,0)</f>
        <v>0</v>
      </c>
      <c r="D96" s="72" t="e">
        <f>VLOOKUP(C96,'WTAX-GEN.AD'!C:O,2,0)</f>
        <v>#N/A</v>
      </c>
      <c r="E96" s="306">
        <f>VLOOKUP(B96,'WTAX-GEN.AD'!B:N,4,0)</f>
        <v>0</v>
      </c>
      <c r="F96" s="89"/>
      <c r="G96" s="91"/>
      <c r="H96" s="91"/>
      <c r="I96" s="37">
        <f t="shared" si="10"/>
        <v>0</v>
      </c>
      <c r="J96" s="332">
        <f>'WTAX-GEN.AD'!N83</f>
        <v>0</v>
      </c>
      <c r="K96" s="211">
        <f t="shared" si="11"/>
        <v>0</v>
      </c>
      <c r="L96" s="40">
        <f>'WTAX-GEN.AD'!F83</f>
        <v>0</v>
      </c>
      <c r="M96" s="37">
        <f>'GEN.AD - DEDS'!R95</f>
        <v>0</v>
      </c>
      <c r="N96" s="37">
        <f>'GEN.AD - DEDS'!X95</f>
        <v>0</v>
      </c>
      <c r="O96" s="37">
        <f>'GEN.AD - DEDS'!Y95</f>
        <v>0</v>
      </c>
      <c r="P96" s="37">
        <f>'GEN.AD - DEDS'!AE95</f>
        <v>0</v>
      </c>
      <c r="Q96" s="38">
        <f t="shared" si="12"/>
        <v>0</v>
      </c>
      <c r="R96" s="49">
        <f t="shared" si="13"/>
        <v>0</v>
      </c>
      <c r="S96" s="76">
        <f t="shared" si="14"/>
        <v>0</v>
      </c>
      <c r="T96" s="77">
        <f t="shared" si="15"/>
        <v>0</v>
      </c>
      <c r="U96" s="221">
        <f t="shared" si="16"/>
        <v>76</v>
      </c>
      <c r="V96" s="36">
        <f>ROUND('GEN.AD - PAY'!I96*0.12,2)</f>
        <v>0</v>
      </c>
      <c r="W96" s="37">
        <v>100</v>
      </c>
      <c r="X96" s="37">
        <f>MIN((I96*0.05)-'GEN.AD - DEDS'!Y95,2500)</f>
        <v>0</v>
      </c>
      <c r="Y96" s="35">
        <v>200</v>
      </c>
    </row>
    <row r="97" spans="1:25" ht="18.75" customHeight="1" x14ac:dyDescent="0.25">
      <c r="A97" s="98"/>
      <c r="B97" s="33">
        <f t="shared" si="9"/>
        <v>77</v>
      </c>
      <c r="C97" s="72">
        <f>VLOOKUP(B97,'WTAX-GEN.AD'!B:N,2,0)</f>
        <v>0</v>
      </c>
      <c r="D97" s="72" t="e">
        <f>VLOOKUP(C97,'WTAX-GEN.AD'!C:O,2,0)</f>
        <v>#N/A</v>
      </c>
      <c r="E97" s="306">
        <f>VLOOKUP(B97,'WTAX-GEN.AD'!B:N,4,0)</f>
        <v>0</v>
      </c>
      <c r="F97" s="89"/>
      <c r="G97" s="91"/>
      <c r="H97" s="91"/>
      <c r="I97" s="37">
        <f t="shared" si="10"/>
        <v>0</v>
      </c>
      <c r="J97" s="332">
        <f>'WTAX-GEN.AD'!N84</f>
        <v>0</v>
      </c>
      <c r="K97" s="211">
        <f t="shared" si="11"/>
        <v>0</v>
      </c>
      <c r="L97" s="40">
        <f>'WTAX-GEN.AD'!F84</f>
        <v>0</v>
      </c>
      <c r="M97" s="37">
        <f>'GEN.AD - DEDS'!R96</f>
        <v>0</v>
      </c>
      <c r="N97" s="37">
        <f>'GEN.AD - DEDS'!X96</f>
        <v>0</v>
      </c>
      <c r="O97" s="37">
        <f>'GEN.AD - DEDS'!Y96</f>
        <v>0</v>
      </c>
      <c r="P97" s="37">
        <f>'GEN.AD - DEDS'!AE96</f>
        <v>0</v>
      </c>
      <c r="Q97" s="38">
        <f t="shared" si="12"/>
        <v>0</v>
      </c>
      <c r="R97" s="49">
        <f t="shared" si="13"/>
        <v>0</v>
      </c>
      <c r="S97" s="76">
        <f t="shared" si="14"/>
        <v>0</v>
      </c>
      <c r="T97" s="77">
        <f t="shared" si="15"/>
        <v>0</v>
      </c>
      <c r="U97" s="221">
        <f t="shared" si="16"/>
        <v>77</v>
      </c>
      <c r="V97" s="36">
        <f>ROUND('GEN.AD - PAY'!I97*0.12,2)</f>
        <v>0</v>
      </c>
      <c r="W97" s="37">
        <v>100</v>
      </c>
      <c r="X97" s="37">
        <f>MIN((I97*0.05)-'GEN.AD - DEDS'!Y96,2500)</f>
        <v>0</v>
      </c>
      <c r="Y97" s="35">
        <v>200</v>
      </c>
    </row>
    <row r="98" spans="1:25" ht="18.75" customHeight="1" x14ac:dyDescent="0.25">
      <c r="A98" s="98"/>
      <c r="B98" s="33">
        <f t="shared" si="9"/>
        <v>78</v>
      </c>
      <c r="C98" s="72">
        <f>VLOOKUP(B98,'WTAX-GEN.AD'!B:N,2,0)</f>
        <v>0</v>
      </c>
      <c r="D98" s="72" t="e">
        <f>VLOOKUP(C98,'WTAX-GEN.AD'!C:O,2,0)</f>
        <v>#N/A</v>
      </c>
      <c r="E98" s="306">
        <f>VLOOKUP(B98,'WTAX-GEN.AD'!B:N,4,0)</f>
        <v>0</v>
      </c>
      <c r="F98" s="89"/>
      <c r="G98" s="91"/>
      <c r="H98" s="91"/>
      <c r="I98" s="37">
        <f t="shared" si="10"/>
        <v>0</v>
      </c>
      <c r="J98" s="332">
        <f>'WTAX-GEN.AD'!N85</f>
        <v>0</v>
      </c>
      <c r="K98" s="211">
        <f t="shared" si="11"/>
        <v>0</v>
      </c>
      <c r="L98" s="40">
        <f>'WTAX-GEN.AD'!F85</f>
        <v>0</v>
      </c>
      <c r="M98" s="37">
        <f>'GEN.AD - DEDS'!R97</f>
        <v>0</v>
      </c>
      <c r="N98" s="37">
        <f>'GEN.AD - DEDS'!X97</f>
        <v>0</v>
      </c>
      <c r="O98" s="37">
        <f>'GEN.AD - DEDS'!Y97</f>
        <v>0</v>
      </c>
      <c r="P98" s="37">
        <f>'GEN.AD - DEDS'!AE97</f>
        <v>0</v>
      </c>
      <c r="Q98" s="38">
        <f t="shared" si="12"/>
        <v>0</v>
      </c>
      <c r="R98" s="49">
        <f t="shared" si="13"/>
        <v>0</v>
      </c>
      <c r="S98" s="76">
        <f t="shared" si="14"/>
        <v>0</v>
      </c>
      <c r="T98" s="77">
        <f t="shared" si="15"/>
        <v>0</v>
      </c>
      <c r="U98" s="221">
        <f t="shared" si="16"/>
        <v>78</v>
      </c>
      <c r="V98" s="36">
        <f>ROUND('GEN.AD - PAY'!I98*0.12,2)</f>
        <v>0</v>
      </c>
      <c r="W98" s="37">
        <v>100</v>
      </c>
      <c r="X98" s="37">
        <f>MIN((I98*0.05)-'GEN.AD - DEDS'!Y97,2500)</f>
        <v>0</v>
      </c>
      <c r="Y98" s="35">
        <v>200</v>
      </c>
    </row>
    <row r="99" spans="1:25" ht="18.75" customHeight="1" x14ac:dyDescent="0.25">
      <c r="A99" s="98"/>
      <c r="B99" s="33">
        <f t="shared" si="9"/>
        <v>79</v>
      </c>
      <c r="C99" s="72">
        <f>VLOOKUP(B99,'WTAX-GEN.AD'!B:N,2,0)</f>
        <v>0</v>
      </c>
      <c r="D99" s="72" t="e">
        <f>VLOOKUP(C99,'WTAX-GEN.AD'!C:O,2,0)</f>
        <v>#N/A</v>
      </c>
      <c r="E99" s="306">
        <f>VLOOKUP(B99,'WTAX-GEN.AD'!B:N,4,0)</f>
        <v>0</v>
      </c>
      <c r="F99" s="86"/>
      <c r="G99" s="88"/>
      <c r="H99" s="88"/>
      <c r="I99" s="37">
        <f t="shared" si="10"/>
        <v>0</v>
      </c>
      <c r="J99" s="332">
        <f>'WTAX-GEN.AD'!N86</f>
        <v>0</v>
      </c>
      <c r="K99" s="211">
        <f t="shared" si="11"/>
        <v>0</v>
      </c>
      <c r="L99" s="40">
        <f>'WTAX-GEN.AD'!F86</f>
        <v>0</v>
      </c>
      <c r="M99" s="37">
        <f>'GEN.AD - DEDS'!R98</f>
        <v>0</v>
      </c>
      <c r="N99" s="37">
        <f>'GEN.AD - DEDS'!X98</f>
        <v>0</v>
      </c>
      <c r="O99" s="37">
        <f>'GEN.AD - DEDS'!Y98</f>
        <v>0</v>
      </c>
      <c r="P99" s="37">
        <f>'GEN.AD - DEDS'!AE98</f>
        <v>0</v>
      </c>
      <c r="Q99" s="38">
        <f t="shared" si="12"/>
        <v>0</v>
      </c>
      <c r="R99" s="49">
        <f t="shared" si="13"/>
        <v>0</v>
      </c>
      <c r="S99" s="76">
        <f t="shared" si="14"/>
        <v>0</v>
      </c>
      <c r="T99" s="77">
        <f t="shared" si="15"/>
        <v>0</v>
      </c>
      <c r="U99" s="221">
        <f t="shared" si="16"/>
        <v>79</v>
      </c>
      <c r="V99" s="36">
        <f>ROUND('GEN.AD - PAY'!I99*0.12,2)</f>
        <v>0</v>
      </c>
      <c r="W99" s="37">
        <v>100</v>
      </c>
      <c r="X99" s="37">
        <f>MIN((I99*0.05)-'GEN.AD - DEDS'!Y98,2500)</f>
        <v>0</v>
      </c>
      <c r="Y99" s="35">
        <v>200</v>
      </c>
    </row>
    <row r="100" spans="1:25" ht="18.75" customHeight="1" x14ac:dyDescent="0.25">
      <c r="A100" s="98"/>
      <c r="B100" s="33">
        <f t="shared" si="9"/>
        <v>80</v>
      </c>
      <c r="C100" s="72">
        <f>VLOOKUP(B100,'WTAX-GEN.AD'!B:N,2,0)</f>
        <v>0</v>
      </c>
      <c r="D100" s="72" t="e">
        <f>VLOOKUP(C100,'WTAX-GEN.AD'!C:O,2,0)</f>
        <v>#N/A</v>
      </c>
      <c r="E100" s="306">
        <f>VLOOKUP(B100,'WTAX-GEN.AD'!B:N,4,0)</f>
        <v>0</v>
      </c>
      <c r="F100" s="89"/>
      <c r="G100" s="91"/>
      <c r="H100" s="91"/>
      <c r="I100" s="37">
        <f t="shared" si="10"/>
        <v>0</v>
      </c>
      <c r="J100" s="332">
        <f>'WTAX-GEN.AD'!N87</f>
        <v>0</v>
      </c>
      <c r="K100" s="211">
        <f t="shared" si="11"/>
        <v>0</v>
      </c>
      <c r="L100" s="40">
        <f>'WTAX-GEN.AD'!F87</f>
        <v>0</v>
      </c>
      <c r="M100" s="37">
        <f>'GEN.AD - DEDS'!R99</f>
        <v>0</v>
      </c>
      <c r="N100" s="37">
        <f>'GEN.AD - DEDS'!X99</f>
        <v>0</v>
      </c>
      <c r="O100" s="37">
        <f>'GEN.AD - DEDS'!Y99</f>
        <v>0</v>
      </c>
      <c r="P100" s="37">
        <f>'GEN.AD - DEDS'!AE99</f>
        <v>0</v>
      </c>
      <c r="Q100" s="38">
        <f t="shared" si="12"/>
        <v>0</v>
      </c>
      <c r="R100" s="49">
        <f t="shared" si="13"/>
        <v>0</v>
      </c>
      <c r="S100" s="76">
        <f t="shared" si="14"/>
        <v>0</v>
      </c>
      <c r="T100" s="77">
        <f t="shared" si="15"/>
        <v>0</v>
      </c>
      <c r="U100" s="221">
        <f t="shared" si="16"/>
        <v>80</v>
      </c>
      <c r="V100" s="36">
        <f>ROUND('GEN.AD - PAY'!I100*0.12,2)</f>
        <v>0</v>
      </c>
      <c r="W100" s="37">
        <v>100</v>
      </c>
      <c r="X100" s="37">
        <f>MIN((I100*0.05)-'GEN.AD - DEDS'!Y99,2500)</f>
        <v>0</v>
      </c>
      <c r="Y100" s="35">
        <v>200</v>
      </c>
    </row>
    <row r="101" spans="1:25" ht="18.75" customHeight="1" x14ac:dyDescent="0.25">
      <c r="A101" s="98"/>
      <c r="B101" s="33">
        <f t="shared" si="9"/>
        <v>81</v>
      </c>
      <c r="C101" s="72">
        <f>VLOOKUP(B101,'WTAX-GEN.AD'!B:N,2,0)</f>
        <v>0</v>
      </c>
      <c r="D101" s="72" t="e">
        <f>VLOOKUP(C101,'WTAX-GEN.AD'!C:O,2,0)</f>
        <v>#N/A</v>
      </c>
      <c r="E101" s="306">
        <f>VLOOKUP(B101,'WTAX-GEN.AD'!B:N,4,0)</f>
        <v>0</v>
      </c>
      <c r="F101" s="89"/>
      <c r="G101" s="91"/>
      <c r="H101" s="91"/>
      <c r="I101" s="37">
        <f t="shared" si="10"/>
        <v>0</v>
      </c>
      <c r="J101" s="332">
        <f>'WTAX-GEN.AD'!N88</f>
        <v>0</v>
      </c>
      <c r="K101" s="211">
        <f t="shared" si="11"/>
        <v>0</v>
      </c>
      <c r="L101" s="40">
        <f>'WTAX-GEN.AD'!F88</f>
        <v>0</v>
      </c>
      <c r="M101" s="37">
        <f>'GEN.AD - DEDS'!R100</f>
        <v>0</v>
      </c>
      <c r="N101" s="37">
        <f>'GEN.AD - DEDS'!X100</f>
        <v>0</v>
      </c>
      <c r="O101" s="37">
        <f>'GEN.AD - DEDS'!Y100</f>
        <v>0</v>
      </c>
      <c r="P101" s="37">
        <f>'GEN.AD - DEDS'!AE100</f>
        <v>0</v>
      </c>
      <c r="Q101" s="38">
        <f t="shared" si="12"/>
        <v>0</v>
      </c>
      <c r="R101" s="49">
        <f t="shared" si="13"/>
        <v>0</v>
      </c>
      <c r="S101" s="76">
        <f t="shared" si="14"/>
        <v>0</v>
      </c>
      <c r="T101" s="77">
        <f t="shared" si="15"/>
        <v>0</v>
      </c>
      <c r="U101" s="221">
        <f t="shared" si="16"/>
        <v>81</v>
      </c>
      <c r="V101" s="36">
        <f>ROUND('GEN.AD - PAY'!I101*0.12,2)</f>
        <v>0</v>
      </c>
      <c r="W101" s="37">
        <v>100</v>
      </c>
      <c r="X101" s="37">
        <f>MIN((I101*0.05)-'GEN.AD - DEDS'!Y100,2500)</f>
        <v>0</v>
      </c>
      <c r="Y101" s="35">
        <v>200</v>
      </c>
    </row>
    <row r="102" spans="1:25" ht="18.75" customHeight="1" x14ac:dyDescent="0.25">
      <c r="A102" s="98"/>
      <c r="B102" s="33">
        <f t="shared" si="9"/>
        <v>82</v>
      </c>
      <c r="C102" s="72">
        <f>VLOOKUP(B102,'WTAX-GEN.AD'!B:N,2,0)</f>
        <v>0</v>
      </c>
      <c r="D102" s="72" t="e">
        <f>VLOOKUP(C102,'WTAX-GEN.AD'!C:O,2,0)</f>
        <v>#N/A</v>
      </c>
      <c r="E102" s="306">
        <f>VLOOKUP(B102,'WTAX-GEN.AD'!B:N,4,0)</f>
        <v>0</v>
      </c>
      <c r="F102" s="89"/>
      <c r="G102" s="91"/>
      <c r="H102" s="91"/>
      <c r="I102" s="37">
        <f t="shared" si="10"/>
        <v>0</v>
      </c>
      <c r="J102" s="332">
        <f>'WTAX-GEN.AD'!N89</f>
        <v>0</v>
      </c>
      <c r="K102" s="211">
        <f t="shared" si="11"/>
        <v>0</v>
      </c>
      <c r="L102" s="40">
        <f>'WTAX-GEN.AD'!F89</f>
        <v>0</v>
      </c>
      <c r="M102" s="37">
        <f>'GEN.AD - DEDS'!R101</f>
        <v>0</v>
      </c>
      <c r="N102" s="37">
        <f>'GEN.AD - DEDS'!X101</f>
        <v>0</v>
      </c>
      <c r="O102" s="37">
        <f>'GEN.AD - DEDS'!Y101</f>
        <v>0</v>
      </c>
      <c r="P102" s="37">
        <f>'GEN.AD - DEDS'!AE101</f>
        <v>0</v>
      </c>
      <c r="Q102" s="38">
        <f t="shared" si="12"/>
        <v>0</v>
      </c>
      <c r="R102" s="49">
        <f t="shared" si="13"/>
        <v>0</v>
      </c>
      <c r="S102" s="76">
        <f t="shared" si="14"/>
        <v>0</v>
      </c>
      <c r="T102" s="77">
        <f t="shared" si="15"/>
        <v>0</v>
      </c>
      <c r="U102" s="221">
        <f t="shared" si="16"/>
        <v>82</v>
      </c>
      <c r="V102" s="36">
        <f>ROUND('GEN.AD - PAY'!I102*0.12,2)</f>
        <v>0</v>
      </c>
      <c r="W102" s="37">
        <v>100</v>
      </c>
      <c r="X102" s="37">
        <f>MIN((I102*0.05)-'GEN.AD - DEDS'!Y101,2500)</f>
        <v>0</v>
      </c>
      <c r="Y102" s="35">
        <v>200</v>
      </c>
    </row>
    <row r="103" spans="1:25" ht="18.75" customHeight="1" x14ac:dyDescent="0.25">
      <c r="A103" s="98"/>
      <c r="B103" s="33">
        <f t="shared" si="9"/>
        <v>83</v>
      </c>
      <c r="C103" s="72">
        <f>VLOOKUP(B103,'WTAX-GEN.AD'!B:N,2,0)</f>
        <v>0</v>
      </c>
      <c r="D103" s="72" t="e">
        <f>VLOOKUP(C103,'WTAX-GEN.AD'!C:O,2,0)</f>
        <v>#N/A</v>
      </c>
      <c r="E103" s="306">
        <f>VLOOKUP(B103,'WTAX-GEN.AD'!B:N,4,0)</f>
        <v>0</v>
      </c>
      <c r="F103" s="89"/>
      <c r="G103" s="91"/>
      <c r="H103" s="91"/>
      <c r="I103" s="37">
        <f t="shared" si="10"/>
        <v>0</v>
      </c>
      <c r="J103" s="332">
        <f>'WTAX-GEN.AD'!N90</f>
        <v>0</v>
      </c>
      <c r="K103" s="211">
        <f t="shared" si="11"/>
        <v>0</v>
      </c>
      <c r="L103" s="40">
        <f>'WTAX-GEN.AD'!F90</f>
        <v>0</v>
      </c>
      <c r="M103" s="37">
        <f>'GEN.AD - DEDS'!R102</f>
        <v>0</v>
      </c>
      <c r="N103" s="37">
        <f>'GEN.AD - DEDS'!X102</f>
        <v>0</v>
      </c>
      <c r="O103" s="37">
        <f>'GEN.AD - DEDS'!Y102</f>
        <v>0</v>
      </c>
      <c r="P103" s="37">
        <f>'GEN.AD - DEDS'!AE102</f>
        <v>0</v>
      </c>
      <c r="Q103" s="38">
        <f t="shared" si="12"/>
        <v>0</v>
      </c>
      <c r="R103" s="49">
        <f t="shared" si="13"/>
        <v>0</v>
      </c>
      <c r="S103" s="76">
        <f t="shared" si="14"/>
        <v>0</v>
      </c>
      <c r="T103" s="77">
        <f t="shared" si="15"/>
        <v>0</v>
      </c>
      <c r="U103" s="221">
        <f t="shared" si="16"/>
        <v>83</v>
      </c>
      <c r="V103" s="36">
        <f>ROUND('GEN.AD - PAY'!I103*0.12,2)</f>
        <v>0</v>
      </c>
      <c r="W103" s="37">
        <v>100</v>
      </c>
      <c r="X103" s="37">
        <f>MIN((I103*0.05)-'GEN.AD - DEDS'!Y102,2500)</f>
        <v>0</v>
      </c>
      <c r="Y103" s="35">
        <v>200</v>
      </c>
    </row>
    <row r="104" spans="1:25" s="654" customFormat="1" ht="18.75" customHeight="1" x14ac:dyDescent="0.25">
      <c r="A104" s="640"/>
      <c r="B104" s="641">
        <f t="shared" si="9"/>
        <v>84</v>
      </c>
      <c r="C104" s="642">
        <f>VLOOKUP(B104,'WTAX-GEN.AD'!B:N,2,0)</f>
        <v>0</v>
      </c>
      <c r="D104" s="642" t="e">
        <f>VLOOKUP(C104,'WTAX-GEN.AD'!C:O,2,0)</f>
        <v>#N/A</v>
      </c>
      <c r="E104" s="643">
        <f>VLOOKUP(B104,'WTAX-GEN.AD'!B:N,4,0)</f>
        <v>0</v>
      </c>
      <c r="F104" s="644"/>
      <c r="G104" s="645"/>
      <c r="H104" s="645"/>
      <c r="I104" s="645">
        <f t="shared" si="10"/>
        <v>0</v>
      </c>
      <c r="J104" s="645">
        <f>'WTAX-GEN.AD'!N91</f>
        <v>0</v>
      </c>
      <c r="K104" s="646">
        <f t="shared" si="11"/>
        <v>0</v>
      </c>
      <c r="L104" s="647">
        <f>'WTAX-GEN.AD'!F91</f>
        <v>0</v>
      </c>
      <c r="M104" s="645">
        <f>'GEN.AD - DEDS'!R103</f>
        <v>0</v>
      </c>
      <c r="N104" s="645">
        <f>'GEN.AD - DEDS'!X103</f>
        <v>0</v>
      </c>
      <c r="O104" s="645">
        <f>'GEN.AD - DEDS'!Y103</f>
        <v>0</v>
      </c>
      <c r="P104" s="645">
        <f>'GEN.AD - DEDS'!AE103</f>
        <v>0</v>
      </c>
      <c r="Q104" s="648">
        <f t="shared" si="12"/>
        <v>0</v>
      </c>
      <c r="R104" s="649">
        <f t="shared" si="13"/>
        <v>0</v>
      </c>
      <c r="S104" s="650">
        <f t="shared" si="14"/>
        <v>0</v>
      </c>
      <c r="T104" s="651">
        <f t="shared" si="15"/>
        <v>0</v>
      </c>
      <c r="U104" s="652">
        <f t="shared" si="16"/>
        <v>84</v>
      </c>
      <c r="V104" s="644">
        <f>ROUND('GEN.AD - PAY'!I104*0.12,2)</f>
        <v>0</v>
      </c>
      <c r="W104" s="645">
        <v>100</v>
      </c>
      <c r="X104" s="645">
        <f>MIN((I104*0.05)-'GEN.AD - DEDS'!Y103,2500)</f>
        <v>0</v>
      </c>
      <c r="Y104" s="653">
        <v>200</v>
      </c>
    </row>
    <row r="105" spans="1:25" ht="18.75" customHeight="1" x14ac:dyDescent="0.25">
      <c r="A105" s="98"/>
      <c r="B105" s="33">
        <f t="shared" si="9"/>
        <v>85</v>
      </c>
      <c r="C105" s="72">
        <f>VLOOKUP(B105,'WTAX-GEN.AD'!B:N,2,0)</f>
        <v>0</v>
      </c>
      <c r="D105" s="72" t="e">
        <f>VLOOKUP(C105,'WTAX-GEN.AD'!C:O,2,0)</f>
        <v>#N/A</v>
      </c>
      <c r="E105" s="306">
        <f>VLOOKUP(B105,'WTAX-GEN.AD'!B:N,4,0)</f>
        <v>0</v>
      </c>
      <c r="F105" s="86"/>
      <c r="G105" s="91"/>
      <c r="H105" s="91"/>
      <c r="I105" s="37">
        <f t="shared" si="10"/>
        <v>0</v>
      </c>
      <c r="J105" s="332">
        <f>'WTAX-GEN.AD'!N92</f>
        <v>0</v>
      </c>
      <c r="K105" s="211">
        <f t="shared" si="11"/>
        <v>0</v>
      </c>
      <c r="L105" s="40">
        <f>'WTAX-GEN.AD'!F92</f>
        <v>0</v>
      </c>
      <c r="M105" s="37">
        <f>'GEN.AD - DEDS'!R104</f>
        <v>0</v>
      </c>
      <c r="N105" s="37">
        <f>'GEN.AD - DEDS'!X104</f>
        <v>0</v>
      </c>
      <c r="O105" s="37">
        <f>'GEN.AD - DEDS'!Y104</f>
        <v>0</v>
      </c>
      <c r="P105" s="37">
        <f>'GEN.AD - DEDS'!AE104</f>
        <v>0</v>
      </c>
      <c r="Q105" s="38">
        <f t="shared" si="12"/>
        <v>0</v>
      </c>
      <c r="R105" s="49">
        <f t="shared" si="13"/>
        <v>0</v>
      </c>
      <c r="S105" s="76">
        <f t="shared" si="14"/>
        <v>0</v>
      </c>
      <c r="T105" s="77">
        <f t="shared" si="15"/>
        <v>0</v>
      </c>
      <c r="U105" s="221">
        <f t="shared" si="16"/>
        <v>85</v>
      </c>
      <c r="V105" s="36">
        <f>ROUND('GEN.AD - PAY'!I105*0.12,2)</f>
        <v>0</v>
      </c>
      <c r="W105" s="37">
        <v>100</v>
      </c>
      <c r="X105" s="37">
        <f>MIN((I105*0.05)-'GEN.AD - DEDS'!Y104,2500)</f>
        <v>0</v>
      </c>
      <c r="Y105" s="35">
        <v>200</v>
      </c>
    </row>
    <row r="106" spans="1:25" ht="18.75" customHeight="1" x14ac:dyDescent="0.25">
      <c r="A106" s="98"/>
      <c r="B106" s="33">
        <f t="shared" si="9"/>
        <v>86</v>
      </c>
      <c r="C106" s="72">
        <f>VLOOKUP(B106,'WTAX-GEN.AD'!B:N,2,0)</f>
        <v>0</v>
      </c>
      <c r="D106" s="72" t="e">
        <f>VLOOKUP(C106,'WTAX-GEN.AD'!C:O,2,0)</f>
        <v>#N/A</v>
      </c>
      <c r="E106" s="306">
        <f>VLOOKUP(B106,'WTAX-GEN.AD'!B:N,4,0)</f>
        <v>0</v>
      </c>
      <c r="F106" s="86"/>
      <c r="G106" s="88"/>
      <c r="H106" s="88"/>
      <c r="I106" s="37">
        <f t="shared" si="10"/>
        <v>0</v>
      </c>
      <c r="J106" s="332">
        <f>'WTAX-GEN.AD'!N93</f>
        <v>0</v>
      </c>
      <c r="K106" s="211">
        <f t="shared" si="11"/>
        <v>0</v>
      </c>
      <c r="L106" s="40">
        <f>'WTAX-GEN.AD'!F93</f>
        <v>0</v>
      </c>
      <c r="M106" s="37">
        <f>'GEN.AD - DEDS'!R105</f>
        <v>0</v>
      </c>
      <c r="N106" s="37">
        <f>'GEN.AD - DEDS'!X105</f>
        <v>0</v>
      </c>
      <c r="O106" s="37">
        <f>'GEN.AD - DEDS'!Y105</f>
        <v>0</v>
      </c>
      <c r="P106" s="37">
        <f>'GEN.AD - DEDS'!AE105</f>
        <v>0</v>
      </c>
      <c r="Q106" s="38">
        <f t="shared" si="12"/>
        <v>0</v>
      </c>
      <c r="R106" s="49">
        <f t="shared" si="13"/>
        <v>0</v>
      </c>
      <c r="S106" s="76">
        <f t="shared" si="14"/>
        <v>0</v>
      </c>
      <c r="T106" s="77">
        <f t="shared" si="15"/>
        <v>0</v>
      </c>
      <c r="U106" s="221">
        <f t="shared" si="16"/>
        <v>86</v>
      </c>
      <c r="V106" s="36">
        <f>ROUND('GEN.AD - PAY'!I106*0.12,2)</f>
        <v>0</v>
      </c>
      <c r="W106" s="37">
        <v>100</v>
      </c>
      <c r="X106" s="37">
        <f>MIN((I106*0.05)-'GEN.AD - DEDS'!Y105,2500)</f>
        <v>0</v>
      </c>
      <c r="Y106" s="35">
        <v>200</v>
      </c>
    </row>
    <row r="107" spans="1:25" ht="18.75" customHeight="1" x14ac:dyDescent="0.25">
      <c r="A107" s="98"/>
      <c r="B107" s="33">
        <f t="shared" si="9"/>
        <v>87</v>
      </c>
      <c r="C107" s="72">
        <f>VLOOKUP(B107,'WTAX-GEN.AD'!B:N,2,0)</f>
        <v>0</v>
      </c>
      <c r="D107" s="72" t="e">
        <f>VLOOKUP(C107,'WTAX-GEN.AD'!C:O,2,0)</f>
        <v>#N/A</v>
      </c>
      <c r="E107" s="306">
        <f>VLOOKUP(B107,'WTAX-GEN.AD'!B:N,4,0)</f>
        <v>0</v>
      </c>
      <c r="F107" s="89"/>
      <c r="G107" s="91"/>
      <c r="H107" s="91"/>
      <c r="I107" s="37">
        <f t="shared" si="10"/>
        <v>0</v>
      </c>
      <c r="J107" s="332">
        <f>'WTAX-GEN.AD'!N94</f>
        <v>0</v>
      </c>
      <c r="K107" s="211">
        <f t="shared" si="11"/>
        <v>0</v>
      </c>
      <c r="L107" s="40">
        <f>'WTAX-GEN.AD'!F94</f>
        <v>0</v>
      </c>
      <c r="M107" s="37">
        <f>'GEN.AD - DEDS'!R106</f>
        <v>0</v>
      </c>
      <c r="N107" s="37">
        <f>'GEN.AD - DEDS'!X106</f>
        <v>0</v>
      </c>
      <c r="O107" s="37">
        <f>'GEN.AD - DEDS'!Y106</f>
        <v>0</v>
      </c>
      <c r="P107" s="37">
        <f>'GEN.AD - DEDS'!AE106</f>
        <v>0</v>
      </c>
      <c r="Q107" s="38">
        <f t="shared" si="12"/>
        <v>0</v>
      </c>
      <c r="R107" s="49">
        <f t="shared" si="13"/>
        <v>0</v>
      </c>
      <c r="S107" s="76">
        <f t="shared" si="14"/>
        <v>0</v>
      </c>
      <c r="T107" s="77">
        <f t="shared" si="15"/>
        <v>0</v>
      </c>
      <c r="U107" s="221">
        <f t="shared" si="16"/>
        <v>87</v>
      </c>
      <c r="V107" s="36">
        <f>ROUND('GEN.AD - PAY'!I107*0.12,2)</f>
        <v>0</v>
      </c>
      <c r="W107" s="37">
        <v>100</v>
      </c>
      <c r="X107" s="37">
        <f>MIN((I107*0.05)-'GEN.AD - DEDS'!Y106,2500)</f>
        <v>0</v>
      </c>
      <c r="Y107" s="35">
        <v>200</v>
      </c>
    </row>
    <row r="108" spans="1:25" ht="18.75" customHeight="1" x14ac:dyDescent="0.25">
      <c r="A108" s="98"/>
      <c r="B108" s="33">
        <f t="shared" si="9"/>
        <v>88</v>
      </c>
      <c r="C108" s="72">
        <f>VLOOKUP(B108,'WTAX-GEN.AD'!B:N,2,0)</f>
        <v>0</v>
      </c>
      <c r="D108" s="72" t="e">
        <f>VLOOKUP(C108,'WTAX-GEN.AD'!C:O,2,0)</f>
        <v>#N/A</v>
      </c>
      <c r="E108" s="306">
        <f>VLOOKUP(B108,'WTAX-GEN.AD'!B:N,4,0)</f>
        <v>0</v>
      </c>
      <c r="F108" s="89"/>
      <c r="G108" s="91"/>
      <c r="H108" s="91"/>
      <c r="I108" s="37">
        <f t="shared" si="10"/>
        <v>0</v>
      </c>
      <c r="J108" s="332">
        <f>'WTAX-GEN.AD'!N95</f>
        <v>0</v>
      </c>
      <c r="K108" s="211">
        <f t="shared" si="11"/>
        <v>0</v>
      </c>
      <c r="L108" s="40">
        <f>'WTAX-GEN.AD'!F95</f>
        <v>0</v>
      </c>
      <c r="M108" s="37">
        <f>'GEN.AD - DEDS'!R107</f>
        <v>0</v>
      </c>
      <c r="N108" s="37">
        <f>'GEN.AD - DEDS'!X107</f>
        <v>0</v>
      </c>
      <c r="O108" s="37">
        <f>'GEN.AD - DEDS'!Y107</f>
        <v>0</v>
      </c>
      <c r="P108" s="37">
        <f>'GEN.AD - DEDS'!AE107</f>
        <v>0</v>
      </c>
      <c r="Q108" s="38">
        <f t="shared" si="12"/>
        <v>0</v>
      </c>
      <c r="R108" s="49">
        <f t="shared" si="13"/>
        <v>0</v>
      </c>
      <c r="S108" s="76">
        <f t="shared" si="14"/>
        <v>0</v>
      </c>
      <c r="T108" s="77">
        <f t="shared" si="15"/>
        <v>0</v>
      </c>
      <c r="U108" s="221">
        <f t="shared" si="16"/>
        <v>88</v>
      </c>
      <c r="V108" s="36">
        <f>ROUND('GEN.AD - PAY'!I108*0.12,2)</f>
        <v>0</v>
      </c>
      <c r="W108" s="37">
        <v>100</v>
      </c>
      <c r="X108" s="37">
        <f>MIN((I108*0.05)-'GEN.AD - DEDS'!Y107,2500)</f>
        <v>0</v>
      </c>
      <c r="Y108" s="35">
        <v>200</v>
      </c>
    </row>
    <row r="109" spans="1:25" ht="18.75" customHeight="1" x14ac:dyDescent="0.25">
      <c r="A109" s="98"/>
      <c r="B109" s="33">
        <f t="shared" si="9"/>
        <v>89</v>
      </c>
      <c r="C109" s="72">
        <f>VLOOKUP(B109,'WTAX-GEN.AD'!B:N,2,0)</f>
        <v>0</v>
      </c>
      <c r="D109" s="72" t="e">
        <f>VLOOKUP(C109,'WTAX-GEN.AD'!C:O,2,0)</f>
        <v>#N/A</v>
      </c>
      <c r="E109" s="306">
        <f>VLOOKUP(B109,'WTAX-GEN.AD'!B:N,4,0)</f>
        <v>0</v>
      </c>
      <c r="F109" s="86"/>
      <c r="G109" s="88"/>
      <c r="H109" s="88"/>
      <c r="I109" s="37">
        <f t="shared" si="10"/>
        <v>0</v>
      </c>
      <c r="J109" s="332">
        <f>'WTAX-GEN.AD'!N96</f>
        <v>0</v>
      </c>
      <c r="K109" s="211">
        <f t="shared" si="11"/>
        <v>0</v>
      </c>
      <c r="L109" s="40">
        <f>'WTAX-GEN.AD'!F96</f>
        <v>0</v>
      </c>
      <c r="M109" s="37">
        <f>'GEN.AD - DEDS'!R108</f>
        <v>0</v>
      </c>
      <c r="N109" s="37">
        <f>'GEN.AD - DEDS'!X108</f>
        <v>0</v>
      </c>
      <c r="O109" s="37">
        <f>'GEN.AD - DEDS'!Y108</f>
        <v>0</v>
      </c>
      <c r="P109" s="37">
        <f>'GEN.AD - DEDS'!AE108</f>
        <v>0</v>
      </c>
      <c r="Q109" s="38">
        <f t="shared" si="12"/>
        <v>0</v>
      </c>
      <c r="R109" s="49">
        <f t="shared" si="13"/>
        <v>0</v>
      </c>
      <c r="S109" s="76">
        <f t="shared" si="14"/>
        <v>0</v>
      </c>
      <c r="T109" s="77">
        <f t="shared" si="15"/>
        <v>0</v>
      </c>
      <c r="U109" s="221">
        <f t="shared" si="16"/>
        <v>89</v>
      </c>
      <c r="V109" s="36">
        <f>ROUND('GEN.AD - PAY'!I109*0.12,2)</f>
        <v>0</v>
      </c>
      <c r="W109" s="37">
        <v>100</v>
      </c>
      <c r="X109" s="37">
        <f>MIN((I109*0.05)-'GEN.AD - DEDS'!Y108,2500)</f>
        <v>0</v>
      </c>
      <c r="Y109" s="35">
        <v>200</v>
      </c>
    </row>
    <row r="110" spans="1:25" ht="18.75" customHeight="1" x14ac:dyDescent="0.25">
      <c r="A110" s="98"/>
      <c r="B110" s="33">
        <f t="shared" si="9"/>
        <v>90</v>
      </c>
      <c r="C110" s="72">
        <f>VLOOKUP(B110,'WTAX-GEN.AD'!B:N,2,0)</f>
        <v>0</v>
      </c>
      <c r="D110" s="72" t="e">
        <f>VLOOKUP(C110,'WTAX-GEN.AD'!C:O,2,0)</f>
        <v>#N/A</v>
      </c>
      <c r="E110" s="306">
        <f>VLOOKUP(B110,'WTAX-GEN.AD'!B:N,4,0)</f>
        <v>0</v>
      </c>
      <c r="F110" s="89"/>
      <c r="G110" s="91"/>
      <c r="H110" s="91"/>
      <c r="I110" s="37">
        <f t="shared" si="10"/>
        <v>0</v>
      </c>
      <c r="J110" s="332">
        <f>'WTAX-GEN.AD'!N97</f>
        <v>0</v>
      </c>
      <c r="K110" s="211">
        <f t="shared" si="11"/>
        <v>0</v>
      </c>
      <c r="L110" s="40">
        <f>'WTAX-GEN.AD'!F97</f>
        <v>0</v>
      </c>
      <c r="M110" s="37">
        <f>'GEN.AD - DEDS'!R109</f>
        <v>0</v>
      </c>
      <c r="N110" s="37">
        <f>'GEN.AD - DEDS'!X109</f>
        <v>0</v>
      </c>
      <c r="O110" s="37">
        <f>'GEN.AD - DEDS'!Y109</f>
        <v>0</v>
      </c>
      <c r="P110" s="37">
        <f>'GEN.AD - DEDS'!AE109</f>
        <v>0</v>
      </c>
      <c r="Q110" s="38">
        <f t="shared" si="12"/>
        <v>0</v>
      </c>
      <c r="R110" s="49">
        <f t="shared" si="13"/>
        <v>0</v>
      </c>
      <c r="S110" s="76">
        <f t="shared" si="14"/>
        <v>0</v>
      </c>
      <c r="T110" s="77">
        <f t="shared" si="15"/>
        <v>0</v>
      </c>
      <c r="U110" s="221">
        <f t="shared" si="16"/>
        <v>90</v>
      </c>
      <c r="V110" s="36">
        <f>ROUND('GEN.AD - PAY'!I110*0.12,2)</f>
        <v>0</v>
      </c>
      <c r="W110" s="37">
        <v>100</v>
      </c>
      <c r="X110" s="37">
        <f>MIN((I110*0.05)-'GEN.AD - DEDS'!Y109,2500)</f>
        <v>0</v>
      </c>
      <c r="Y110" s="35">
        <v>200</v>
      </c>
    </row>
    <row r="111" spans="1:25" ht="18.75" customHeight="1" x14ac:dyDescent="0.25">
      <c r="A111" s="98"/>
      <c r="B111" s="33">
        <f t="shared" si="9"/>
        <v>91</v>
      </c>
      <c r="C111" s="72">
        <f>VLOOKUP(B111,'WTAX-GEN.AD'!B:N,2,0)</f>
        <v>0</v>
      </c>
      <c r="D111" s="72" t="e">
        <f>VLOOKUP(C111,'WTAX-GEN.AD'!C:O,2,0)</f>
        <v>#N/A</v>
      </c>
      <c r="E111" s="306">
        <f>VLOOKUP(B111,'WTAX-GEN.AD'!B:N,4,0)</f>
        <v>0</v>
      </c>
      <c r="F111" s="89"/>
      <c r="G111" s="91"/>
      <c r="H111" s="91"/>
      <c r="I111" s="37">
        <f t="shared" si="10"/>
        <v>0</v>
      </c>
      <c r="J111" s="332">
        <f>'WTAX-GEN.AD'!N98</f>
        <v>0</v>
      </c>
      <c r="K111" s="211">
        <f t="shared" si="11"/>
        <v>0</v>
      </c>
      <c r="L111" s="40">
        <f>'WTAX-GEN.AD'!F98</f>
        <v>0</v>
      </c>
      <c r="M111" s="37">
        <f>'GEN.AD - DEDS'!R110</f>
        <v>0</v>
      </c>
      <c r="N111" s="37">
        <f>'GEN.AD - DEDS'!X110</f>
        <v>0</v>
      </c>
      <c r="O111" s="37">
        <f>'GEN.AD - DEDS'!Y110</f>
        <v>0</v>
      </c>
      <c r="P111" s="37">
        <f>'GEN.AD - DEDS'!AE110</f>
        <v>0</v>
      </c>
      <c r="Q111" s="38">
        <f t="shared" si="12"/>
        <v>0</v>
      </c>
      <c r="R111" s="49">
        <f t="shared" si="13"/>
        <v>0</v>
      </c>
      <c r="S111" s="76">
        <f t="shared" si="14"/>
        <v>0</v>
      </c>
      <c r="T111" s="77">
        <f t="shared" si="15"/>
        <v>0</v>
      </c>
      <c r="U111" s="221">
        <f t="shared" si="16"/>
        <v>91</v>
      </c>
      <c r="V111" s="36">
        <f>ROUND('GEN.AD - PAY'!I111*0.12,2)</f>
        <v>0</v>
      </c>
      <c r="W111" s="37">
        <v>100</v>
      </c>
      <c r="X111" s="37">
        <f>MIN((I111*0.05)-'GEN.AD - DEDS'!Y110,2500)</f>
        <v>0</v>
      </c>
      <c r="Y111" s="35">
        <v>200</v>
      </c>
    </row>
    <row r="112" spans="1:25" ht="18.75" customHeight="1" x14ac:dyDescent="0.25">
      <c r="A112" s="98"/>
      <c r="B112" s="33">
        <f t="shared" si="9"/>
        <v>92</v>
      </c>
      <c r="C112" s="72">
        <f>VLOOKUP(B112,'WTAX-GEN.AD'!B:N,2,0)</f>
        <v>0</v>
      </c>
      <c r="D112" s="72" t="e">
        <f>VLOOKUP(C112,'WTAX-GEN.AD'!C:O,2,0)</f>
        <v>#N/A</v>
      </c>
      <c r="E112" s="306">
        <f>VLOOKUP(B112,'WTAX-GEN.AD'!B:N,4,0)</f>
        <v>0</v>
      </c>
      <c r="F112" s="89"/>
      <c r="G112" s="91"/>
      <c r="H112" s="91"/>
      <c r="I112" s="37">
        <f t="shared" si="10"/>
        <v>0</v>
      </c>
      <c r="J112" s="332">
        <f>'WTAX-GEN.AD'!N99</f>
        <v>0</v>
      </c>
      <c r="K112" s="211">
        <f t="shared" si="11"/>
        <v>0</v>
      </c>
      <c r="L112" s="40">
        <f>'WTAX-GEN.AD'!F99</f>
        <v>0</v>
      </c>
      <c r="M112" s="37">
        <f>'GEN.AD - DEDS'!R111</f>
        <v>0</v>
      </c>
      <c r="N112" s="37">
        <f>'GEN.AD - DEDS'!X111</f>
        <v>0</v>
      </c>
      <c r="O112" s="37">
        <f>'GEN.AD - DEDS'!Y111</f>
        <v>0</v>
      </c>
      <c r="P112" s="37">
        <f>'GEN.AD - DEDS'!AE111</f>
        <v>0</v>
      </c>
      <c r="Q112" s="38">
        <f t="shared" si="12"/>
        <v>0</v>
      </c>
      <c r="R112" s="49">
        <f t="shared" si="13"/>
        <v>0</v>
      </c>
      <c r="S112" s="76">
        <f t="shared" si="14"/>
        <v>0</v>
      </c>
      <c r="T112" s="77">
        <f t="shared" si="15"/>
        <v>0</v>
      </c>
      <c r="U112" s="221">
        <f t="shared" si="16"/>
        <v>92</v>
      </c>
      <c r="V112" s="36">
        <f>ROUND('GEN.AD - PAY'!I112*0.12,2)</f>
        <v>0</v>
      </c>
      <c r="W112" s="37">
        <v>100</v>
      </c>
      <c r="X112" s="37">
        <f>MIN((I112*0.05)-'GEN.AD - DEDS'!Y111,2500)</f>
        <v>0</v>
      </c>
      <c r="Y112" s="35">
        <v>200</v>
      </c>
    </row>
    <row r="113" spans="1:25" ht="18.75" customHeight="1" x14ac:dyDescent="0.25">
      <c r="A113" s="98"/>
      <c r="B113" s="33">
        <f t="shared" si="9"/>
        <v>93</v>
      </c>
      <c r="C113" s="72">
        <f>VLOOKUP(B113,'WTAX-GEN.AD'!B:N,2,0)</f>
        <v>0</v>
      </c>
      <c r="D113" s="72" t="e">
        <f>VLOOKUP(C113,'WTAX-GEN.AD'!C:O,2,0)</f>
        <v>#N/A</v>
      </c>
      <c r="E113" s="306">
        <f>VLOOKUP(B113,'WTAX-GEN.AD'!B:N,4,0)</f>
        <v>0</v>
      </c>
      <c r="F113" s="89"/>
      <c r="G113" s="91"/>
      <c r="H113" s="91"/>
      <c r="I113" s="37">
        <f t="shared" si="10"/>
        <v>0</v>
      </c>
      <c r="J113" s="332">
        <f>'WTAX-GEN.AD'!N100</f>
        <v>0</v>
      </c>
      <c r="K113" s="211">
        <f t="shared" si="11"/>
        <v>0</v>
      </c>
      <c r="L113" s="40">
        <f>'WTAX-GEN.AD'!F100</f>
        <v>0</v>
      </c>
      <c r="M113" s="37">
        <f>'GEN.AD - DEDS'!R112</f>
        <v>0</v>
      </c>
      <c r="N113" s="37">
        <f>'GEN.AD - DEDS'!X112</f>
        <v>0</v>
      </c>
      <c r="O113" s="37">
        <f>'GEN.AD - DEDS'!Y112</f>
        <v>0</v>
      </c>
      <c r="P113" s="37">
        <f>'GEN.AD - DEDS'!AE112</f>
        <v>0</v>
      </c>
      <c r="Q113" s="38">
        <f t="shared" si="12"/>
        <v>0</v>
      </c>
      <c r="R113" s="49">
        <f t="shared" si="13"/>
        <v>0</v>
      </c>
      <c r="S113" s="76">
        <f t="shared" si="14"/>
        <v>0</v>
      </c>
      <c r="T113" s="77">
        <f t="shared" si="15"/>
        <v>0</v>
      </c>
      <c r="U113" s="221">
        <f t="shared" si="16"/>
        <v>93</v>
      </c>
      <c r="V113" s="36">
        <f>ROUND('GEN.AD - PAY'!I113*0.12,2)</f>
        <v>0</v>
      </c>
      <c r="W113" s="37">
        <v>100</v>
      </c>
      <c r="X113" s="37">
        <f>MIN((I113*0.05)-'GEN.AD - DEDS'!Y112,2500)</f>
        <v>0</v>
      </c>
      <c r="Y113" s="35">
        <v>200</v>
      </c>
    </row>
    <row r="114" spans="1:25" ht="18.75" customHeight="1" x14ac:dyDescent="0.25">
      <c r="A114" s="98"/>
      <c r="B114" s="33">
        <f t="shared" ref="B114:B160" si="17">+B66+1</f>
        <v>47</v>
      </c>
      <c r="C114" s="72">
        <f>VLOOKUP(B114,'WTAX-GEN.AD'!B:N,2,0)</f>
        <v>0</v>
      </c>
      <c r="D114" s="72" t="e">
        <f>VLOOKUP(C114,'WTAX-GEN.AD'!C:O,2,0)</f>
        <v>#N/A</v>
      </c>
      <c r="E114" s="306">
        <f>VLOOKUP(B114,'WTAX-GEN.AD'!B:N,4,0)</f>
        <v>0</v>
      </c>
      <c r="F114" s="89"/>
      <c r="G114" s="91"/>
      <c r="H114" s="91"/>
      <c r="I114" s="37">
        <f t="shared" ref="I114:I160" si="18">SUM(F114:H114)</f>
        <v>0</v>
      </c>
      <c r="J114" s="332">
        <f>'WTAX-GEN.AD'!N101</f>
        <v>0</v>
      </c>
      <c r="K114" s="211">
        <f t="shared" ref="K114:K160" si="19">ROUND(I114-J114,2)</f>
        <v>0</v>
      </c>
      <c r="L114" s="40">
        <f>'WTAX-GEN.AD'!F101</f>
        <v>0</v>
      </c>
      <c r="M114" s="37">
        <f>'GEN.AD - DEDS'!R66</f>
        <v>0</v>
      </c>
      <c r="N114" s="37">
        <f>'GEN.AD - DEDS'!X66</f>
        <v>0</v>
      </c>
      <c r="O114" s="37">
        <f>'GEN.AD - DEDS'!Y66</f>
        <v>0</v>
      </c>
      <c r="P114" s="37">
        <f>'GEN.AD - DEDS'!AE66</f>
        <v>0</v>
      </c>
      <c r="Q114" s="38">
        <f t="shared" ref="Q114:Q160" si="20">ROUND(SUM(L114:P114),2)</f>
        <v>0</v>
      </c>
      <c r="R114" s="49">
        <f t="shared" ref="R114:R160" si="21">K114-Q114</f>
        <v>0</v>
      </c>
      <c r="S114" s="76">
        <f t="shared" ref="S114:S160" si="22">ROUND(R114/2,0)</f>
        <v>0</v>
      </c>
      <c r="T114" s="77">
        <f t="shared" ref="T114:T160" si="23">R114-S114</f>
        <v>0</v>
      </c>
      <c r="U114" s="221">
        <f t="shared" ref="U114:U160" si="24">B114</f>
        <v>47</v>
      </c>
      <c r="V114" s="36">
        <f>ROUND('GEN.AD - PAY'!I114*0.12,2)</f>
        <v>0</v>
      </c>
      <c r="W114" s="37">
        <v>100</v>
      </c>
      <c r="X114" s="37">
        <f>MIN((I114*0.05)-'GEN.AD - DEDS'!Y66,2500)</f>
        <v>0</v>
      </c>
      <c r="Y114" s="35">
        <v>200</v>
      </c>
    </row>
    <row r="115" spans="1:25" ht="18.75" customHeight="1" x14ac:dyDescent="0.25">
      <c r="A115" s="98"/>
      <c r="B115" s="33">
        <f t="shared" si="17"/>
        <v>48</v>
      </c>
      <c r="C115" s="72">
        <f>VLOOKUP(B115,'WTAX-GEN.AD'!B:N,2,0)</f>
        <v>0</v>
      </c>
      <c r="D115" s="72" t="e">
        <f>VLOOKUP(C115,'WTAX-GEN.AD'!C:O,2,0)</f>
        <v>#N/A</v>
      </c>
      <c r="E115" s="306">
        <f>VLOOKUP(B115,'WTAX-GEN.AD'!B:N,4,0)</f>
        <v>0</v>
      </c>
      <c r="F115" s="89"/>
      <c r="G115" s="91"/>
      <c r="H115" s="91"/>
      <c r="I115" s="37">
        <f t="shared" si="18"/>
        <v>0</v>
      </c>
      <c r="J115" s="332">
        <f>'WTAX-GEN.AD'!N102</f>
        <v>0</v>
      </c>
      <c r="K115" s="211">
        <f t="shared" si="19"/>
        <v>0</v>
      </c>
      <c r="L115" s="40">
        <f>'WTAX-GEN.AD'!F102</f>
        <v>0</v>
      </c>
      <c r="M115" s="37">
        <f>'GEN.AD - DEDS'!R67</f>
        <v>0</v>
      </c>
      <c r="N115" s="37">
        <f>'GEN.AD - DEDS'!X67</f>
        <v>0</v>
      </c>
      <c r="O115" s="37">
        <f>'GEN.AD - DEDS'!Y67</f>
        <v>0</v>
      </c>
      <c r="P115" s="37">
        <f>'GEN.AD - DEDS'!AE67</f>
        <v>0</v>
      </c>
      <c r="Q115" s="38">
        <f t="shared" si="20"/>
        <v>0</v>
      </c>
      <c r="R115" s="49">
        <f t="shared" si="21"/>
        <v>0</v>
      </c>
      <c r="S115" s="76">
        <f t="shared" si="22"/>
        <v>0</v>
      </c>
      <c r="T115" s="77">
        <f t="shared" si="23"/>
        <v>0</v>
      </c>
      <c r="U115" s="221">
        <f t="shared" si="24"/>
        <v>48</v>
      </c>
      <c r="V115" s="36">
        <f>ROUND('GEN.AD - PAY'!I115*0.12,2)</f>
        <v>0</v>
      </c>
      <c r="W115" s="37">
        <v>100</v>
      </c>
      <c r="X115" s="37">
        <f>MIN((I115*0.05)-'GEN.AD - DEDS'!Y67,2500)</f>
        <v>0</v>
      </c>
      <c r="Y115" s="35">
        <v>200</v>
      </c>
    </row>
    <row r="116" spans="1:25" ht="18.75" customHeight="1" x14ac:dyDescent="0.25">
      <c r="A116" s="98"/>
      <c r="B116" s="33">
        <f t="shared" si="17"/>
        <v>49</v>
      </c>
      <c r="C116" s="72">
        <f>VLOOKUP(B116,'WTAX-GEN.AD'!B:N,2,0)</f>
        <v>0</v>
      </c>
      <c r="D116" s="72" t="e">
        <f>VLOOKUP(C116,'WTAX-GEN.AD'!C:O,2,0)</f>
        <v>#N/A</v>
      </c>
      <c r="E116" s="306">
        <f>VLOOKUP(B116,'WTAX-GEN.AD'!B:N,4,0)</f>
        <v>0</v>
      </c>
      <c r="F116" s="89"/>
      <c r="G116" s="91"/>
      <c r="H116" s="91"/>
      <c r="I116" s="37">
        <f t="shared" si="18"/>
        <v>0</v>
      </c>
      <c r="J116" s="332">
        <f>'WTAX-GEN.AD'!N103</f>
        <v>0</v>
      </c>
      <c r="K116" s="211">
        <f t="shared" si="19"/>
        <v>0</v>
      </c>
      <c r="L116" s="40">
        <f>'WTAX-GEN.AD'!F103</f>
        <v>0</v>
      </c>
      <c r="M116" s="37">
        <f>'GEN.AD - DEDS'!R68</f>
        <v>0</v>
      </c>
      <c r="N116" s="37">
        <f>'GEN.AD - DEDS'!X68</f>
        <v>0</v>
      </c>
      <c r="O116" s="37">
        <f>'GEN.AD - DEDS'!Y68</f>
        <v>0</v>
      </c>
      <c r="P116" s="37">
        <f>'GEN.AD - DEDS'!AE68</f>
        <v>0</v>
      </c>
      <c r="Q116" s="38">
        <f t="shared" si="20"/>
        <v>0</v>
      </c>
      <c r="R116" s="49">
        <f t="shared" si="21"/>
        <v>0</v>
      </c>
      <c r="S116" s="76">
        <f t="shared" si="22"/>
        <v>0</v>
      </c>
      <c r="T116" s="77">
        <f t="shared" si="23"/>
        <v>0</v>
      </c>
      <c r="U116" s="221">
        <f t="shared" si="24"/>
        <v>49</v>
      </c>
      <c r="V116" s="36">
        <f>ROUND('GEN.AD - PAY'!I116*0.12,2)</f>
        <v>0</v>
      </c>
      <c r="W116" s="37">
        <v>100</v>
      </c>
      <c r="X116" s="37">
        <f>MIN((I116*0.05)-'GEN.AD - DEDS'!Y68,2500)</f>
        <v>0</v>
      </c>
      <c r="Y116" s="35">
        <v>200</v>
      </c>
    </row>
    <row r="117" spans="1:25" ht="18.75" customHeight="1" x14ac:dyDescent="0.25">
      <c r="A117" s="98"/>
      <c r="B117" s="33">
        <f t="shared" si="17"/>
        <v>50</v>
      </c>
      <c r="C117" s="72">
        <f>VLOOKUP(B117,'WTAX-GEN.AD'!B:N,2,0)</f>
        <v>0</v>
      </c>
      <c r="D117" s="72" t="e">
        <f>VLOOKUP(C117,'WTAX-GEN.AD'!C:O,2,0)</f>
        <v>#N/A</v>
      </c>
      <c r="E117" s="306">
        <f>VLOOKUP(B117,'WTAX-GEN.AD'!B:N,4,0)</f>
        <v>0</v>
      </c>
      <c r="F117" s="89"/>
      <c r="G117" s="91"/>
      <c r="H117" s="91"/>
      <c r="I117" s="37">
        <f t="shared" si="18"/>
        <v>0</v>
      </c>
      <c r="J117" s="332">
        <f>'WTAX-GEN.AD'!N104</f>
        <v>0</v>
      </c>
      <c r="K117" s="211">
        <f t="shared" si="19"/>
        <v>0</v>
      </c>
      <c r="L117" s="40">
        <f>'WTAX-GEN.AD'!F104</f>
        <v>0</v>
      </c>
      <c r="M117" s="37">
        <f>'GEN.AD - DEDS'!R69</f>
        <v>0</v>
      </c>
      <c r="N117" s="37">
        <f>'GEN.AD - DEDS'!X69</f>
        <v>0</v>
      </c>
      <c r="O117" s="37">
        <f>'GEN.AD - DEDS'!Y69</f>
        <v>0</v>
      </c>
      <c r="P117" s="37">
        <f>'GEN.AD - DEDS'!AE69</f>
        <v>0</v>
      </c>
      <c r="Q117" s="38">
        <f t="shared" si="20"/>
        <v>0</v>
      </c>
      <c r="R117" s="49">
        <f t="shared" si="21"/>
        <v>0</v>
      </c>
      <c r="S117" s="76">
        <f t="shared" si="22"/>
        <v>0</v>
      </c>
      <c r="T117" s="77">
        <f t="shared" si="23"/>
        <v>0</v>
      </c>
      <c r="U117" s="221">
        <f t="shared" si="24"/>
        <v>50</v>
      </c>
      <c r="V117" s="36">
        <f>ROUND('GEN.AD - PAY'!I117*0.12,2)</f>
        <v>0</v>
      </c>
      <c r="W117" s="37">
        <v>100</v>
      </c>
      <c r="X117" s="37">
        <f>MIN((I117*0.05)-'GEN.AD - DEDS'!Y69,2500)</f>
        <v>0</v>
      </c>
      <c r="Y117" s="35">
        <v>200</v>
      </c>
    </row>
    <row r="118" spans="1:25" ht="18.75" customHeight="1" x14ac:dyDescent="0.25">
      <c r="A118" s="98"/>
      <c r="B118" s="33">
        <f t="shared" si="17"/>
        <v>51</v>
      </c>
      <c r="C118" s="72">
        <f>VLOOKUP(B118,'WTAX-GEN.AD'!B:N,2,0)</f>
        <v>0</v>
      </c>
      <c r="D118" s="72" t="e">
        <f>VLOOKUP(C118,'WTAX-GEN.AD'!C:O,2,0)</f>
        <v>#N/A</v>
      </c>
      <c r="E118" s="306">
        <f>VLOOKUP(B118,'WTAX-GEN.AD'!B:N,4,0)</f>
        <v>0</v>
      </c>
      <c r="F118" s="89"/>
      <c r="G118" s="91"/>
      <c r="H118" s="91"/>
      <c r="I118" s="37">
        <f t="shared" si="18"/>
        <v>0</v>
      </c>
      <c r="J118" s="332">
        <f>'WTAX-GEN.AD'!N105</f>
        <v>0</v>
      </c>
      <c r="K118" s="211">
        <f t="shared" si="19"/>
        <v>0</v>
      </c>
      <c r="L118" s="40">
        <f>'WTAX-GEN.AD'!F105</f>
        <v>0</v>
      </c>
      <c r="M118" s="37">
        <f>'GEN.AD - DEDS'!R70</f>
        <v>0</v>
      </c>
      <c r="N118" s="37">
        <f>'GEN.AD - DEDS'!X70</f>
        <v>0</v>
      </c>
      <c r="O118" s="37">
        <f>'GEN.AD - DEDS'!Y70</f>
        <v>0</v>
      </c>
      <c r="P118" s="37">
        <f>'GEN.AD - DEDS'!AE70</f>
        <v>0</v>
      </c>
      <c r="Q118" s="38">
        <f t="shared" si="20"/>
        <v>0</v>
      </c>
      <c r="R118" s="49">
        <f t="shared" si="21"/>
        <v>0</v>
      </c>
      <c r="S118" s="76">
        <f t="shared" si="22"/>
        <v>0</v>
      </c>
      <c r="T118" s="77">
        <f t="shared" si="23"/>
        <v>0</v>
      </c>
      <c r="U118" s="221">
        <f t="shared" si="24"/>
        <v>51</v>
      </c>
      <c r="V118" s="36">
        <f>ROUND('GEN.AD - PAY'!I118*0.12,2)</f>
        <v>0</v>
      </c>
      <c r="W118" s="37">
        <v>100</v>
      </c>
      <c r="X118" s="37">
        <f>MIN((I118*0.05)-'GEN.AD - DEDS'!Y70,2500)</f>
        <v>0</v>
      </c>
      <c r="Y118" s="35">
        <v>200</v>
      </c>
    </row>
    <row r="119" spans="1:25" ht="18.75" customHeight="1" x14ac:dyDescent="0.25">
      <c r="A119" s="98"/>
      <c r="B119" s="33">
        <f t="shared" si="17"/>
        <v>52</v>
      </c>
      <c r="C119" s="72">
        <f>VLOOKUP(B119,'WTAX-GEN.AD'!B:N,2,0)</f>
        <v>0</v>
      </c>
      <c r="D119" s="72" t="e">
        <f>VLOOKUP(C119,'WTAX-GEN.AD'!C:O,2,0)</f>
        <v>#N/A</v>
      </c>
      <c r="E119" s="306">
        <f>VLOOKUP(B119,'WTAX-GEN.AD'!B:N,4,0)</f>
        <v>0</v>
      </c>
      <c r="F119" s="89"/>
      <c r="G119" s="91"/>
      <c r="H119" s="91"/>
      <c r="I119" s="37">
        <f t="shared" si="18"/>
        <v>0</v>
      </c>
      <c r="J119" s="332">
        <f>'WTAX-GEN.AD'!N106</f>
        <v>0</v>
      </c>
      <c r="K119" s="211">
        <f t="shared" si="19"/>
        <v>0</v>
      </c>
      <c r="L119" s="40">
        <f>'WTAX-GEN.AD'!F106</f>
        <v>0</v>
      </c>
      <c r="M119" s="37">
        <f>'GEN.AD - DEDS'!R71</f>
        <v>0</v>
      </c>
      <c r="N119" s="37">
        <f>'GEN.AD - DEDS'!X71</f>
        <v>0</v>
      </c>
      <c r="O119" s="37">
        <f>'GEN.AD - DEDS'!Y71</f>
        <v>0</v>
      </c>
      <c r="P119" s="37">
        <f>'GEN.AD - DEDS'!AE71</f>
        <v>0</v>
      </c>
      <c r="Q119" s="38">
        <f t="shared" si="20"/>
        <v>0</v>
      </c>
      <c r="R119" s="49">
        <f t="shared" si="21"/>
        <v>0</v>
      </c>
      <c r="S119" s="76">
        <f t="shared" si="22"/>
        <v>0</v>
      </c>
      <c r="T119" s="77">
        <f t="shared" si="23"/>
        <v>0</v>
      </c>
      <c r="U119" s="221">
        <f t="shared" si="24"/>
        <v>52</v>
      </c>
      <c r="V119" s="36">
        <f>ROUND('GEN.AD - PAY'!I119*0.12,2)</f>
        <v>0</v>
      </c>
      <c r="W119" s="37">
        <v>100</v>
      </c>
      <c r="X119" s="37">
        <f>MIN((I119*0.05)-'GEN.AD - DEDS'!Y71,2500)</f>
        <v>0</v>
      </c>
      <c r="Y119" s="35">
        <v>200</v>
      </c>
    </row>
    <row r="120" spans="1:25" ht="18.75" customHeight="1" x14ac:dyDescent="0.25">
      <c r="A120" s="98"/>
      <c r="B120" s="33">
        <f t="shared" si="17"/>
        <v>53</v>
      </c>
      <c r="C120" s="72">
        <f>VLOOKUP(B120,'WTAX-GEN.AD'!B:N,2,0)</f>
        <v>0</v>
      </c>
      <c r="D120" s="72" t="e">
        <f>VLOOKUP(C120,'WTAX-GEN.AD'!C:O,2,0)</f>
        <v>#N/A</v>
      </c>
      <c r="E120" s="306">
        <f>VLOOKUP(B120,'WTAX-GEN.AD'!B:N,4,0)</f>
        <v>0</v>
      </c>
      <c r="F120" s="89"/>
      <c r="G120" s="91"/>
      <c r="H120" s="91"/>
      <c r="I120" s="37">
        <f t="shared" si="18"/>
        <v>0</v>
      </c>
      <c r="J120" s="332">
        <f>'WTAX-GEN.AD'!N107</f>
        <v>0</v>
      </c>
      <c r="K120" s="211">
        <f t="shared" si="19"/>
        <v>0</v>
      </c>
      <c r="L120" s="40">
        <f>'WTAX-GEN.AD'!F107</f>
        <v>0</v>
      </c>
      <c r="M120" s="37">
        <f>'GEN.AD - DEDS'!R72</f>
        <v>0</v>
      </c>
      <c r="N120" s="37">
        <f>'GEN.AD - DEDS'!X72</f>
        <v>0</v>
      </c>
      <c r="O120" s="37">
        <f>'GEN.AD - DEDS'!Y72</f>
        <v>0</v>
      </c>
      <c r="P120" s="37">
        <f>'GEN.AD - DEDS'!AE72</f>
        <v>0</v>
      </c>
      <c r="Q120" s="38">
        <f t="shared" si="20"/>
        <v>0</v>
      </c>
      <c r="R120" s="49">
        <f t="shared" si="21"/>
        <v>0</v>
      </c>
      <c r="S120" s="76">
        <f t="shared" si="22"/>
        <v>0</v>
      </c>
      <c r="T120" s="77">
        <f t="shared" si="23"/>
        <v>0</v>
      </c>
      <c r="U120" s="221">
        <f t="shared" si="24"/>
        <v>53</v>
      </c>
      <c r="V120" s="36">
        <f>ROUND('GEN.AD - PAY'!I120*0.12,2)</f>
        <v>0</v>
      </c>
      <c r="W120" s="37">
        <v>100</v>
      </c>
      <c r="X120" s="37">
        <f>MIN((I120*0.05)-'GEN.AD - DEDS'!Y72,2500)</f>
        <v>0</v>
      </c>
      <c r="Y120" s="35">
        <v>200</v>
      </c>
    </row>
    <row r="121" spans="1:25" ht="18.75" customHeight="1" x14ac:dyDescent="0.25">
      <c r="A121" s="98"/>
      <c r="B121" s="33">
        <f t="shared" si="17"/>
        <v>54</v>
      </c>
      <c r="C121" s="72">
        <f>VLOOKUP(B121,'WTAX-GEN.AD'!B:N,2,0)</f>
        <v>0</v>
      </c>
      <c r="D121" s="72" t="e">
        <f>VLOOKUP(C121,'WTAX-GEN.AD'!C:O,2,0)</f>
        <v>#N/A</v>
      </c>
      <c r="E121" s="306">
        <f>VLOOKUP(B121,'WTAX-GEN.AD'!B:N,4,0)</f>
        <v>0</v>
      </c>
      <c r="F121" s="89"/>
      <c r="G121" s="91"/>
      <c r="H121" s="91"/>
      <c r="I121" s="37">
        <f t="shared" si="18"/>
        <v>0</v>
      </c>
      <c r="J121" s="332">
        <f>'WTAX-GEN.AD'!N108</f>
        <v>0</v>
      </c>
      <c r="K121" s="211">
        <f t="shared" si="19"/>
        <v>0</v>
      </c>
      <c r="L121" s="40">
        <f>'WTAX-GEN.AD'!F108</f>
        <v>0</v>
      </c>
      <c r="M121" s="37">
        <f>'GEN.AD - DEDS'!R73</f>
        <v>0</v>
      </c>
      <c r="N121" s="37">
        <f>'GEN.AD - DEDS'!X73</f>
        <v>0</v>
      </c>
      <c r="O121" s="37">
        <f>'GEN.AD - DEDS'!Y73</f>
        <v>0</v>
      </c>
      <c r="P121" s="37">
        <f>'GEN.AD - DEDS'!AE73</f>
        <v>0</v>
      </c>
      <c r="Q121" s="38">
        <f t="shared" si="20"/>
        <v>0</v>
      </c>
      <c r="R121" s="49">
        <f t="shared" si="21"/>
        <v>0</v>
      </c>
      <c r="S121" s="76">
        <f t="shared" si="22"/>
        <v>0</v>
      </c>
      <c r="T121" s="77">
        <f t="shared" si="23"/>
        <v>0</v>
      </c>
      <c r="U121" s="221">
        <f t="shared" si="24"/>
        <v>54</v>
      </c>
      <c r="V121" s="36">
        <f>ROUND('GEN.AD - PAY'!I121*0.12,2)</f>
        <v>0</v>
      </c>
      <c r="W121" s="37">
        <v>100</v>
      </c>
      <c r="X121" s="37">
        <f>MIN((I121*0.05)-'GEN.AD - DEDS'!Y73,2500)</f>
        <v>0</v>
      </c>
      <c r="Y121" s="35">
        <v>200</v>
      </c>
    </row>
    <row r="122" spans="1:25" ht="18.75" customHeight="1" x14ac:dyDescent="0.25">
      <c r="A122" s="98"/>
      <c r="B122" s="33">
        <f t="shared" si="17"/>
        <v>55</v>
      </c>
      <c r="C122" s="72">
        <f>VLOOKUP(B122,'WTAX-GEN.AD'!B:N,2,0)</f>
        <v>0</v>
      </c>
      <c r="D122" s="72" t="e">
        <f>VLOOKUP(C122,'WTAX-GEN.AD'!C:O,2,0)</f>
        <v>#N/A</v>
      </c>
      <c r="E122" s="306">
        <f>VLOOKUP(B122,'WTAX-GEN.AD'!B:N,4,0)</f>
        <v>0</v>
      </c>
      <c r="F122" s="89"/>
      <c r="G122" s="91"/>
      <c r="H122" s="91"/>
      <c r="I122" s="37">
        <f t="shared" si="18"/>
        <v>0</v>
      </c>
      <c r="J122" s="332">
        <f>'WTAX-GEN.AD'!N109</f>
        <v>0</v>
      </c>
      <c r="K122" s="211">
        <f t="shared" si="19"/>
        <v>0</v>
      </c>
      <c r="L122" s="40">
        <f>'WTAX-GEN.AD'!F109</f>
        <v>0</v>
      </c>
      <c r="M122" s="37">
        <f>'GEN.AD - DEDS'!R74</f>
        <v>0</v>
      </c>
      <c r="N122" s="37">
        <f>'GEN.AD - DEDS'!X74</f>
        <v>0</v>
      </c>
      <c r="O122" s="37">
        <f>'GEN.AD - DEDS'!Y74</f>
        <v>0</v>
      </c>
      <c r="P122" s="37">
        <f>'GEN.AD - DEDS'!AE74</f>
        <v>0</v>
      </c>
      <c r="Q122" s="38">
        <f t="shared" si="20"/>
        <v>0</v>
      </c>
      <c r="R122" s="49">
        <f t="shared" si="21"/>
        <v>0</v>
      </c>
      <c r="S122" s="76">
        <f t="shared" si="22"/>
        <v>0</v>
      </c>
      <c r="T122" s="77">
        <f t="shared" si="23"/>
        <v>0</v>
      </c>
      <c r="U122" s="221">
        <f t="shared" si="24"/>
        <v>55</v>
      </c>
      <c r="V122" s="36">
        <f>ROUND('GEN.AD - PAY'!I122*0.12,2)</f>
        <v>0</v>
      </c>
      <c r="W122" s="37">
        <v>100</v>
      </c>
      <c r="X122" s="37">
        <f>MIN((I122*0.05)-'GEN.AD - DEDS'!Y74,2500)</f>
        <v>0</v>
      </c>
      <c r="Y122" s="35">
        <v>200</v>
      </c>
    </row>
    <row r="123" spans="1:25" ht="18.75" customHeight="1" x14ac:dyDescent="0.25">
      <c r="A123" s="98"/>
      <c r="B123" s="33">
        <f t="shared" si="17"/>
        <v>56</v>
      </c>
      <c r="C123" s="72">
        <f>VLOOKUP(B123,'WTAX-GEN.AD'!B:N,2,0)</f>
        <v>0</v>
      </c>
      <c r="D123" s="72" t="e">
        <f>VLOOKUP(C123,'WTAX-GEN.AD'!C:O,2,0)</f>
        <v>#N/A</v>
      </c>
      <c r="E123" s="306">
        <f>VLOOKUP(B123,'WTAX-GEN.AD'!B:N,4,0)</f>
        <v>0</v>
      </c>
      <c r="F123" s="89"/>
      <c r="G123" s="91"/>
      <c r="H123" s="91"/>
      <c r="I123" s="37">
        <f t="shared" si="18"/>
        <v>0</v>
      </c>
      <c r="J123" s="332">
        <f>'WTAX-GEN.AD'!N110</f>
        <v>0</v>
      </c>
      <c r="K123" s="211">
        <f t="shared" si="19"/>
        <v>0</v>
      </c>
      <c r="L123" s="40">
        <f>'WTAX-GEN.AD'!F110</f>
        <v>0</v>
      </c>
      <c r="M123" s="37">
        <f>'GEN.AD - DEDS'!R75</f>
        <v>0</v>
      </c>
      <c r="N123" s="37">
        <f>'GEN.AD - DEDS'!X75</f>
        <v>0</v>
      </c>
      <c r="O123" s="37">
        <f>'GEN.AD - DEDS'!Y75</f>
        <v>0</v>
      </c>
      <c r="P123" s="37">
        <f>'GEN.AD - DEDS'!AE75</f>
        <v>0</v>
      </c>
      <c r="Q123" s="38">
        <f t="shared" si="20"/>
        <v>0</v>
      </c>
      <c r="R123" s="49">
        <f t="shared" si="21"/>
        <v>0</v>
      </c>
      <c r="S123" s="76">
        <f t="shared" si="22"/>
        <v>0</v>
      </c>
      <c r="T123" s="77">
        <f t="shared" si="23"/>
        <v>0</v>
      </c>
      <c r="U123" s="221">
        <f t="shared" si="24"/>
        <v>56</v>
      </c>
      <c r="V123" s="36">
        <f>ROUND('GEN.AD - PAY'!I123*0.12,2)</f>
        <v>0</v>
      </c>
      <c r="W123" s="37">
        <v>100</v>
      </c>
      <c r="X123" s="37">
        <f>MIN((I123*0.05)-'GEN.AD - DEDS'!Y75,2500)</f>
        <v>0</v>
      </c>
      <c r="Y123" s="35">
        <v>200</v>
      </c>
    </row>
    <row r="124" spans="1:25" ht="18.75" customHeight="1" x14ac:dyDescent="0.25">
      <c r="A124" s="98"/>
      <c r="B124" s="33">
        <f t="shared" si="17"/>
        <v>57</v>
      </c>
      <c r="C124" s="72">
        <f>VLOOKUP(B124,'WTAX-GEN.AD'!B:N,2,0)</f>
        <v>0</v>
      </c>
      <c r="D124" s="72" t="e">
        <f>VLOOKUP(C124,'WTAX-GEN.AD'!C:O,2,0)</f>
        <v>#N/A</v>
      </c>
      <c r="E124" s="306">
        <f>VLOOKUP(B124,'WTAX-GEN.AD'!B:N,4,0)</f>
        <v>0</v>
      </c>
      <c r="F124" s="89"/>
      <c r="G124" s="91"/>
      <c r="H124" s="91"/>
      <c r="I124" s="37">
        <f t="shared" si="18"/>
        <v>0</v>
      </c>
      <c r="J124" s="332">
        <f>'WTAX-GEN.AD'!N111</f>
        <v>0</v>
      </c>
      <c r="K124" s="211">
        <f t="shared" si="19"/>
        <v>0</v>
      </c>
      <c r="L124" s="40">
        <f>'WTAX-GEN.AD'!F111</f>
        <v>0</v>
      </c>
      <c r="M124" s="37">
        <f>'GEN.AD - DEDS'!R76</f>
        <v>0</v>
      </c>
      <c r="N124" s="37">
        <f>'GEN.AD - DEDS'!X76</f>
        <v>0</v>
      </c>
      <c r="O124" s="37">
        <f>'GEN.AD - DEDS'!Y76</f>
        <v>0</v>
      </c>
      <c r="P124" s="37">
        <f>'GEN.AD - DEDS'!AE76</f>
        <v>0</v>
      </c>
      <c r="Q124" s="38">
        <f t="shared" si="20"/>
        <v>0</v>
      </c>
      <c r="R124" s="49">
        <f t="shared" si="21"/>
        <v>0</v>
      </c>
      <c r="S124" s="76">
        <f t="shared" si="22"/>
        <v>0</v>
      </c>
      <c r="T124" s="77">
        <f t="shared" si="23"/>
        <v>0</v>
      </c>
      <c r="U124" s="221">
        <f t="shared" si="24"/>
        <v>57</v>
      </c>
      <c r="V124" s="36">
        <f>ROUND('GEN.AD - PAY'!I124*0.12,2)</f>
        <v>0</v>
      </c>
      <c r="W124" s="37">
        <v>100</v>
      </c>
      <c r="X124" s="37">
        <f>MIN((I124*0.05)-'GEN.AD - DEDS'!Y76,2500)</f>
        <v>0</v>
      </c>
      <c r="Y124" s="35">
        <v>200</v>
      </c>
    </row>
    <row r="125" spans="1:25" ht="18.75" customHeight="1" x14ac:dyDescent="0.25">
      <c r="A125" s="98"/>
      <c r="B125" s="33">
        <f t="shared" si="17"/>
        <v>58</v>
      </c>
      <c r="C125" s="72">
        <f>VLOOKUP(B125,'WTAX-GEN.AD'!B:N,2,0)</f>
        <v>0</v>
      </c>
      <c r="D125" s="72" t="e">
        <f>VLOOKUP(C125,'WTAX-GEN.AD'!C:O,2,0)</f>
        <v>#N/A</v>
      </c>
      <c r="E125" s="306">
        <f>VLOOKUP(B125,'WTAX-GEN.AD'!B:N,4,0)</f>
        <v>0</v>
      </c>
      <c r="F125" s="89"/>
      <c r="G125" s="91"/>
      <c r="H125" s="91"/>
      <c r="I125" s="37">
        <f t="shared" si="18"/>
        <v>0</v>
      </c>
      <c r="J125" s="332">
        <f>'WTAX-GEN.AD'!N112</f>
        <v>0</v>
      </c>
      <c r="K125" s="211">
        <f t="shared" si="19"/>
        <v>0</v>
      </c>
      <c r="L125" s="40">
        <f>'WTAX-GEN.AD'!F112</f>
        <v>0</v>
      </c>
      <c r="M125" s="37">
        <f>'GEN.AD - DEDS'!R77</f>
        <v>0</v>
      </c>
      <c r="N125" s="37">
        <f>'GEN.AD - DEDS'!X77</f>
        <v>0</v>
      </c>
      <c r="O125" s="37">
        <f>'GEN.AD - DEDS'!Y77</f>
        <v>0</v>
      </c>
      <c r="P125" s="37">
        <f>'GEN.AD - DEDS'!AE77</f>
        <v>0</v>
      </c>
      <c r="Q125" s="38">
        <f t="shared" si="20"/>
        <v>0</v>
      </c>
      <c r="R125" s="49">
        <f t="shared" si="21"/>
        <v>0</v>
      </c>
      <c r="S125" s="76">
        <f t="shared" si="22"/>
        <v>0</v>
      </c>
      <c r="T125" s="77">
        <f t="shared" si="23"/>
        <v>0</v>
      </c>
      <c r="U125" s="221">
        <f t="shared" si="24"/>
        <v>58</v>
      </c>
      <c r="V125" s="36">
        <f>ROUND('GEN.AD - PAY'!I125*0.12,2)</f>
        <v>0</v>
      </c>
      <c r="W125" s="37">
        <v>100</v>
      </c>
      <c r="X125" s="37">
        <f>MIN((I125*0.05)-'GEN.AD - DEDS'!Y77,2500)</f>
        <v>0</v>
      </c>
      <c r="Y125" s="35">
        <v>200</v>
      </c>
    </row>
    <row r="126" spans="1:25" ht="18.75" customHeight="1" x14ac:dyDescent="0.25">
      <c r="A126" s="98"/>
      <c r="B126" s="33">
        <f t="shared" si="17"/>
        <v>59</v>
      </c>
      <c r="C126" s="72">
        <f>VLOOKUP(B126,'WTAX-GEN.AD'!B:N,2,0)</f>
        <v>0</v>
      </c>
      <c r="D126" s="72" t="e">
        <f>VLOOKUP(C126,'WTAX-GEN.AD'!C:O,2,0)</f>
        <v>#N/A</v>
      </c>
      <c r="E126" s="306">
        <f>VLOOKUP(B126,'WTAX-GEN.AD'!B:N,4,0)</f>
        <v>0</v>
      </c>
      <c r="F126" s="89"/>
      <c r="G126" s="91"/>
      <c r="H126" s="91"/>
      <c r="I126" s="37">
        <f t="shared" si="18"/>
        <v>0</v>
      </c>
      <c r="J126" s="332">
        <f>'WTAX-GEN.AD'!N113</f>
        <v>0</v>
      </c>
      <c r="K126" s="211">
        <f t="shared" si="19"/>
        <v>0</v>
      </c>
      <c r="L126" s="40">
        <f>'WTAX-GEN.AD'!F113</f>
        <v>0</v>
      </c>
      <c r="M126" s="37">
        <f>'GEN.AD - DEDS'!R78</f>
        <v>0</v>
      </c>
      <c r="N126" s="37">
        <f>'GEN.AD - DEDS'!X78</f>
        <v>0</v>
      </c>
      <c r="O126" s="37">
        <f>'GEN.AD - DEDS'!Y78</f>
        <v>0</v>
      </c>
      <c r="P126" s="37">
        <f>'GEN.AD - DEDS'!AE78</f>
        <v>0</v>
      </c>
      <c r="Q126" s="38">
        <f t="shared" si="20"/>
        <v>0</v>
      </c>
      <c r="R126" s="49">
        <f t="shared" si="21"/>
        <v>0</v>
      </c>
      <c r="S126" s="76">
        <f t="shared" si="22"/>
        <v>0</v>
      </c>
      <c r="T126" s="77">
        <f t="shared" si="23"/>
        <v>0</v>
      </c>
      <c r="U126" s="221">
        <f t="shared" si="24"/>
        <v>59</v>
      </c>
      <c r="V126" s="36">
        <f>ROUND('GEN.AD - PAY'!I126*0.12,2)</f>
        <v>0</v>
      </c>
      <c r="W126" s="37">
        <v>100</v>
      </c>
      <c r="X126" s="37">
        <f>MIN((I126*0.05)-'GEN.AD - DEDS'!Y78,2500)</f>
        <v>0</v>
      </c>
      <c r="Y126" s="35">
        <v>200</v>
      </c>
    </row>
    <row r="127" spans="1:25" ht="18.75" customHeight="1" x14ac:dyDescent="0.25">
      <c r="A127" s="98"/>
      <c r="B127" s="33">
        <f t="shared" si="17"/>
        <v>60</v>
      </c>
      <c r="C127" s="72">
        <f>VLOOKUP(B127,'WTAX-GEN.AD'!B:N,2,0)</f>
        <v>0</v>
      </c>
      <c r="D127" s="72" t="e">
        <f>VLOOKUP(C127,'WTAX-GEN.AD'!C:O,2,0)</f>
        <v>#N/A</v>
      </c>
      <c r="E127" s="306">
        <f>VLOOKUP(B127,'WTAX-GEN.AD'!B:N,4,0)</f>
        <v>0</v>
      </c>
      <c r="F127" s="89"/>
      <c r="G127" s="91"/>
      <c r="H127" s="91"/>
      <c r="I127" s="37">
        <f t="shared" si="18"/>
        <v>0</v>
      </c>
      <c r="J127" s="332">
        <f>'WTAX-GEN.AD'!N114</f>
        <v>0</v>
      </c>
      <c r="K127" s="211">
        <f t="shared" si="19"/>
        <v>0</v>
      </c>
      <c r="L127" s="40">
        <f>'WTAX-GEN.AD'!F114</f>
        <v>0</v>
      </c>
      <c r="M127" s="37">
        <f>'GEN.AD - DEDS'!R79</f>
        <v>0</v>
      </c>
      <c r="N127" s="37">
        <f>'GEN.AD - DEDS'!X79</f>
        <v>0</v>
      </c>
      <c r="O127" s="37">
        <f>'GEN.AD - DEDS'!Y79</f>
        <v>0</v>
      </c>
      <c r="P127" s="37">
        <f>'GEN.AD - DEDS'!AE79</f>
        <v>0</v>
      </c>
      <c r="Q127" s="38">
        <f t="shared" si="20"/>
        <v>0</v>
      </c>
      <c r="R127" s="49">
        <f t="shared" si="21"/>
        <v>0</v>
      </c>
      <c r="S127" s="76">
        <f t="shared" si="22"/>
        <v>0</v>
      </c>
      <c r="T127" s="77">
        <f t="shared" si="23"/>
        <v>0</v>
      </c>
      <c r="U127" s="221">
        <f t="shared" si="24"/>
        <v>60</v>
      </c>
      <c r="V127" s="36">
        <f>ROUND('GEN.AD - PAY'!I127*0.12,2)</f>
        <v>0</v>
      </c>
      <c r="W127" s="37">
        <v>100</v>
      </c>
      <c r="X127" s="37">
        <f>MIN((I127*0.05)-'GEN.AD - DEDS'!Y79,2500)</f>
        <v>0</v>
      </c>
      <c r="Y127" s="35">
        <v>200</v>
      </c>
    </row>
    <row r="128" spans="1:25" ht="18.75" customHeight="1" x14ac:dyDescent="0.25">
      <c r="A128" s="98"/>
      <c r="B128" s="33">
        <f t="shared" si="17"/>
        <v>61</v>
      </c>
      <c r="C128" s="72">
        <f>VLOOKUP(B128,'WTAX-GEN.AD'!B:N,2,0)</f>
        <v>0</v>
      </c>
      <c r="D128" s="72" t="e">
        <f>VLOOKUP(C128,'WTAX-GEN.AD'!C:O,2,0)</f>
        <v>#N/A</v>
      </c>
      <c r="E128" s="306">
        <f>VLOOKUP(B128,'WTAX-GEN.AD'!B:N,4,0)</f>
        <v>0</v>
      </c>
      <c r="F128" s="89"/>
      <c r="G128" s="91"/>
      <c r="H128" s="91"/>
      <c r="I128" s="37">
        <f t="shared" si="18"/>
        <v>0</v>
      </c>
      <c r="J128" s="332">
        <f>'WTAX-GEN.AD'!N115</f>
        <v>0</v>
      </c>
      <c r="K128" s="211">
        <f t="shared" si="19"/>
        <v>0</v>
      </c>
      <c r="L128" s="40">
        <f>'WTAX-GEN.AD'!F115</f>
        <v>0</v>
      </c>
      <c r="M128" s="37">
        <f>'GEN.AD - DEDS'!R80</f>
        <v>0</v>
      </c>
      <c r="N128" s="37">
        <f>'GEN.AD - DEDS'!X80</f>
        <v>0</v>
      </c>
      <c r="O128" s="37">
        <f>'GEN.AD - DEDS'!Y80</f>
        <v>0</v>
      </c>
      <c r="P128" s="37">
        <f>'GEN.AD - DEDS'!AE80</f>
        <v>0</v>
      </c>
      <c r="Q128" s="38">
        <f t="shared" si="20"/>
        <v>0</v>
      </c>
      <c r="R128" s="49">
        <f t="shared" si="21"/>
        <v>0</v>
      </c>
      <c r="S128" s="76">
        <f t="shared" si="22"/>
        <v>0</v>
      </c>
      <c r="T128" s="77">
        <f t="shared" si="23"/>
        <v>0</v>
      </c>
      <c r="U128" s="221">
        <f t="shared" si="24"/>
        <v>61</v>
      </c>
      <c r="V128" s="36">
        <f>ROUND('GEN.AD - PAY'!I128*0.12,2)</f>
        <v>0</v>
      </c>
      <c r="W128" s="37">
        <v>100</v>
      </c>
      <c r="X128" s="37">
        <f>MIN((I128*0.05)-'GEN.AD - DEDS'!Y80,2500)</f>
        <v>0</v>
      </c>
      <c r="Y128" s="35">
        <v>200</v>
      </c>
    </row>
    <row r="129" spans="1:25" ht="18.75" customHeight="1" x14ac:dyDescent="0.25">
      <c r="A129" s="98"/>
      <c r="B129" s="33">
        <f t="shared" si="17"/>
        <v>62</v>
      </c>
      <c r="C129" s="72">
        <f>VLOOKUP(B129,'WTAX-GEN.AD'!B:N,2,0)</f>
        <v>0</v>
      </c>
      <c r="D129" s="72" t="e">
        <f>VLOOKUP(C129,'WTAX-GEN.AD'!C:O,2,0)</f>
        <v>#N/A</v>
      </c>
      <c r="E129" s="306">
        <f>VLOOKUP(B129,'WTAX-GEN.AD'!B:N,4,0)</f>
        <v>0</v>
      </c>
      <c r="F129" s="89"/>
      <c r="G129" s="91"/>
      <c r="H129" s="91"/>
      <c r="I129" s="37">
        <f t="shared" si="18"/>
        <v>0</v>
      </c>
      <c r="J129" s="332">
        <f>'WTAX-GEN.AD'!N116</f>
        <v>0</v>
      </c>
      <c r="K129" s="211">
        <f t="shared" si="19"/>
        <v>0</v>
      </c>
      <c r="L129" s="40">
        <f>'WTAX-GEN.AD'!F116</f>
        <v>0</v>
      </c>
      <c r="M129" s="37">
        <f>'GEN.AD - DEDS'!R81</f>
        <v>0</v>
      </c>
      <c r="N129" s="37">
        <f>'GEN.AD - DEDS'!X81</f>
        <v>0</v>
      </c>
      <c r="O129" s="37">
        <f>'GEN.AD - DEDS'!Y81</f>
        <v>0</v>
      </c>
      <c r="P129" s="37">
        <f>'GEN.AD - DEDS'!AE81</f>
        <v>0</v>
      </c>
      <c r="Q129" s="38">
        <f t="shared" si="20"/>
        <v>0</v>
      </c>
      <c r="R129" s="49">
        <f t="shared" si="21"/>
        <v>0</v>
      </c>
      <c r="S129" s="76">
        <f t="shared" si="22"/>
        <v>0</v>
      </c>
      <c r="T129" s="77">
        <f t="shared" si="23"/>
        <v>0</v>
      </c>
      <c r="U129" s="221">
        <f t="shared" si="24"/>
        <v>62</v>
      </c>
      <c r="V129" s="36">
        <f>ROUND('GEN.AD - PAY'!I129*0.12,2)</f>
        <v>0</v>
      </c>
      <c r="W129" s="37">
        <v>100</v>
      </c>
      <c r="X129" s="37">
        <f>MIN((I129*0.05)-'GEN.AD - DEDS'!Y81,2500)</f>
        <v>0</v>
      </c>
      <c r="Y129" s="35">
        <v>200</v>
      </c>
    </row>
    <row r="130" spans="1:25" ht="18.75" customHeight="1" x14ac:dyDescent="0.25">
      <c r="A130" s="98"/>
      <c r="B130" s="33">
        <f t="shared" si="17"/>
        <v>63</v>
      </c>
      <c r="C130" s="72">
        <f>VLOOKUP(B130,'WTAX-GEN.AD'!B:N,2,0)</f>
        <v>0</v>
      </c>
      <c r="D130" s="72" t="e">
        <f>VLOOKUP(C130,'WTAX-GEN.AD'!C:O,2,0)</f>
        <v>#N/A</v>
      </c>
      <c r="E130" s="306">
        <f>VLOOKUP(B130,'WTAX-GEN.AD'!B:N,4,0)</f>
        <v>0</v>
      </c>
      <c r="F130" s="89"/>
      <c r="G130" s="91"/>
      <c r="H130" s="91"/>
      <c r="I130" s="37">
        <f t="shared" si="18"/>
        <v>0</v>
      </c>
      <c r="J130" s="332">
        <f>'WTAX-GEN.AD'!N117</f>
        <v>0</v>
      </c>
      <c r="K130" s="211">
        <f t="shared" si="19"/>
        <v>0</v>
      </c>
      <c r="L130" s="40">
        <f>'WTAX-GEN.AD'!F117</f>
        <v>0</v>
      </c>
      <c r="M130" s="37">
        <f>'GEN.AD - DEDS'!R82</f>
        <v>0</v>
      </c>
      <c r="N130" s="37">
        <f>'GEN.AD - DEDS'!X82</f>
        <v>0</v>
      </c>
      <c r="O130" s="37">
        <f>'GEN.AD - DEDS'!Y82</f>
        <v>0</v>
      </c>
      <c r="P130" s="37">
        <f>'GEN.AD - DEDS'!AE82</f>
        <v>0</v>
      </c>
      <c r="Q130" s="38">
        <f t="shared" si="20"/>
        <v>0</v>
      </c>
      <c r="R130" s="49">
        <f t="shared" si="21"/>
        <v>0</v>
      </c>
      <c r="S130" s="76">
        <f t="shared" si="22"/>
        <v>0</v>
      </c>
      <c r="T130" s="77">
        <f t="shared" si="23"/>
        <v>0</v>
      </c>
      <c r="U130" s="221">
        <f t="shared" si="24"/>
        <v>63</v>
      </c>
      <c r="V130" s="36">
        <f>ROUND('GEN.AD - PAY'!I130*0.12,2)</f>
        <v>0</v>
      </c>
      <c r="W130" s="37">
        <v>100</v>
      </c>
      <c r="X130" s="37">
        <f>MIN((I130*0.05)-'GEN.AD - DEDS'!Y82,2500)</f>
        <v>0</v>
      </c>
      <c r="Y130" s="35">
        <v>200</v>
      </c>
    </row>
    <row r="131" spans="1:25" ht="18.75" customHeight="1" x14ac:dyDescent="0.25">
      <c r="A131" s="98"/>
      <c r="B131" s="33">
        <f t="shared" si="17"/>
        <v>64</v>
      </c>
      <c r="C131" s="72">
        <f>VLOOKUP(B131,'WTAX-GEN.AD'!B:N,2,0)</f>
        <v>0</v>
      </c>
      <c r="D131" s="72" t="e">
        <f>VLOOKUP(C131,'WTAX-GEN.AD'!C:O,2,0)</f>
        <v>#N/A</v>
      </c>
      <c r="E131" s="306">
        <f>VLOOKUP(B131,'WTAX-GEN.AD'!B:N,4,0)</f>
        <v>0</v>
      </c>
      <c r="F131" s="89"/>
      <c r="G131" s="91"/>
      <c r="H131" s="91"/>
      <c r="I131" s="37">
        <f t="shared" si="18"/>
        <v>0</v>
      </c>
      <c r="J131" s="332">
        <f>'WTAX-GEN.AD'!N118</f>
        <v>0</v>
      </c>
      <c r="K131" s="211">
        <f t="shared" si="19"/>
        <v>0</v>
      </c>
      <c r="L131" s="40">
        <f>'WTAX-GEN.AD'!F118</f>
        <v>0</v>
      </c>
      <c r="M131" s="37">
        <f>'GEN.AD - DEDS'!R83</f>
        <v>0</v>
      </c>
      <c r="N131" s="37">
        <f>'GEN.AD - DEDS'!X83</f>
        <v>0</v>
      </c>
      <c r="O131" s="37">
        <f>'GEN.AD - DEDS'!Y83</f>
        <v>0</v>
      </c>
      <c r="P131" s="37">
        <f>'GEN.AD - DEDS'!AE83</f>
        <v>0</v>
      </c>
      <c r="Q131" s="38">
        <f t="shared" si="20"/>
        <v>0</v>
      </c>
      <c r="R131" s="49">
        <f t="shared" si="21"/>
        <v>0</v>
      </c>
      <c r="S131" s="76">
        <f t="shared" si="22"/>
        <v>0</v>
      </c>
      <c r="T131" s="77">
        <f t="shared" si="23"/>
        <v>0</v>
      </c>
      <c r="U131" s="221">
        <f t="shared" si="24"/>
        <v>64</v>
      </c>
      <c r="V131" s="36">
        <f>ROUND('GEN.AD - PAY'!I131*0.12,2)</f>
        <v>0</v>
      </c>
      <c r="W131" s="37">
        <v>100</v>
      </c>
      <c r="X131" s="37">
        <f>MIN((I131*0.05)-'GEN.AD - DEDS'!Y83,2500)</f>
        <v>0</v>
      </c>
      <c r="Y131" s="35">
        <v>200</v>
      </c>
    </row>
    <row r="132" spans="1:25" ht="18.75" customHeight="1" x14ac:dyDescent="0.25">
      <c r="A132" s="98"/>
      <c r="B132" s="33">
        <f t="shared" si="17"/>
        <v>65</v>
      </c>
      <c r="C132" s="72">
        <f>VLOOKUP(B132,'WTAX-GEN.AD'!B:N,2,0)</f>
        <v>0</v>
      </c>
      <c r="D132" s="72" t="e">
        <f>VLOOKUP(C132,'WTAX-GEN.AD'!C:O,2,0)</f>
        <v>#N/A</v>
      </c>
      <c r="E132" s="306">
        <f>VLOOKUP(B132,'WTAX-GEN.AD'!B:N,4,0)</f>
        <v>0</v>
      </c>
      <c r="F132" s="89"/>
      <c r="G132" s="91"/>
      <c r="H132" s="91"/>
      <c r="I132" s="37">
        <f t="shared" si="18"/>
        <v>0</v>
      </c>
      <c r="J132" s="332">
        <f>'WTAX-GEN.AD'!N119</f>
        <v>0</v>
      </c>
      <c r="K132" s="211">
        <f t="shared" si="19"/>
        <v>0</v>
      </c>
      <c r="L132" s="40">
        <f>'WTAX-GEN.AD'!F119</f>
        <v>0</v>
      </c>
      <c r="M132" s="37">
        <f>'GEN.AD - DEDS'!R84</f>
        <v>0</v>
      </c>
      <c r="N132" s="37">
        <f>'GEN.AD - DEDS'!X84</f>
        <v>0</v>
      </c>
      <c r="O132" s="37">
        <f>'GEN.AD - DEDS'!Y84</f>
        <v>0</v>
      </c>
      <c r="P132" s="37">
        <f>'GEN.AD - DEDS'!AE84</f>
        <v>0</v>
      </c>
      <c r="Q132" s="38">
        <f t="shared" si="20"/>
        <v>0</v>
      </c>
      <c r="R132" s="49">
        <f t="shared" si="21"/>
        <v>0</v>
      </c>
      <c r="S132" s="76">
        <f t="shared" si="22"/>
        <v>0</v>
      </c>
      <c r="T132" s="77">
        <f t="shared" si="23"/>
        <v>0</v>
      </c>
      <c r="U132" s="221">
        <f t="shared" si="24"/>
        <v>65</v>
      </c>
      <c r="V132" s="36">
        <f>ROUND('GEN.AD - PAY'!I132*0.12,2)</f>
        <v>0</v>
      </c>
      <c r="W132" s="37">
        <v>100</v>
      </c>
      <c r="X132" s="37">
        <f>MIN((I132*0.05)-'GEN.AD - DEDS'!Y84,2500)</f>
        <v>0</v>
      </c>
      <c r="Y132" s="35">
        <v>200</v>
      </c>
    </row>
    <row r="133" spans="1:25" ht="18.75" customHeight="1" x14ac:dyDescent="0.25">
      <c r="A133" s="98"/>
      <c r="B133" s="33">
        <f t="shared" si="17"/>
        <v>66</v>
      </c>
      <c r="C133" s="72">
        <f>VLOOKUP(B133,'WTAX-GEN.AD'!B:N,2,0)</f>
        <v>0</v>
      </c>
      <c r="D133" s="72" t="e">
        <f>VLOOKUP(C133,'WTAX-GEN.AD'!C:O,2,0)</f>
        <v>#N/A</v>
      </c>
      <c r="E133" s="306">
        <f>VLOOKUP(B133,'WTAX-GEN.AD'!B:N,4,0)</f>
        <v>0</v>
      </c>
      <c r="F133" s="89"/>
      <c r="G133" s="91"/>
      <c r="H133" s="91"/>
      <c r="I133" s="37">
        <f t="shared" si="18"/>
        <v>0</v>
      </c>
      <c r="J133" s="332">
        <f>'WTAX-GEN.AD'!N120</f>
        <v>0</v>
      </c>
      <c r="K133" s="211">
        <f t="shared" si="19"/>
        <v>0</v>
      </c>
      <c r="L133" s="40">
        <f>'WTAX-GEN.AD'!F120</f>
        <v>0</v>
      </c>
      <c r="M133" s="37">
        <f>'GEN.AD - DEDS'!R85</f>
        <v>0</v>
      </c>
      <c r="N133" s="37">
        <f>'GEN.AD - DEDS'!X85</f>
        <v>0</v>
      </c>
      <c r="O133" s="37">
        <f>'GEN.AD - DEDS'!Y85</f>
        <v>0</v>
      </c>
      <c r="P133" s="37">
        <f>'GEN.AD - DEDS'!AE85</f>
        <v>0</v>
      </c>
      <c r="Q133" s="38">
        <f t="shared" si="20"/>
        <v>0</v>
      </c>
      <c r="R133" s="49">
        <f t="shared" si="21"/>
        <v>0</v>
      </c>
      <c r="S133" s="76">
        <f t="shared" si="22"/>
        <v>0</v>
      </c>
      <c r="T133" s="77">
        <f t="shared" si="23"/>
        <v>0</v>
      </c>
      <c r="U133" s="221">
        <f t="shared" si="24"/>
        <v>66</v>
      </c>
      <c r="V133" s="36">
        <f>ROUND('GEN.AD - PAY'!I133*0.12,2)</f>
        <v>0</v>
      </c>
      <c r="W133" s="37">
        <v>100</v>
      </c>
      <c r="X133" s="37">
        <f>MIN((I133*0.05)-'GEN.AD - DEDS'!Y85,2500)</f>
        <v>0</v>
      </c>
      <c r="Y133" s="35">
        <v>200</v>
      </c>
    </row>
    <row r="134" spans="1:25" ht="18.75" customHeight="1" x14ac:dyDescent="0.25">
      <c r="A134" s="98"/>
      <c r="B134" s="33">
        <f t="shared" si="17"/>
        <v>67</v>
      </c>
      <c r="C134" s="72">
        <f>VLOOKUP(B134,'WTAX-GEN.AD'!B:N,2,0)</f>
        <v>0</v>
      </c>
      <c r="D134" s="72" t="e">
        <f>VLOOKUP(C134,'WTAX-GEN.AD'!C:O,2,0)</f>
        <v>#N/A</v>
      </c>
      <c r="E134" s="306">
        <f>VLOOKUP(B134,'WTAX-GEN.AD'!B:N,4,0)</f>
        <v>0</v>
      </c>
      <c r="F134" s="89"/>
      <c r="G134" s="91"/>
      <c r="H134" s="91"/>
      <c r="I134" s="37">
        <f t="shared" si="18"/>
        <v>0</v>
      </c>
      <c r="J134" s="332">
        <f>'WTAX-GEN.AD'!N121</f>
        <v>0</v>
      </c>
      <c r="K134" s="211">
        <f t="shared" si="19"/>
        <v>0</v>
      </c>
      <c r="L134" s="40">
        <f>'WTAX-GEN.AD'!F121</f>
        <v>0</v>
      </c>
      <c r="M134" s="37">
        <f>'GEN.AD - DEDS'!R86</f>
        <v>0</v>
      </c>
      <c r="N134" s="37">
        <f>'GEN.AD - DEDS'!X86</f>
        <v>0</v>
      </c>
      <c r="O134" s="37">
        <f>'GEN.AD - DEDS'!Y86</f>
        <v>0</v>
      </c>
      <c r="P134" s="37">
        <f>'GEN.AD - DEDS'!AE86</f>
        <v>0</v>
      </c>
      <c r="Q134" s="38">
        <f t="shared" si="20"/>
        <v>0</v>
      </c>
      <c r="R134" s="49">
        <f t="shared" si="21"/>
        <v>0</v>
      </c>
      <c r="S134" s="76">
        <f t="shared" si="22"/>
        <v>0</v>
      </c>
      <c r="T134" s="77">
        <f t="shared" si="23"/>
        <v>0</v>
      </c>
      <c r="U134" s="221">
        <f t="shared" si="24"/>
        <v>67</v>
      </c>
      <c r="V134" s="36">
        <f>ROUND('GEN.AD - PAY'!I134*0.12,2)</f>
        <v>0</v>
      </c>
      <c r="W134" s="37">
        <v>100</v>
      </c>
      <c r="X134" s="37">
        <f>MIN((I134*0.05)-'GEN.AD - DEDS'!Y86,2500)</f>
        <v>0</v>
      </c>
      <c r="Y134" s="35">
        <v>200</v>
      </c>
    </row>
    <row r="135" spans="1:25" ht="18.75" customHeight="1" x14ac:dyDescent="0.25">
      <c r="A135" s="98"/>
      <c r="B135" s="33">
        <f t="shared" si="17"/>
        <v>68</v>
      </c>
      <c r="C135" s="72">
        <f>VLOOKUP(B135,'WTAX-GEN.AD'!B:N,2,0)</f>
        <v>0</v>
      </c>
      <c r="D135" s="72" t="e">
        <f>VLOOKUP(C135,'WTAX-GEN.AD'!C:O,2,0)</f>
        <v>#N/A</v>
      </c>
      <c r="E135" s="306">
        <f>VLOOKUP(B135,'WTAX-GEN.AD'!B:N,4,0)</f>
        <v>0</v>
      </c>
      <c r="F135" s="89"/>
      <c r="G135" s="91"/>
      <c r="H135" s="91"/>
      <c r="I135" s="37">
        <f t="shared" si="18"/>
        <v>0</v>
      </c>
      <c r="J135" s="332">
        <f>'WTAX-GEN.AD'!N122</f>
        <v>0</v>
      </c>
      <c r="K135" s="211">
        <f t="shared" si="19"/>
        <v>0</v>
      </c>
      <c r="L135" s="40">
        <f>'WTAX-GEN.AD'!F122</f>
        <v>0</v>
      </c>
      <c r="M135" s="37">
        <f>'GEN.AD - DEDS'!R87</f>
        <v>0</v>
      </c>
      <c r="N135" s="37">
        <f>'GEN.AD - DEDS'!X87</f>
        <v>0</v>
      </c>
      <c r="O135" s="37">
        <f>'GEN.AD - DEDS'!Y87</f>
        <v>0</v>
      </c>
      <c r="P135" s="37">
        <f>'GEN.AD - DEDS'!AE87</f>
        <v>0</v>
      </c>
      <c r="Q135" s="38">
        <f t="shared" si="20"/>
        <v>0</v>
      </c>
      <c r="R135" s="49">
        <f t="shared" si="21"/>
        <v>0</v>
      </c>
      <c r="S135" s="76">
        <f t="shared" si="22"/>
        <v>0</v>
      </c>
      <c r="T135" s="77">
        <f t="shared" si="23"/>
        <v>0</v>
      </c>
      <c r="U135" s="221">
        <f t="shared" si="24"/>
        <v>68</v>
      </c>
      <c r="V135" s="36">
        <f>ROUND('GEN.AD - PAY'!I135*0.12,2)</f>
        <v>0</v>
      </c>
      <c r="W135" s="37">
        <v>100</v>
      </c>
      <c r="X135" s="37">
        <f>MIN((I135*0.05)-'GEN.AD - DEDS'!Y87,2500)</f>
        <v>0</v>
      </c>
      <c r="Y135" s="35">
        <v>200</v>
      </c>
    </row>
    <row r="136" spans="1:25" ht="18.75" customHeight="1" x14ac:dyDescent="0.25">
      <c r="A136" s="98"/>
      <c r="B136" s="33">
        <f t="shared" si="17"/>
        <v>69</v>
      </c>
      <c r="C136" s="72">
        <f>VLOOKUP(B136,'WTAX-GEN.AD'!B:N,2,0)</f>
        <v>0</v>
      </c>
      <c r="D136" s="72" t="e">
        <f>VLOOKUP(C136,'WTAX-GEN.AD'!C:O,2,0)</f>
        <v>#N/A</v>
      </c>
      <c r="E136" s="306">
        <f>VLOOKUP(B136,'WTAX-GEN.AD'!B:N,4,0)</f>
        <v>0</v>
      </c>
      <c r="F136" s="89"/>
      <c r="G136" s="91"/>
      <c r="H136" s="91"/>
      <c r="I136" s="37">
        <f t="shared" si="18"/>
        <v>0</v>
      </c>
      <c r="J136" s="332">
        <f>'WTAX-GEN.AD'!N123</f>
        <v>0</v>
      </c>
      <c r="K136" s="211">
        <f t="shared" si="19"/>
        <v>0</v>
      </c>
      <c r="L136" s="40">
        <f>'WTAX-GEN.AD'!F123</f>
        <v>0</v>
      </c>
      <c r="M136" s="37">
        <f>'GEN.AD - DEDS'!R88</f>
        <v>0</v>
      </c>
      <c r="N136" s="37">
        <f>'GEN.AD - DEDS'!X88</f>
        <v>0</v>
      </c>
      <c r="O136" s="37">
        <f>'GEN.AD - DEDS'!Y88</f>
        <v>0</v>
      </c>
      <c r="P136" s="37">
        <f>'GEN.AD - DEDS'!AE88</f>
        <v>0</v>
      </c>
      <c r="Q136" s="38">
        <f t="shared" si="20"/>
        <v>0</v>
      </c>
      <c r="R136" s="49">
        <f t="shared" si="21"/>
        <v>0</v>
      </c>
      <c r="S136" s="76">
        <f t="shared" si="22"/>
        <v>0</v>
      </c>
      <c r="T136" s="77">
        <f t="shared" si="23"/>
        <v>0</v>
      </c>
      <c r="U136" s="221">
        <f t="shared" si="24"/>
        <v>69</v>
      </c>
      <c r="V136" s="36">
        <f>ROUND('GEN.AD - PAY'!I136*0.12,2)</f>
        <v>0</v>
      </c>
      <c r="W136" s="37">
        <v>100</v>
      </c>
      <c r="X136" s="37">
        <f>MIN((I136*0.05)-'GEN.AD - DEDS'!Y88,2500)</f>
        <v>0</v>
      </c>
      <c r="Y136" s="35">
        <v>200</v>
      </c>
    </row>
    <row r="137" spans="1:25" ht="18.75" customHeight="1" x14ac:dyDescent="0.25">
      <c r="A137" s="98"/>
      <c r="B137" s="33">
        <f t="shared" si="17"/>
        <v>70</v>
      </c>
      <c r="C137" s="72">
        <f>VLOOKUP(B137,'WTAX-GEN.AD'!B:N,2,0)</f>
        <v>0</v>
      </c>
      <c r="D137" s="72" t="e">
        <f>VLOOKUP(C137,'WTAX-GEN.AD'!C:O,2,0)</f>
        <v>#N/A</v>
      </c>
      <c r="E137" s="306">
        <f>VLOOKUP(B137,'WTAX-GEN.AD'!B:N,4,0)</f>
        <v>0</v>
      </c>
      <c r="F137" s="89"/>
      <c r="G137" s="91"/>
      <c r="H137" s="91"/>
      <c r="I137" s="37">
        <f t="shared" si="18"/>
        <v>0</v>
      </c>
      <c r="J137" s="332">
        <f>'WTAX-GEN.AD'!N124</f>
        <v>0</v>
      </c>
      <c r="K137" s="211">
        <f t="shared" si="19"/>
        <v>0</v>
      </c>
      <c r="L137" s="40">
        <f>'WTAX-GEN.AD'!F124</f>
        <v>0</v>
      </c>
      <c r="M137" s="37">
        <f>'GEN.AD - DEDS'!R89</f>
        <v>0</v>
      </c>
      <c r="N137" s="37">
        <f>'GEN.AD - DEDS'!X89</f>
        <v>0</v>
      </c>
      <c r="O137" s="37">
        <f>'GEN.AD - DEDS'!Y89</f>
        <v>0</v>
      </c>
      <c r="P137" s="37">
        <f>'GEN.AD - DEDS'!AE89</f>
        <v>0</v>
      </c>
      <c r="Q137" s="38">
        <f t="shared" si="20"/>
        <v>0</v>
      </c>
      <c r="R137" s="49">
        <f t="shared" si="21"/>
        <v>0</v>
      </c>
      <c r="S137" s="76">
        <f t="shared" si="22"/>
        <v>0</v>
      </c>
      <c r="T137" s="77">
        <f t="shared" si="23"/>
        <v>0</v>
      </c>
      <c r="U137" s="221">
        <f t="shared" si="24"/>
        <v>70</v>
      </c>
      <c r="V137" s="36">
        <f>ROUND('GEN.AD - PAY'!I137*0.12,2)</f>
        <v>0</v>
      </c>
      <c r="W137" s="37">
        <v>100</v>
      </c>
      <c r="X137" s="37">
        <f>MIN((I137*0.05)-'GEN.AD - DEDS'!Y89,2500)</f>
        <v>0</v>
      </c>
      <c r="Y137" s="35">
        <v>200</v>
      </c>
    </row>
    <row r="138" spans="1:25" ht="18.75" customHeight="1" x14ac:dyDescent="0.25">
      <c r="A138" s="98"/>
      <c r="B138" s="33">
        <f t="shared" si="17"/>
        <v>71</v>
      </c>
      <c r="C138" s="72">
        <f>VLOOKUP(B138,'WTAX-GEN.AD'!B:N,2,0)</f>
        <v>0</v>
      </c>
      <c r="D138" s="72" t="e">
        <f>VLOOKUP(C138,'WTAX-GEN.AD'!C:O,2,0)</f>
        <v>#N/A</v>
      </c>
      <c r="E138" s="306">
        <f>VLOOKUP(B138,'WTAX-GEN.AD'!B:N,4,0)</f>
        <v>0</v>
      </c>
      <c r="F138" s="89"/>
      <c r="G138" s="91"/>
      <c r="H138" s="91"/>
      <c r="I138" s="37">
        <f t="shared" si="18"/>
        <v>0</v>
      </c>
      <c r="J138" s="332">
        <f>'WTAX-GEN.AD'!N125</f>
        <v>0</v>
      </c>
      <c r="K138" s="211">
        <f t="shared" si="19"/>
        <v>0</v>
      </c>
      <c r="L138" s="40">
        <f>'WTAX-GEN.AD'!F125</f>
        <v>0</v>
      </c>
      <c r="M138" s="37">
        <f>'GEN.AD - DEDS'!R90</f>
        <v>0</v>
      </c>
      <c r="N138" s="37">
        <f>'GEN.AD - DEDS'!X90</f>
        <v>0</v>
      </c>
      <c r="O138" s="37">
        <f>'GEN.AD - DEDS'!Y90</f>
        <v>0</v>
      </c>
      <c r="P138" s="37">
        <f>'GEN.AD - DEDS'!AE90</f>
        <v>0</v>
      </c>
      <c r="Q138" s="38">
        <f t="shared" si="20"/>
        <v>0</v>
      </c>
      <c r="R138" s="49">
        <f t="shared" si="21"/>
        <v>0</v>
      </c>
      <c r="S138" s="76">
        <f t="shared" si="22"/>
        <v>0</v>
      </c>
      <c r="T138" s="77">
        <f t="shared" si="23"/>
        <v>0</v>
      </c>
      <c r="U138" s="221">
        <f t="shared" si="24"/>
        <v>71</v>
      </c>
      <c r="V138" s="36">
        <f>ROUND('GEN.AD - PAY'!I138*0.12,2)</f>
        <v>0</v>
      </c>
      <c r="W138" s="37">
        <v>100</v>
      </c>
      <c r="X138" s="37">
        <f>MIN((I138*0.05)-'GEN.AD - DEDS'!Y90,2500)</f>
        <v>0</v>
      </c>
      <c r="Y138" s="35">
        <v>200</v>
      </c>
    </row>
    <row r="139" spans="1:25" ht="18.75" customHeight="1" x14ac:dyDescent="0.25">
      <c r="A139" s="98"/>
      <c r="B139" s="33">
        <f t="shared" si="17"/>
        <v>72</v>
      </c>
      <c r="C139" s="72">
        <f>VLOOKUP(B139,'WTAX-GEN.AD'!B:N,2,0)</f>
        <v>0</v>
      </c>
      <c r="D139" s="72" t="e">
        <f>VLOOKUP(C139,'WTAX-GEN.AD'!C:O,2,0)</f>
        <v>#N/A</v>
      </c>
      <c r="E139" s="306">
        <f>VLOOKUP(B139,'WTAX-GEN.AD'!B:N,4,0)</f>
        <v>0</v>
      </c>
      <c r="F139" s="89"/>
      <c r="G139" s="91"/>
      <c r="H139" s="91"/>
      <c r="I139" s="37">
        <f t="shared" si="18"/>
        <v>0</v>
      </c>
      <c r="J139" s="332">
        <f>'WTAX-GEN.AD'!N126</f>
        <v>0</v>
      </c>
      <c r="K139" s="211">
        <f t="shared" si="19"/>
        <v>0</v>
      </c>
      <c r="L139" s="40">
        <f>'WTAX-GEN.AD'!F126</f>
        <v>0</v>
      </c>
      <c r="M139" s="37">
        <f>'GEN.AD - DEDS'!R91</f>
        <v>0</v>
      </c>
      <c r="N139" s="37">
        <f>'GEN.AD - DEDS'!X91</f>
        <v>0</v>
      </c>
      <c r="O139" s="37">
        <f>'GEN.AD - DEDS'!Y91</f>
        <v>0</v>
      </c>
      <c r="P139" s="37">
        <f>'GEN.AD - DEDS'!AE91</f>
        <v>0</v>
      </c>
      <c r="Q139" s="38">
        <f t="shared" si="20"/>
        <v>0</v>
      </c>
      <c r="R139" s="49">
        <f t="shared" si="21"/>
        <v>0</v>
      </c>
      <c r="S139" s="76">
        <f t="shared" si="22"/>
        <v>0</v>
      </c>
      <c r="T139" s="77">
        <f t="shared" si="23"/>
        <v>0</v>
      </c>
      <c r="U139" s="221">
        <f t="shared" si="24"/>
        <v>72</v>
      </c>
      <c r="V139" s="36">
        <f>ROUND('GEN.AD - PAY'!I139*0.12,2)</f>
        <v>0</v>
      </c>
      <c r="W139" s="37">
        <v>100</v>
      </c>
      <c r="X139" s="37">
        <f>MIN((I139*0.05)-'GEN.AD - DEDS'!Y91,2500)</f>
        <v>0</v>
      </c>
      <c r="Y139" s="35">
        <v>200</v>
      </c>
    </row>
    <row r="140" spans="1:25" ht="18.75" customHeight="1" x14ac:dyDescent="0.25">
      <c r="A140" s="98"/>
      <c r="B140" s="33">
        <f t="shared" si="17"/>
        <v>73</v>
      </c>
      <c r="C140" s="72">
        <f>VLOOKUP(B140,'WTAX-GEN.AD'!B:N,2,0)</f>
        <v>0</v>
      </c>
      <c r="D140" s="72" t="e">
        <f>VLOOKUP(C140,'WTAX-GEN.AD'!C:O,2,0)</f>
        <v>#N/A</v>
      </c>
      <c r="E140" s="306">
        <f>VLOOKUP(B140,'WTAX-GEN.AD'!B:N,4,0)</f>
        <v>0</v>
      </c>
      <c r="F140" s="89"/>
      <c r="G140" s="91"/>
      <c r="H140" s="91"/>
      <c r="I140" s="37">
        <f t="shared" si="18"/>
        <v>0</v>
      </c>
      <c r="J140" s="332">
        <f>'WTAX-GEN.AD'!N127</f>
        <v>0</v>
      </c>
      <c r="K140" s="211">
        <f t="shared" si="19"/>
        <v>0</v>
      </c>
      <c r="L140" s="40">
        <f>'WTAX-GEN.AD'!F127</f>
        <v>0</v>
      </c>
      <c r="M140" s="37">
        <f>'GEN.AD - DEDS'!R92</f>
        <v>0</v>
      </c>
      <c r="N140" s="37">
        <f>'GEN.AD - DEDS'!X92</f>
        <v>0</v>
      </c>
      <c r="O140" s="37">
        <f>'GEN.AD - DEDS'!Y92</f>
        <v>0</v>
      </c>
      <c r="P140" s="37">
        <f>'GEN.AD - DEDS'!AE92</f>
        <v>0</v>
      </c>
      <c r="Q140" s="38">
        <f t="shared" si="20"/>
        <v>0</v>
      </c>
      <c r="R140" s="49">
        <f t="shared" si="21"/>
        <v>0</v>
      </c>
      <c r="S140" s="76">
        <f t="shared" si="22"/>
        <v>0</v>
      </c>
      <c r="T140" s="77">
        <f t="shared" si="23"/>
        <v>0</v>
      </c>
      <c r="U140" s="221">
        <f t="shared" si="24"/>
        <v>73</v>
      </c>
      <c r="V140" s="36">
        <f>ROUND('GEN.AD - PAY'!I140*0.12,2)</f>
        <v>0</v>
      </c>
      <c r="W140" s="37">
        <v>100</v>
      </c>
      <c r="X140" s="37">
        <f>MIN((I140*0.05)-'GEN.AD - DEDS'!Y92,2500)</f>
        <v>0</v>
      </c>
      <c r="Y140" s="35">
        <v>200</v>
      </c>
    </row>
    <row r="141" spans="1:25" ht="18.75" customHeight="1" x14ac:dyDescent="0.25">
      <c r="A141" s="98"/>
      <c r="B141" s="33">
        <f t="shared" si="17"/>
        <v>74</v>
      </c>
      <c r="C141" s="72">
        <f>VLOOKUP(B141,'WTAX-GEN.AD'!B:N,2,0)</f>
        <v>0</v>
      </c>
      <c r="D141" s="72" t="e">
        <f>VLOOKUP(C141,'WTAX-GEN.AD'!C:O,2,0)</f>
        <v>#N/A</v>
      </c>
      <c r="E141" s="306">
        <f>VLOOKUP(B141,'WTAX-GEN.AD'!B:N,4,0)</f>
        <v>0</v>
      </c>
      <c r="F141" s="89"/>
      <c r="G141" s="91"/>
      <c r="H141" s="91"/>
      <c r="I141" s="37">
        <f t="shared" si="18"/>
        <v>0</v>
      </c>
      <c r="J141" s="332">
        <f>'WTAX-GEN.AD'!N128</f>
        <v>0</v>
      </c>
      <c r="K141" s="211">
        <f t="shared" si="19"/>
        <v>0</v>
      </c>
      <c r="L141" s="40">
        <f>'WTAX-GEN.AD'!F128</f>
        <v>0</v>
      </c>
      <c r="M141" s="37">
        <f>'GEN.AD - DEDS'!R93</f>
        <v>0</v>
      </c>
      <c r="N141" s="37">
        <f>'GEN.AD - DEDS'!X93</f>
        <v>0</v>
      </c>
      <c r="O141" s="37">
        <f>'GEN.AD - DEDS'!Y93</f>
        <v>0</v>
      </c>
      <c r="P141" s="37">
        <f>'GEN.AD - DEDS'!AE93</f>
        <v>0</v>
      </c>
      <c r="Q141" s="38">
        <f t="shared" si="20"/>
        <v>0</v>
      </c>
      <c r="R141" s="49">
        <f t="shared" si="21"/>
        <v>0</v>
      </c>
      <c r="S141" s="76">
        <f t="shared" si="22"/>
        <v>0</v>
      </c>
      <c r="T141" s="77">
        <f t="shared" si="23"/>
        <v>0</v>
      </c>
      <c r="U141" s="221">
        <f t="shared" si="24"/>
        <v>74</v>
      </c>
      <c r="V141" s="36">
        <f>ROUND('GEN.AD - PAY'!I141*0.12,2)</f>
        <v>0</v>
      </c>
      <c r="W141" s="37">
        <v>100</v>
      </c>
      <c r="X141" s="37">
        <f>MIN((I141*0.05)-'GEN.AD - DEDS'!Y93,2500)</f>
        <v>0</v>
      </c>
      <c r="Y141" s="35">
        <v>200</v>
      </c>
    </row>
    <row r="142" spans="1:25" ht="18.75" customHeight="1" x14ac:dyDescent="0.25">
      <c r="A142" s="98"/>
      <c r="B142" s="33">
        <f t="shared" si="17"/>
        <v>75</v>
      </c>
      <c r="C142" s="72">
        <f>VLOOKUP(B142,'WTAX-GEN.AD'!B:N,2,0)</f>
        <v>0</v>
      </c>
      <c r="D142" s="72" t="e">
        <f>VLOOKUP(C142,'WTAX-GEN.AD'!C:O,2,0)</f>
        <v>#N/A</v>
      </c>
      <c r="E142" s="306">
        <f>VLOOKUP(B142,'WTAX-GEN.AD'!B:N,4,0)</f>
        <v>0</v>
      </c>
      <c r="F142" s="89"/>
      <c r="G142" s="91"/>
      <c r="H142" s="91"/>
      <c r="I142" s="37">
        <f t="shared" si="18"/>
        <v>0</v>
      </c>
      <c r="J142" s="332">
        <f>'WTAX-GEN.AD'!N129</f>
        <v>0</v>
      </c>
      <c r="K142" s="211">
        <f t="shared" si="19"/>
        <v>0</v>
      </c>
      <c r="L142" s="40">
        <f>'WTAX-GEN.AD'!F129</f>
        <v>0</v>
      </c>
      <c r="M142" s="37">
        <f>'GEN.AD - DEDS'!R94</f>
        <v>0</v>
      </c>
      <c r="N142" s="37">
        <f>'GEN.AD - DEDS'!X94</f>
        <v>0</v>
      </c>
      <c r="O142" s="37">
        <f>'GEN.AD - DEDS'!Y94</f>
        <v>0</v>
      </c>
      <c r="P142" s="37">
        <f>'GEN.AD - DEDS'!AE94</f>
        <v>0</v>
      </c>
      <c r="Q142" s="38">
        <f t="shared" si="20"/>
        <v>0</v>
      </c>
      <c r="R142" s="49">
        <f t="shared" si="21"/>
        <v>0</v>
      </c>
      <c r="S142" s="76">
        <f t="shared" si="22"/>
        <v>0</v>
      </c>
      <c r="T142" s="77">
        <f t="shared" si="23"/>
        <v>0</v>
      </c>
      <c r="U142" s="221">
        <f t="shared" si="24"/>
        <v>75</v>
      </c>
      <c r="V142" s="36">
        <f>ROUND('GEN.AD - PAY'!I142*0.12,2)</f>
        <v>0</v>
      </c>
      <c r="W142" s="37">
        <v>100</v>
      </c>
      <c r="X142" s="37">
        <f>MIN((I142*0.05)-'GEN.AD - DEDS'!Y94,2500)</f>
        <v>0</v>
      </c>
      <c r="Y142" s="35">
        <v>200</v>
      </c>
    </row>
    <row r="143" spans="1:25" ht="18.75" customHeight="1" x14ac:dyDescent="0.25">
      <c r="A143" s="98"/>
      <c r="B143" s="33">
        <f t="shared" si="17"/>
        <v>76</v>
      </c>
      <c r="C143" s="72">
        <f>VLOOKUP(B143,'WTAX-GEN.AD'!B:N,2,0)</f>
        <v>0</v>
      </c>
      <c r="D143" s="72" t="e">
        <f>VLOOKUP(C143,'WTAX-GEN.AD'!C:O,2,0)</f>
        <v>#N/A</v>
      </c>
      <c r="E143" s="306">
        <f>VLOOKUP(B143,'WTAX-GEN.AD'!B:N,4,0)</f>
        <v>0</v>
      </c>
      <c r="F143" s="89"/>
      <c r="G143" s="91"/>
      <c r="H143" s="91"/>
      <c r="I143" s="37">
        <f t="shared" si="18"/>
        <v>0</v>
      </c>
      <c r="J143" s="332">
        <f>'WTAX-GEN.AD'!N130</f>
        <v>0</v>
      </c>
      <c r="K143" s="211">
        <f t="shared" si="19"/>
        <v>0</v>
      </c>
      <c r="L143" s="40">
        <f>'WTAX-GEN.AD'!F130</f>
        <v>0</v>
      </c>
      <c r="M143" s="37">
        <f>'GEN.AD - DEDS'!R95</f>
        <v>0</v>
      </c>
      <c r="N143" s="37">
        <f>'GEN.AD - DEDS'!X95</f>
        <v>0</v>
      </c>
      <c r="O143" s="37">
        <f>'GEN.AD - DEDS'!Y95</f>
        <v>0</v>
      </c>
      <c r="P143" s="37">
        <f>'GEN.AD - DEDS'!AE95</f>
        <v>0</v>
      </c>
      <c r="Q143" s="38">
        <f t="shared" si="20"/>
        <v>0</v>
      </c>
      <c r="R143" s="49">
        <f t="shared" si="21"/>
        <v>0</v>
      </c>
      <c r="S143" s="76">
        <f t="shared" si="22"/>
        <v>0</v>
      </c>
      <c r="T143" s="77">
        <f t="shared" si="23"/>
        <v>0</v>
      </c>
      <c r="U143" s="221">
        <f t="shared" si="24"/>
        <v>76</v>
      </c>
      <c r="V143" s="36">
        <f>ROUND('GEN.AD - PAY'!I143*0.12,2)</f>
        <v>0</v>
      </c>
      <c r="W143" s="37">
        <v>100</v>
      </c>
      <c r="X143" s="37">
        <f>MIN((I143*0.05)-'GEN.AD - DEDS'!Y95,2500)</f>
        <v>0</v>
      </c>
      <c r="Y143" s="35">
        <v>200</v>
      </c>
    </row>
    <row r="144" spans="1:25" ht="18.75" customHeight="1" x14ac:dyDescent="0.25">
      <c r="A144" s="98"/>
      <c r="B144" s="33">
        <f t="shared" si="17"/>
        <v>77</v>
      </c>
      <c r="C144" s="72">
        <f>VLOOKUP(B144,'WTAX-GEN.AD'!B:N,2,0)</f>
        <v>0</v>
      </c>
      <c r="D144" s="72" t="e">
        <f>VLOOKUP(C144,'WTAX-GEN.AD'!C:O,2,0)</f>
        <v>#N/A</v>
      </c>
      <c r="E144" s="306">
        <f>VLOOKUP(B144,'WTAX-GEN.AD'!B:N,4,0)</f>
        <v>0</v>
      </c>
      <c r="F144" s="89"/>
      <c r="G144" s="91"/>
      <c r="H144" s="91"/>
      <c r="I144" s="37">
        <f t="shared" si="18"/>
        <v>0</v>
      </c>
      <c r="J144" s="332">
        <f>'WTAX-GEN.AD'!N131</f>
        <v>0</v>
      </c>
      <c r="K144" s="211">
        <f t="shared" si="19"/>
        <v>0</v>
      </c>
      <c r="L144" s="40">
        <f>'WTAX-GEN.AD'!F131</f>
        <v>0</v>
      </c>
      <c r="M144" s="37">
        <f>'GEN.AD - DEDS'!R96</f>
        <v>0</v>
      </c>
      <c r="N144" s="37">
        <f>'GEN.AD - DEDS'!X96</f>
        <v>0</v>
      </c>
      <c r="O144" s="37">
        <f>'GEN.AD - DEDS'!Y96</f>
        <v>0</v>
      </c>
      <c r="P144" s="37">
        <f>'GEN.AD - DEDS'!AE96</f>
        <v>0</v>
      </c>
      <c r="Q144" s="38">
        <f t="shared" si="20"/>
        <v>0</v>
      </c>
      <c r="R144" s="49">
        <f t="shared" si="21"/>
        <v>0</v>
      </c>
      <c r="S144" s="76">
        <f t="shared" si="22"/>
        <v>0</v>
      </c>
      <c r="T144" s="77">
        <f t="shared" si="23"/>
        <v>0</v>
      </c>
      <c r="U144" s="221">
        <f t="shared" si="24"/>
        <v>77</v>
      </c>
      <c r="V144" s="36">
        <f>ROUND('GEN.AD - PAY'!I144*0.12,2)</f>
        <v>0</v>
      </c>
      <c r="W144" s="37">
        <v>100</v>
      </c>
      <c r="X144" s="37">
        <f>MIN((I144*0.05)-'GEN.AD - DEDS'!Y96,2500)</f>
        <v>0</v>
      </c>
      <c r="Y144" s="35">
        <v>200</v>
      </c>
    </row>
    <row r="145" spans="1:25" ht="18.75" customHeight="1" x14ac:dyDescent="0.25">
      <c r="A145" s="98"/>
      <c r="B145" s="33">
        <f t="shared" si="17"/>
        <v>78</v>
      </c>
      <c r="C145" s="72">
        <f>VLOOKUP(B145,'WTAX-GEN.AD'!B:N,2,0)</f>
        <v>0</v>
      </c>
      <c r="D145" s="72" t="e">
        <f>VLOOKUP(C145,'WTAX-GEN.AD'!C:O,2,0)</f>
        <v>#N/A</v>
      </c>
      <c r="E145" s="306">
        <f>VLOOKUP(B145,'WTAX-GEN.AD'!B:N,4,0)</f>
        <v>0</v>
      </c>
      <c r="F145" s="89"/>
      <c r="G145" s="91"/>
      <c r="H145" s="91"/>
      <c r="I145" s="37">
        <f t="shared" si="18"/>
        <v>0</v>
      </c>
      <c r="J145" s="332">
        <f>'WTAX-GEN.AD'!N132</f>
        <v>0</v>
      </c>
      <c r="K145" s="211">
        <f t="shared" si="19"/>
        <v>0</v>
      </c>
      <c r="L145" s="40">
        <f>'WTAX-GEN.AD'!F132</f>
        <v>0</v>
      </c>
      <c r="M145" s="37">
        <f>'GEN.AD - DEDS'!R97</f>
        <v>0</v>
      </c>
      <c r="N145" s="37">
        <f>'GEN.AD - DEDS'!X97</f>
        <v>0</v>
      </c>
      <c r="O145" s="37">
        <f>'GEN.AD - DEDS'!Y97</f>
        <v>0</v>
      </c>
      <c r="P145" s="37">
        <f>'GEN.AD - DEDS'!AE97</f>
        <v>0</v>
      </c>
      <c r="Q145" s="38">
        <f t="shared" si="20"/>
        <v>0</v>
      </c>
      <c r="R145" s="49">
        <f t="shared" si="21"/>
        <v>0</v>
      </c>
      <c r="S145" s="76">
        <f t="shared" si="22"/>
        <v>0</v>
      </c>
      <c r="T145" s="77">
        <f t="shared" si="23"/>
        <v>0</v>
      </c>
      <c r="U145" s="221">
        <f t="shared" si="24"/>
        <v>78</v>
      </c>
      <c r="V145" s="36">
        <f>ROUND('GEN.AD - PAY'!I145*0.12,2)</f>
        <v>0</v>
      </c>
      <c r="W145" s="37">
        <v>100</v>
      </c>
      <c r="X145" s="37">
        <f>MIN((I145*0.05)-'GEN.AD - DEDS'!Y97,2500)</f>
        <v>0</v>
      </c>
      <c r="Y145" s="35">
        <v>200</v>
      </c>
    </row>
    <row r="146" spans="1:25" ht="18.75" customHeight="1" x14ac:dyDescent="0.25">
      <c r="A146" s="98"/>
      <c r="B146" s="33">
        <f t="shared" si="17"/>
        <v>79</v>
      </c>
      <c r="C146" s="72">
        <f>VLOOKUP(B146,'WTAX-GEN.AD'!B:N,2,0)</f>
        <v>0</v>
      </c>
      <c r="D146" s="72" t="e">
        <f>VLOOKUP(C146,'WTAX-GEN.AD'!C:O,2,0)</f>
        <v>#N/A</v>
      </c>
      <c r="E146" s="306">
        <f>VLOOKUP(B146,'WTAX-GEN.AD'!B:N,4,0)</f>
        <v>0</v>
      </c>
      <c r="F146" s="89"/>
      <c r="G146" s="91"/>
      <c r="H146" s="91"/>
      <c r="I146" s="37">
        <f t="shared" si="18"/>
        <v>0</v>
      </c>
      <c r="J146" s="332">
        <f>'WTAX-GEN.AD'!N133</f>
        <v>0</v>
      </c>
      <c r="K146" s="211">
        <f t="shared" si="19"/>
        <v>0</v>
      </c>
      <c r="L146" s="40">
        <f>'WTAX-GEN.AD'!F133</f>
        <v>0</v>
      </c>
      <c r="M146" s="37">
        <f>'GEN.AD - DEDS'!R98</f>
        <v>0</v>
      </c>
      <c r="N146" s="37">
        <f>'GEN.AD - DEDS'!X98</f>
        <v>0</v>
      </c>
      <c r="O146" s="37">
        <f>'GEN.AD - DEDS'!Y98</f>
        <v>0</v>
      </c>
      <c r="P146" s="37">
        <f>'GEN.AD - DEDS'!AE98</f>
        <v>0</v>
      </c>
      <c r="Q146" s="38">
        <f t="shared" si="20"/>
        <v>0</v>
      </c>
      <c r="R146" s="49">
        <f t="shared" si="21"/>
        <v>0</v>
      </c>
      <c r="S146" s="76">
        <f t="shared" si="22"/>
        <v>0</v>
      </c>
      <c r="T146" s="77">
        <f t="shared" si="23"/>
        <v>0</v>
      </c>
      <c r="U146" s="221">
        <f t="shared" si="24"/>
        <v>79</v>
      </c>
      <c r="V146" s="36">
        <f>ROUND('GEN.AD - PAY'!I146*0.12,2)</f>
        <v>0</v>
      </c>
      <c r="W146" s="37">
        <v>100</v>
      </c>
      <c r="X146" s="37">
        <f>MIN((I146*0.05)-'GEN.AD - DEDS'!Y98,2500)</f>
        <v>0</v>
      </c>
      <c r="Y146" s="35">
        <v>200</v>
      </c>
    </row>
    <row r="147" spans="1:25" ht="18.75" customHeight="1" x14ac:dyDescent="0.25">
      <c r="A147" s="98"/>
      <c r="B147" s="33">
        <f t="shared" si="17"/>
        <v>80</v>
      </c>
      <c r="C147" s="72">
        <f>VLOOKUP(B147,'WTAX-GEN.AD'!B:N,2,0)</f>
        <v>0</v>
      </c>
      <c r="D147" s="72" t="e">
        <f>VLOOKUP(C147,'WTAX-GEN.AD'!C:O,2,0)</f>
        <v>#N/A</v>
      </c>
      <c r="E147" s="306">
        <f>VLOOKUP(B147,'WTAX-GEN.AD'!B:N,4,0)</f>
        <v>0</v>
      </c>
      <c r="F147" s="89"/>
      <c r="G147" s="91"/>
      <c r="H147" s="91"/>
      <c r="I147" s="37">
        <f t="shared" si="18"/>
        <v>0</v>
      </c>
      <c r="J147" s="332">
        <f>'WTAX-GEN.AD'!N134</f>
        <v>0</v>
      </c>
      <c r="K147" s="211">
        <f t="shared" si="19"/>
        <v>0</v>
      </c>
      <c r="L147" s="40">
        <f>'WTAX-GEN.AD'!F134</f>
        <v>0</v>
      </c>
      <c r="M147" s="37">
        <f>'GEN.AD - DEDS'!R99</f>
        <v>0</v>
      </c>
      <c r="N147" s="37">
        <f>'GEN.AD - DEDS'!X99</f>
        <v>0</v>
      </c>
      <c r="O147" s="37">
        <f>'GEN.AD - DEDS'!Y99</f>
        <v>0</v>
      </c>
      <c r="P147" s="37">
        <f>'GEN.AD - DEDS'!AE99</f>
        <v>0</v>
      </c>
      <c r="Q147" s="38">
        <f t="shared" si="20"/>
        <v>0</v>
      </c>
      <c r="R147" s="49">
        <f t="shared" si="21"/>
        <v>0</v>
      </c>
      <c r="S147" s="76">
        <f t="shared" si="22"/>
        <v>0</v>
      </c>
      <c r="T147" s="77">
        <f t="shared" si="23"/>
        <v>0</v>
      </c>
      <c r="U147" s="221">
        <f t="shared" si="24"/>
        <v>80</v>
      </c>
      <c r="V147" s="36">
        <f>ROUND('GEN.AD - PAY'!I147*0.12,2)</f>
        <v>0</v>
      </c>
      <c r="W147" s="37">
        <v>100</v>
      </c>
      <c r="X147" s="37">
        <f>MIN((I147*0.05)-'GEN.AD - DEDS'!Y99,2500)</f>
        <v>0</v>
      </c>
      <c r="Y147" s="35">
        <v>200</v>
      </c>
    </row>
    <row r="148" spans="1:25" ht="18.75" customHeight="1" x14ac:dyDescent="0.25">
      <c r="A148" s="98"/>
      <c r="B148" s="33">
        <f t="shared" si="17"/>
        <v>81</v>
      </c>
      <c r="C148" s="72">
        <f>VLOOKUP(B148,'WTAX-GEN.AD'!B:N,2,0)</f>
        <v>0</v>
      </c>
      <c r="D148" s="72" t="e">
        <f>VLOOKUP(C148,'WTAX-GEN.AD'!C:O,2,0)</f>
        <v>#N/A</v>
      </c>
      <c r="E148" s="306">
        <f>VLOOKUP(B148,'WTAX-GEN.AD'!B:N,4,0)</f>
        <v>0</v>
      </c>
      <c r="F148" s="89"/>
      <c r="G148" s="91"/>
      <c r="H148" s="91"/>
      <c r="I148" s="37">
        <f t="shared" si="18"/>
        <v>0</v>
      </c>
      <c r="J148" s="332">
        <f>'WTAX-GEN.AD'!N135</f>
        <v>0</v>
      </c>
      <c r="K148" s="211">
        <f t="shared" si="19"/>
        <v>0</v>
      </c>
      <c r="L148" s="40">
        <f>'WTAX-GEN.AD'!F135</f>
        <v>0</v>
      </c>
      <c r="M148" s="37">
        <f>'GEN.AD - DEDS'!R100</f>
        <v>0</v>
      </c>
      <c r="N148" s="37">
        <f>'GEN.AD - DEDS'!X100</f>
        <v>0</v>
      </c>
      <c r="O148" s="37">
        <f>'GEN.AD - DEDS'!Y100</f>
        <v>0</v>
      </c>
      <c r="P148" s="37">
        <f>'GEN.AD - DEDS'!AE100</f>
        <v>0</v>
      </c>
      <c r="Q148" s="38">
        <f t="shared" si="20"/>
        <v>0</v>
      </c>
      <c r="R148" s="49">
        <f t="shared" si="21"/>
        <v>0</v>
      </c>
      <c r="S148" s="76">
        <f t="shared" si="22"/>
        <v>0</v>
      </c>
      <c r="T148" s="77">
        <f t="shared" si="23"/>
        <v>0</v>
      </c>
      <c r="U148" s="221">
        <f t="shared" si="24"/>
        <v>81</v>
      </c>
      <c r="V148" s="36">
        <f>ROUND('GEN.AD - PAY'!I148*0.12,2)</f>
        <v>0</v>
      </c>
      <c r="W148" s="37">
        <v>100</v>
      </c>
      <c r="X148" s="37">
        <f>MIN((I148*0.05)-'GEN.AD - DEDS'!Y100,2500)</f>
        <v>0</v>
      </c>
      <c r="Y148" s="35">
        <v>200</v>
      </c>
    </row>
    <row r="149" spans="1:25" ht="18.75" customHeight="1" x14ac:dyDescent="0.25">
      <c r="A149" s="98"/>
      <c r="B149" s="33">
        <f t="shared" si="17"/>
        <v>82</v>
      </c>
      <c r="C149" s="72">
        <f>VLOOKUP(B149,'WTAX-GEN.AD'!B:N,2,0)</f>
        <v>0</v>
      </c>
      <c r="D149" s="72" t="e">
        <f>VLOOKUP(C149,'WTAX-GEN.AD'!C:O,2,0)</f>
        <v>#N/A</v>
      </c>
      <c r="E149" s="306">
        <f>VLOOKUP(B149,'WTAX-GEN.AD'!B:N,4,0)</f>
        <v>0</v>
      </c>
      <c r="F149" s="89"/>
      <c r="G149" s="91"/>
      <c r="H149" s="91"/>
      <c r="I149" s="37">
        <f t="shared" si="18"/>
        <v>0</v>
      </c>
      <c r="J149" s="332">
        <f>'WTAX-GEN.AD'!N136</f>
        <v>0</v>
      </c>
      <c r="K149" s="211">
        <f t="shared" si="19"/>
        <v>0</v>
      </c>
      <c r="L149" s="40">
        <f>'WTAX-GEN.AD'!F136</f>
        <v>0</v>
      </c>
      <c r="M149" s="37">
        <f>'GEN.AD - DEDS'!R101</f>
        <v>0</v>
      </c>
      <c r="N149" s="37">
        <f>'GEN.AD - DEDS'!X101</f>
        <v>0</v>
      </c>
      <c r="O149" s="37">
        <f>'GEN.AD - DEDS'!Y101</f>
        <v>0</v>
      </c>
      <c r="P149" s="37">
        <f>'GEN.AD - DEDS'!AE101</f>
        <v>0</v>
      </c>
      <c r="Q149" s="38">
        <f t="shared" si="20"/>
        <v>0</v>
      </c>
      <c r="R149" s="49">
        <f t="shared" si="21"/>
        <v>0</v>
      </c>
      <c r="S149" s="76">
        <f t="shared" si="22"/>
        <v>0</v>
      </c>
      <c r="T149" s="77">
        <f t="shared" si="23"/>
        <v>0</v>
      </c>
      <c r="U149" s="221">
        <f t="shared" si="24"/>
        <v>82</v>
      </c>
      <c r="V149" s="36">
        <f>ROUND('GEN.AD - PAY'!I149*0.12,2)</f>
        <v>0</v>
      </c>
      <c r="W149" s="37">
        <v>100</v>
      </c>
      <c r="X149" s="37">
        <f>MIN((I149*0.05)-'GEN.AD - DEDS'!Y101,2500)</f>
        <v>0</v>
      </c>
      <c r="Y149" s="35">
        <v>200</v>
      </c>
    </row>
    <row r="150" spans="1:25" ht="18.75" customHeight="1" x14ac:dyDescent="0.25">
      <c r="A150" s="98"/>
      <c r="B150" s="33">
        <f t="shared" si="17"/>
        <v>83</v>
      </c>
      <c r="C150" s="72">
        <f>VLOOKUP(B150,'WTAX-GEN.AD'!B:N,2,0)</f>
        <v>0</v>
      </c>
      <c r="D150" s="72" t="e">
        <f>VLOOKUP(C150,'WTAX-GEN.AD'!C:O,2,0)</f>
        <v>#N/A</v>
      </c>
      <c r="E150" s="306">
        <f>VLOOKUP(B150,'WTAX-GEN.AD'!B:N,4,0)</f>
        <v>0</v>
      </c>
      <c r="F150" s="89"/>
      <c r="G150" s="91"/>
      <c r="H150" s="91"/>
      <c r="I150" s="37">
        <f t="shared" si="18"/>
        <v>0</v>
      </c>
      <c r="J150" s="332">
        <f>'WTAX-GEN.AD'!N137</f>
        <v>0</v>
      </c>
      <c r="K150" s="211">
        <f t="shared" si="19"/>
        <v>0</v>
      </c>
      <c r="L150" s="40">
        <f>'WTAX-GEN.AD'!F137</f>
        <v>0</v>
      </c>
      <c r="M150" s="37">
        <f>'GEN.AD - DEDS'!R102</f>
        <v>0</v>
      </c>
      <c r="N150" s="37">
        <f>'GEN.AD - DEDS'!X102</f>
        <v>0</v>
      </c>
      <c r="O150" s="37">
        <f>'GEN.AD - DEDS'!Y102</f>
        <v>0</v>
      </c>
      <c r="P150" s="37">
        <f>'GEN.AD - DEDS'!AE102</f>
        <v>0</v>
      </c>
      <c r="Q150" s="38">
        <f t="shared" si="20"/>
        <v>0</v>
      </c>
      <c r="R150" s="49">
        <f t="shared" si="21"/>
        <v>0</v>
      </c>
      <c r="S150" s="76">
        <f t="shared" si="22"/>
        <v>0</v>
      </c>
      <c r="T150" s="77">
        <f t="shared" si="23"/>
        <v>0</v>
      </c>
      <c r="U150" s="221">
        <f t="shared" si="24"/>
        <v>83</v>
      </c>
      <c r="V150" s="36">
        <f>ROUND('GEN.AD - PAY'!I150*0.12,2)</f>
        <v>0</v>
      </c>
      <c r="W150" s="37">
        <v>100</v>
      </c>
      <c r="X150" s="37">
        <f>MIN((I150*0.05)-'GEN.AD - DEDS'!Y102,2500)</f>
        <v>0</v>
      </c>
      <c r="Y150" s="35">
        <v>200</v>
      </c>
    </row>
    <row r="151" spans="1:25" ht="18.75" customHeight="1" x14ac:dyDescent="0.25">
      <c r="A151" s="98"/>
      <c r="B151" s="33">
        <f t="shared" si="17"/>
        <v>84</v>
      </c>
      <c r="C151" s="72">
        <f>VLOOKUP(B151,'WTAX-GEN.AD'!B:N,2,0)</f>
        <v>0</v>
      </c>
      <c r="D151" s="72" t="e">
        <f>VLOOKUP(C151,'WTAX-GEN.AD'!C:O,2,0)</f>
        <v>#N/A</v>
      </c>
      <c r="E151" s="306">
        <f>VLOOKUP(B151,'WTAX-GEN.AD'!B:N,4,0)</f>
        <v>0</v>
      </c>
      <c r="F151" s="89"/>
      <c r="G151" s="91"/>
      <c r="H151" s="91"/>
      <c r="I151" s="37">
        <f t="shared" si="18"/>
        <v>0</v>
      </c>
      <c r="J151" s="332">
        <f>'WTAX-GEN.AD'!N138</f>
        <v>0</v>
      </c>
      <c r="K151" s="211">
        <f t="shared" si="19"/>
        <v>0</v>
      </c>
      <c r="L151" s="40">
        <f>'WTAX-GEN.AD'!F138</f>
        <v>0</v>
      </c>
      <c r="M151" s="37">
        <f>'GEN.AD - DEDS'!R103</f>
        <v>0</v>
      </c>
      <c r="N151" s="37">
        <f>'GEN.AD - DEDS'!X103</f>
        <v>0</v>
      </c>
      <c r="O151" s="37">
        <f>'GEN.AD - DEDS'!Y103</f>
        <v>0</v>
      </c>
      <c r="P151" s="37">
        <f>'GEN.AD - DEDS'!AE103</f>
        <v>0</v>
      </c>
      <c r="Q151" s="38">
        <f t="shared" si="20"/>
        <v>0</v>
      </c>
      <c r="R151" s="49">
        <f t="shared" si="21"/>
        <v>0</v>
      </c>
      <c r="S151" s="76">
        <f t="shared" si="22"/>
        <v>0</v>
      </c>
      <c r="T151" s="77">
        <f t="shared" si="23"/>
        <v>0</v>
      </c>
      <c r="U151" s="221">
        <f t="shared" si="24"/>
        <v>84</v>
      </c>
      <c r="V151" s="36">
        <f>ROUND('GEN.AD - PAY'!I151*0.12,2)</f>
        <v>0</v>
      </c>
      <c r="W151" s="37">
        <v>100</v>
      </c>
      <c r="X151" s="37">
        <f>MIN((I151*0.05)-'GEN.AD - DEDS'!Y103,2500)</f>
        <v>0</v>
      </c>
      <c r="Y151" s="35">
        <v>200</v>
      </c>
    </row>
    <row r="152" spans="1:25" ht="18.75" customHeight="1" x14ac:dyDescent="0.25">
      <c r="A152" s="98"/>
      <c r="B152" s="33">
        <f t="shared" si="17"/>
        <v>85</v>
      </c>
      <c r="C152" s="72">
        <f>VLOOKUP(B152,'WTAX-GEN.AD'!B:N,2,0)</f>
        <v>0</v>
      </c>
      <c r="D152" s="72" t="e">
        <f>VLOOKUP(C152,'WTAX-GEN.AD'!C:O,2,0)</f>
        <v>#N/A</v>
      </c>
      <c r="E152" s="306">
        <f>VLOOKUP(B152,'WTAX-GEN.AD'!B:N,4,0)</f>
        <v>0</v>
      </c>
      <c r="F152" s="89"/>
      <c r="G152" s="91"/>
      <c r="H152" s="91"/>
      <c r="I152" s="37">
        <f t="shared" si="18"/>
        <v>0</v>
      </c>
      <c r="J152" s="332">
        <f>'WTAX-GEN.AD'!N139</f>
        <v>0</v>
      </c>
      <c r="K152" s="211">
        <f t="shared" si="19"/>
        <v>0</v>
      </c>
      <c r="L152" s="40">
        <f>'WTAX-GEN.AD'!F139</f>
        <v>0</v>
      </c>
      <c r="M152" s="37">
        <f>'GEN.AD - DEDS'!R104</f>
        <v>0</v>
      </c>
      <c r="N152" s="37">
        <f>'GEN.AD - DEDS'!X104</f>
        <v>0</v>
      </c>
      <c r="O152" s="37">
        <f>'GEN.AD - DEDS'!Y104</f>
        <v>0</v>
      </c>
      <c r="P152" s="37">
        <f>'GEN.AD - DEDS'!AE104</f>
        <v>0</v>
      </c>
      <c r="Q152" s="38">
        <f t="shared" si="20"/>
        <v>0</v>
      </c>
      <c r="R152" s="49">
        <f t="shared" si="21"/>
        <v>0</v>
      </c>
      <c r="S152" s="76">
        <f t="shared" si="22"/>
        <v>0</v>
      </c>
      <c r="T152" s="77">
        <f t="shared" si="23"/>
        <v>0</v>
      </c>
      <c r="U152" s="221">
        <f t="shared" si="24"/>
        <v>85</v>
      </c>
      <c r="V152" s="36">
        <f>ROUND('GEN.AD - PAY'!I152*0.12,2)</f>
        <v>0</v>
      </c>
      <c r="W152" s="37">
        <v>100</v>
      </c>
      <c r="X152" s="37">
        <f>MIN((I152*0.05)-'GEN.AD - DEDS'!Y104,2500)</f>
        <v>0</v>
      </c>
      <c r="Y152" s="35">
        <v>200</v>
      </c>
    </row>
    <row r="153" spans="1:25" ht="18.75" customHeight="1" x14ac:dyDescent="0.25">
      <c r="A153" s="98"/>
      <c r="B153" s="33">
        <f t="shared" si="17"/>
        <v>86</v>
      </c>
      <c r="C153" s="72">
        <f>VLOOKUP(B153,'WTAX-GEN.AD'!B:N,2,0)</f>
        <v>0</v>
      </c>
      <c r="D153" s="72" t="e">
        <f>VLOOKUP(C153,'WTAX-GEN.AD'!C:O,2,0)</f>
        <v>#N/A</v>
      </c>
      <c r="E153" s="306">
        <f>VLOOKUP(B153,'WTAX-GEN.AD'!B:N,4,0)</f>
        <v>0</v>
      </c>
      <c r="F153" s="89"/>
      <c r="G153" s="91"/>
      <c r="H153" s="91"/>
      <c r="I153" s="37">
        <f t="shared" si="18"/>
        <v>0</v>
      </c>
      <c r="J153" s="332">
        <f>'WTAX-GEN.AD'!N140</f>
        <v>0</v>
      </c>
      <c r="K153" s="211">
        <f t="shared" si="19"/>
        <v>0</v>
      </c>
      <c r="L153" s="40">
        <f>'WTAX-GEN.AD'!F140</f>
        <v>0</v>
      </c>
      <c r="M153" s="37">
        <f>'GEN.AD - DEDS'!R105</f>
        <v>0</v>
      </c>
      <c r="N153" s="37">
        <f>'GEN.AD - DEDS'!X105</f>
        <v>0</v>
      </c>
      <c r="O153" s="37">
        <f>'GEN.AD - DEDS'!Y105</f>
        <v>0</v>
      </c>
      <c r="P153" s="37">
        <f>'GEN.AD - DEDS'!AE105</f>
        <v>0</v>
      </c>
      <c r="Q153" s="38">
        <f t="shared" si="20"/>
        <v>0</v>
      </c>
      <c r="R153" s="49">
        <f t="shared" si="21"/>
        <v>0</v>
      </c>
      <c r="S153" s="76">
        <f t="shared" si="22"/>
        <v>0</v>
      </c>
      <c r="T153" s="77">
        <f t="shared" si="23"/>
        <v>0</v>
      </c>
      <c r="U153" s="221">
        <f t="shared" si="24"/>
        <v>86</v>
      </c>
      <c r="V153" s="36">
        <f>ROUND('GEN.AD - PAY'!I153*0.12,2)</f>
        <v>0</v>
      </c>
      <c r="W153" s="37">
        <v>100</v>
      </c>
      <c r="X153" s="37">
        <f>MIN((I153*0.05)-'GEN.AD - DEDS'!Y105,2500)</f>
        <v>0</v>
      </c>
      <c r="Y153" s="35">
        <v>200</v>
      </c>
    </row>
    <row r="154" spans="1:25" ht="18.75" customHeight="1" x14ac:dyDescent="0.25">
      <c r="A154" s="98"/>
      <c r="B154" s="33">
        <f t="shared" si="17"/>
        <v>87</v>
      </c>
      <c r="C154" s="72">
        <f>VLOOKUP(B154,'WTAX-GEN.AD'!B:N,2,0)</f>
        <v>0</v>
      </c>
      <c r="D154" s="72" t="e">
        <f>VLOOKUP(C154,'WTAX-GEN.AD'!C:O,2,0)</f>
        <v>#N/A</v>
      </c>
      <c r="E154" s="306">
        <f>VLOOKUP(B154,'WTAX-GEN.AD'!B:N,4,0)</f>
        <v>0</v>
      </c>
      <c r="F154" s="89"/>
      <c r="G154" s="91"/>
      <c r="H154" s="91"/>
      <c r="I154" s="37">
        <f t="shared" si="18"/>
        <v>0</v>
      </c>
      <c r="J154" s="332">
        <f>'WTAX-GEN.AD'!N141</f>
        <v>0</v>
      </c>
      <c r="K154" s="211">
        <f t="shared" si="19"/>
        <v>0</v>
      </c>
      <c r="L154" s="40">
        <f>'WTAX-GEN.AD'!F141</f>
        <v>0</v>
      </c>
      <c r="M154" s="37">
        <f>'GEN.AD - DEDS'!R106</f>
        <v>0</v>
      </c>
      <c r="N154" s="37">
        <f>'GEN.AD - DEDS'!X106</f>
        <v>0</v>
      </c>
      <c r="O154" s="37">
        <f>'GEN.AD - DEDS'!Y106</f>
        <v>0</v>
      </c>
      <c r="P154" s="37">
        <f>'GEN.AD - DEDS'!AE106</f>
        <v>0</v>
      </c>
      <c r="Q154" s="38">
        <f t="shared" si="20"/>
        <v>0</v>
      </c>
      <c r="R154" s="49">
        <f t="shared" si="21"/>
        <v>0</v>
      </c>
      <c r="S154" s="76">
        <f t="shared" si="22"/>
        <v>0</v>
      </c>
      <c r="T154" s="77">
        <f t="shared" si="23"/>
        <v>0</v>
      </c>
      <c r="U154" s="221">
        <f t="shared" si="24"/>
        <v>87</v>
      </c>
      <c r="V154" s="36">
        <f>ROUND('GEN.AD - PAY'!I154*0.12,2)</f>
        <v>0</v>
      </c>
      <c r="W154" s="37">
        <v>100</v>
      </c>
      <c r="X154" s="37">
        <f>MIN((I154*0.05)-'GEN.AD - DEDS'!Y106,2500)</f>
        <v>0</v>
      </c>
      <c r="Y154" s="35">
        <v>200</v>
      </c>
    </row>
    <row r="155" spans="1:25" ht="18.75" customHeight="1" x14ac:dyDescent="0.25">
      <c r="A155" s="98"/>
      <c r="B155" s="33">
        <f t="shared" si="17"/>
        <v>88</v>
      </c>
      <c r="C155" s="72">
        <f>VLOOKUP(B155,'WTAX-GEN.AD'!B:N,2,0)</f>
        <v>0</v>
      </c>
      <c r="D155" s="72" t="e">
        <f>VLOOKUP(C155,'WTAX-GEN.AD'!C:O,2,0)</f>
        <v>#N/A</v>
      </c>
      <c r="E155" s="306">
        <f>VLOOKUP(B155,'WTAX-GEN.AD'!B:N,4,0)</f>
        <v>0</v>
      </c>
      <c r="F155" s="89"/>
      <c r="G155" s="91"/>
      <c r="H155" s="91"/>
      <c r="I155" s="37">
        <f t="shared" si="18"/>
        <v>0</v>
      </c>
      <c r="J155" s="332">
        <f>'WTAX-GEN.AD'!N142</f>
        <v>0</v>
      </c>
      <c r="K155" s="211">
        <f t="shared" si="19"/>
        <v>0</v>
      </c>
      <c r="L155" s="40">
        <f>'WTAX-GEN.AD'!F142</f>
        <v>0</v>
      </c>
      <c r="M155" s="37">
        <f>'GEN.AD - DEDS'!R107</f>
        <v>0</v>
      </c>
      <c r="N155" s="37">
        <f>'GEN.AD - DEDS'!X107</f>
        <v>0</v>
      </c>
      <c r="O155" s="37">
        <f>'GEN.AD - DEDS'!Y107</f>
        <v>0</v>
      </c>
      <c r="P155" s="37">
        <f>'GEN.AD - DEDS'!AE107</f>
        <v>0</v>
      </c>
      <c r="Q155" s="38">
        <f t="shared" si="20"/>
        <v>0</v>
      </c>
      <c r="R155" s="49">
        <f t="shared" si="21"/>
        <v>0</v>
      </c>
      <c r="S155" s="76">
        <f t="shared" si="22"/>
        <v>0</v>
      </c>
      <c r="T155" s="77">
        <f t="shared" si="23"/>
        <v>0</v>
      </c>
      <c r="U155" s="221">
        <f t="shared" si="24"/>
        <v>88</v>
      </c>
      <c r="V155" s="36">
        <f>ROUND('GEN.AD - PAY'!I155*0.12,2)</f>
        <v>0</v>
      </c>
      <c r="W155" s="37">
        <v>100</v>
      </c>
      <c r="X155" s="37">
        <f>MIN((I155*0.05)-'GEN.AD - DEDS'!Y107,2500)</f>
        <v>0</v>
      </c>
      <c r="Y155" s="35">
        <v>200</v>
      </c>
    </row>
    <row r="156" spans="1:25" ht="18.75" customHeight="1" x14ac:dyDescent="0.25">
      <c r="A156" s="98"/>
      <c r="B156" s="33">
        <f t="shared" si="17"/>
        <v>89</v>
      </c>
      <c r="C156" s="72">
        <f>VLOOKUP(B156,'WTAX-GEN.AD'!B:N,2,0)</f>
        <v>0</v>
      </c>
      <c r="D156" s="72" t="e">
        <f>VLOOKUP(C156,'WTAX-GEN.AD'!C:O,2,0)</f>
        <v>#N/A</v>
      </c>
      <c r="E156" s="306">
        <f>VLOOKUP(B156,'WTAX-GEN.AD'!B:N,4,0)</f>
        <v>0</v>
      </c>
      <c r="F156" s="89"/>
      <c r="G156" s="91"/>
      <c r="H156" s="91"/>
      <c r="I156" s="37">
        <f t="shared" si="18"/>
        <v>0</v>
      </c>
      <c r="J156" s="332">
        <f>'WTAX-GEN.AD'!N143</f>
        <v>0</v>
      </c>
      <c r="K156" s="211">
        <f t="shared" si="19"/>
        <v>0</v>
      </c>
      <c r="L156" s="40">
        <f>'WTAX-GEN.AD'!F143</f>
        <v>0</v>
      </c>
      <c r="M156" s="37">
        <f>'GEN.AD - DEDS'!R108</f>
        <v>0</v>
      </c>
      <c r="N156" s="37">
        <f>'GEN.AD - DEDS'!X108</f>
        <v>0</v>
      </c>
      <c r="O156" s="37">
        <f>'GEN.AD - DEDS'!Y108</f>
        <v>0</v>
      </c>
      <c r="P156" s="37">
        <f>'GEN.AD - DEDS'!AE108</f>
        <v>0</v>
      </c>
      <c r="Q156" s="38">
        <f t="shared" si="20"/>
        <v>0</v>
      </c>
      <c r="R156" s="49">
        <f t="shared" si="21"/>
        <v>0</v>
      </c>
      <c r="S156" s="76">
        <f t="shared" si="22"/>
        <v>0</v>
      </c>
      <c r="T156" s="77">
        <f t="shared" si="23"/>
        <v>0</v>
      </c>
      <c r="U156" s="221">
        <f t="shared" si="24"/>
        <v>89</v>
      </c>
      <c r="V156" s="36">
        <f>ROUND('GEN.AD - PAY'!I156*0.12,2)</f>
        <v>0</v>
      </c>
      <c r="W156" s="37">
        <v>100</v>
      </c>
      <c r="X156" s="37">
        <f>MIN((I156*0.05)-'GEN.AD - DEDS'!Y108,2500)</f>
        <v>0</v>
      </c>
      <c r="Y156" s="35">
        <v>200</v>
      </c>
    </row>
    <row r="157" spans="1:25" ht="18.75" customHeight="1" x14ac:dyDescent="0.25">
      <c r="A157" s="98"/>
      <c r="B157" s="33">
        <f t="shared" si="17"/>
        <v>90</v>
      </c>
      <c r="C157" s="72">
        <f>VLOOKUP(B157,'WTAX-GEN.AD'!B:N,2,0)</f>
        <v>0</v>
      </c>
      <c r="D157" s="72" t="e">
        <f>VLOOKUP(C157,'WTAX-GEN.AD'!C:O,2,0)</f>
        <v>#N/A</v>
      </c>
      <c r="E157" s="306">
        <f>VLOOKUP(B157,'WTAX-GEN.AD'!B:N,4,0)</f>
        <v>0</v>
      </c>
      <c r="F157" s="89"/>
      <c r="G157" s="91"/>
      <c r="H157" s="91"/>
      <c r="I157" s="37">
        <f t="shared" si="18"/>
        <v>0</v>
      </c>
      <c r="J157" s="332">
        <f>'WTAX-GEN.AD'!N144</f>
        <v>0</v>
      </c>
      <c r="K157" s="211">
        <f t="shared" si="19"/>
        <v>0</v>
      </c>
      <c r="L157" s="40">
        <f>'WTAX-GEN.AD'!F144</f>
        <v>0</v>
      </c>
      <c r="M157" s="37">
        <f>'GEN.AD - DEDS'!R109</f>
        <v>0</v>
      </c>
      <c r="N157" s="37">
        <f>'GEN.AD - DEDS'!X109</f>
        <v>0</v>
      </c>
      <c r="O157" s="37">
        <f>'GEN.AD - DEDS'!Y109</f>
        <v>0</v>
      </c>
      <c r="P157" s="37">
        <f>'GEN.AD - DEDS'!AE109</f>
        <v>0</v>
      </c>
      <c r="Q157" s="38">
        <f t="shared" si="20"/>
        <v>0</v>
      </c>
      <c r="R157" s="49">
        <f t="shared" si="21"/>
        <v>0</v>
      </c>
      <c r="S157" s="76">
        <f t="shared" si="22"/>
        <v>0</v>
      </c>
      <c r="T157" s="77">
        <f t="shared" si="23"/>
        <v>0</v>
      </c>
      <c r="U157" s="221">
        <f t="shared" si="24"/>
        <v>90</v>
      </c>
      <c r="V157" s="36">
        <f>ROUND('GEN.AD - PAY'!I157*0.12,2)</f>
        <v>0</v>
      </c>
      <c r="W157" s="37">
        <v>100</v>
      </c>
      <c r="X157" s="37">
        <f>MIN((I157*0.05)-'GEN.AD - DEDS'!Y109,2500)</f>
        <v>0</v>
      </c>
      <c r="Y157" s="35">
        <v>200</v>
      </c>
    </row>
    <row r="158" spans="1:25" ht="18.75" customHeight="1" x14ac:dyDescent="0.25">
      <c r="A158" s="98"/>
      <c r="B158" s="33">
        <f t="shared" si="17"/>
        <v>91</v>
      </c>
      <c r="C158" s="72">
        <f>VLOOKUP(B158,'WTAX-GEN.AD'!B:N,2,0)</f>
        <v>0</v>
      </c>
      <c r="D158" s="72" t="e">
        <f>VLOOKUP(C158,'WTAX-GEN.AD'!C:O,2,0)</f>
        <v>#N/A</v>
      </c>
      <c r="E158" s="306">
        <f>VLOOKUP(B158,'WTAX-GEN.AD'!B:N,4,0)</f>
        <v>0</v>
      </c>
      <c r="F158" s="89"/>
      <c r="G158" s="91"/>
      <c r="H158" s="91"/>
      <c r="I158" s="37">
        <f t="shared" si="18"/>
        <v>0</v>
      </c>
      <c r="J158" s="332">
        <f>'WTAX-GEN.AD'!N145</f>
        <v>0</v>
      </c>
      <c r="K158" s="211">
        <f t="shared" si="19"/>
        <v>0</v>
      </c>
      <c r="L158" s="40">
        <f>'WTAX-GEN.AD'!F145</f>
        <v>0</v>
      </c>
      <c r="M158" s="37">
        <f>'GEN.AD - DEDS'!R110</f>
        <v>0</v>
      </c>
      <c r="N158" s="37">
        <f>'GEN.AD - DEDS'!X110</f>
        <v>0</v>
      </c>
      <c r="O158" s="37">
        <f>'GEN.AD - DEDS'!Y110</f>
        <v>0</v>
      </c>
      <c r="P158" s="37">
        <f>'GEN.AD - DEDS'!AE110</f>
        <v>0</v>
      </c>
      <c r="Q158" s="38">
        <f t="shared" si="20"/>
        <v>0</v>
      </c>
      <c r="R158" s="49">
        <f t="shared" si="21"/>
        <v>0</v>
      </c>
      <c r="S158" s="76">
        <f t="shared" si="22"/>
        <v>0</v>
      </c>
      <c r="T158" s="77">
        <f t="shared" si="23"/>
        <v>0</v>
      </c>
      <c r="U158" s="221">
        <f t="shared" si="24"/>
        <v>91</v>
      </c>
      <c r="V158" s="36">
        <f>ROUND('GEN.AD - PAY'!I158*0.12,2)</f>
        <v>0</v>
      </c>
      <c r="W158" s="37">
        <v>100</v>
      </c>
      <c r="X158" s="37">
        <f>MIN((I158*0.05)-'GEN.AD - DEDS'!Y110,2500)</f>
        <v>0</v>
      </c>
      <c r="Y158" s="35">
        <v>200</v>
      </c>
    </row>
    <row r="159" spans="1:25" ht="18.75" customHeight="1" x14ac:dyDescent="0.25">
      <c r="A159" s="98"/>
      <c r="B159" s="33">
        <f t="shared" si="17"/>
        <v>92</v>
      </c>
      <c r="C159" s="72">
        <f>VLOOKUP(B159,'WTAX-GEN.AD'!B:N,2,0)</f>
        <v>0</v>
      </c>
      <c r="D159" s="72" t="e">
        <f>VLOOKUP(C159,'WTAX-GEN.AD'!C:O,2,0)</f>
        <v>#N/A</v>
      </c>
      <c r="E159" s="306">
        <f>VLOOKUP(B159,'WTAX-GEN.AD'!B:N,4,0)</f>
        <v>0</v>
      </c>
      <c r="F159" s="89"/>
      <c r="G159" s="91"/>
      <c r="H159" s="91"/>
      <c r="I159" s="37">
        <f t="shared" si="18"/>
        <v>0</v>
      </c>
      <c r="J159" s="332">
        <f>'WTAX-GEN.AD'!N146</f>
        <v>0</v>
      </c>
      <c r="K159" s="211">
        <f t="shared" si="19"/>
        <v>0</v>
      </c>
      <c r="L159" s="40">
        <f>'WTAX-GEN.AD'!F146</f>
        <v>0</v>
      </c>
      <c r="M159" s="37">
        <f>'GEN.AD - DEDS'!R111</f>
        <v>0</v>
      </c>
      <c r="N159" s="37">
        <f>'GEN.AD - DEDS'!X111</f>
        <v>0</v>
      </c>
      <c r="O159" s="37">
        <f>'GEN.AD - DEDS'!Y111</f>
        <v>0</v>
      </c>
      <c r="P159" s="37">
        <f>'GEN.AD - DEDS'!AE111</f>
        <v>0</v>
      </c>
      <c r="Q159" s="38">
        <f t="shared" si="20"/>
        <v>0</v>
      </c>
      <c r="R159" s="49">
        <f t="shared" si="21"/>
        <v>0</v>
      </c>
      <c r="S159" s="76">
        <f t="shared" si="22"/>
        <v>0</v>
      </c>
      <c r="T159" s="77">
        <f t="shared" si="23"/>
        <v>0</v>
      </c>
      <c r="U159" s="221">
        <f t="shared" si="24"/>
        <v>92</v>
      </c>
      <c r="V159" s="36">
        <f>ROUND('GEN.AD - PAY'!I159*0.12,2)</f>
        <v>0</v>
      </c>
      <c r="W159" s="37">
        <v>100</v>
      </c>
      <c r="X159" s="37">
        <f>MIN((I159*0.05)-'GEN.AD - DEDS'!Y111,2500)</f>
        <v>0</v>
      </c>
      <c r="Y159" s="35">
        <v>200</v>
      </c>
    </row>
    <row r="160" spans="1:25" ht="18.75" customHeight="1" x14ac:dyDescent="0.25">
      <c r="A160" s="98"/>
      <c r="B160" s="33">
        <f t="shared" si="17"/>
        <v>93</v>
      </c>
      <c r="C160" s="72">
        <f>VLOOKUP(B160,'WTAX-GEN.AD'!B:N,2,0)</f>
        <v>0</v>
      </c>
      <c r="D160" s="72" t="e">
        <f>VLOOKUP(C160,'WTAX-GEN.AD'!C:O,2,0)</f>
        <v>#N/A</v>
      </c>
      <c r="E160" s="306">
        <f>VLOOKUP(B160,'WTAX-GEN.AD'!B:N,4,0)</f>
        <v>0</v>
      </c>
      <c r="F160" s="89"/>
      <c r="G160" s="91"/>
      <c r="H160" s="91"/>
      <c r="I160" s="37">
        <f t="shared" si="18"/>
        <v>0</v>
      </c>
      <c r="J160" s="332">
        <f>'WTAX-GEN.AD'!N147</f>
        <v>0</v>
      </c>
      <c r="K160" s="211">
        <f t="shared" si="19"/>
        <v>0</v>
      </c>
      <c r="L160" s="40">
        <f>'WTAX-GEN.AD'!F147</f>
        <v>0</v>
      </c>
      <c r="M160" s="37">
        <f>'GEN.AD - DEDS'!R112</f>
        <v>0</v>
      </c>
      <c r="N160" s="37">
        <f>'GEN.AD - DEDS'!X112</f>
        <v>0</v>
      </c>
      <c r="O160" s="37">
        <f>'GEN.AD - DEDS'!Y112</f>
        <v>0</v>
      </c>
      <c r="P160" s="37">
        <f>'GEN.AD - DEDS'!AE112</f>
        <v>0</v>
      </c>
      <c r="Q160" s="38">
        <f t="shared" si="20"/>
        <v>0</v>
      </c>
      <c r="R160" s="49">
        <f t="shared" si="21"/>
        <v>0</v>
      </c>
      <c r="S160" s="76">
        <f t="shared" si="22"/>
        <v>0</v>
      </c>
      <c r="T160" s="77">
        <f t="shared" si="23"/>
        <v>0</v>
      </c>
      <c r="U160" s="221">
        <f t="shared" si="24"/>
        <v>93</v>
      </c>
      <c r="V160" s="36">
        <f>ROUND('GEN.AD - PAY'!I160*0.12,2)</f>
        <v>0</v>
      </c>
      <c r="W160" s="37">
        <v>100</v>
      </c>
      <c r="X160" s="37">
        <f>MIN((I160*0.05)-'GEN.AD - DEDS'!Y112,2500)</f>
        <v>0</v>
      </c>
      <c r="Y160" s="35">
        <v>200</v>
      </c>
    </row>
    <row r="161" spans="1:26" ht="18.75" customHeight="1" x14ac:dyDescent="0.25">
      <c r="A161" s="98"/>
      <c r="B161" s="33">
        <f>+B113+1</f>
        <v>94</v>
      </c>
      <c r="C161" s="72">
        <f>VLOOKUP(B161,'WTAX-GEN.AD'!B:N,2,0)</f>
        <v>0</v>
      </c>
      <c r="D161" s="72" t="e">
        <f>VLOOKUP(C161,'WTAX-GEN.AD'!C:O,2,0)</f>
        <v>#N/A</v>
      </c>
      <c r="E161" s="306">
        <f>VLOOKUP(B161,'WTAX-GEN.AD'!B:N,4,0)</f>
        <v>0</v>
      </c>
      <c r="F161" s="89"/>
      <c r="G161" s="91"/>
      <c r="H161" s="91"/>
      <c r="I161" s="37">
        <f t="shared" si="10"/>
        <v>0</v>
      </c>
      <c r="J161" s="332">
        <f>'WTAX-GEN.AD'!N148</f>
        <v>0</v>
      </c>
      <c r="K161" s="211">
        <f t="shared" si="11"/>
        <v>0</v>
      </c>
      <c r="L161" s="40">
        <f>'WTAX-GEN.AD'!F148</f>
        <v>0</v>
      </c>
      <c r="M161" s="37">
        <f>'GEN.AD - DEDS'!R160</f>
        <v>0</v>
      </c>
      <c r="N161" s="37">
        <f>'GEN.AD - DEDS'!X160</f>
        <v>0</v>
      </c>
      <c r="O161" s="37">
        <f>'GEN.AD - DEDS'!Y160</f>
        <v>0</v>
      </c>
      <c r="P161" s="37">
        <f>'GEN.AD - DEDS'!AE160</f>
        <v>0</v>
      </c>
      <c r="Q161" s="38">
        <f t="shared" si="12"/>
        <v>0</v>
      </c>
      <c r="R161" s="49">
        <f t="shared" si="13"/>
        <v>0</v>
      </c>
      <c r="S161" s="76">
        <f t="shared" si="14"/>
        <v>0</v>
      </c>
      <c r="T161" s="77">
        <f t="shared" si="15"/>
        <v>0</v>
      </c>
      <c r="U161" s="221">
        <f t="shared" si="16"/>
        <v>94</v>
      </c>
      <c r="V161" s="36">
        <f>ROUND('GEN.AD - PAY'!I161*0.12,2)</f>
        <v>0</v>
      </c>
      <c r="W161" s="37">
        <v>100</v>
      </c>
      <c r="X161" s="37">
        <f>MIN((I161*0.05)-'GEN.AD - DEDS'!Y160,2500)</f>
        <v>0</v>
      </c>
      <c r="Y161" s="35">
        <v>200</v>
      </c>
    </row>
    <row r="162" spans="1:26" ht="18.75" customHeight="1" x14ac:dyDescent="0.25">
      <c r="A162" s="98"/>
      <c r="B162" s="63"/>
      <c r="C162" s="64"/>
      <c r="D162" s="64"/>
      <c r="E162" s="63"/>
      <c r="F162" s="89"/>
      <c r="G162" s="91"/>
      <c r="H162" s="91"/>
      <c r="I162" s="66"/>
      <c r="J162" s="333"/>
      <c r="K162" s="212"/>
      <c r="L162" s="68"/>
      <c r="M162" s="66"/>
      <c r="N162" s="66"/>
      <c r="O162" s="66"/>
      <c r="P162" s="66"/>
      <c r="Q162" s="69"/>
      <c r="R162" s="70"/>
      <c r="S162" s="68"/>
      <c r="T162" s="71"/>
      <c r="U162" s="63"/>
      <c r="V162" s="65"/>
      <c r="W162" s="66"/>
      <c r="X162" s="66"/>
      <c r="Y162" s="71"/>
    </row>
    <row r="163" spans="1:26" ht="18.75" customHeight="1" thickBot="1" x14ac:dyDescent="0.3">
      <c r="A163" s="98"/>
      <c r="B163" s="64"/>
      <c r="C163" s="64"/>
      <c r="D163" s="64"/>
      <c r="E163" s="63"/>
      <c r="F163" s="92">
        <f>SUM(F21:F162)</f>
        <v>0</v>
      </c>
      <c r="G163" s="93"/>
      <c r="H163" s="93">
        <f t="shared" ref="H163:T163" si="25">SUM(H21:H162)</f>
        <v>0</v>
      </c>
      <c r="I163" s="79">
        <f t="shared" si="25"/>
        <v>0</v>
      </c>
      <c r="J163" s="334">
        <f t="shared" si="25"/>
        <v>0</v>
      </c>
      <c r="K163" s="213">
        <f t="shared" si="25"/>
        <v>0</v>
      </c>
      <c r="L163" s="155">
        <f t="shared" si="25"/>
        <v>0</v>
      </c>
      <c r="M163" s="152">
        <f t="shared" si="25"/>
        <v>0</v>
      </c>
      <c r="N163" s="152">
        <f t="shared" si="25"/>
        <v>0</v>
      </c>
      <c r="O163" s="152">
        <f t="shared" si="25"/>
        <v>0</v>
      </c>
      <c r="P163" s="152">
        <f t="shared" si="25"/>
        <v>0</v>
      </c>
      <c r="Q163" s="153">
        <f t="shared" si="25"/>
        <v>0</v>
      </c>
      <c r="R163" s="154">
        <f t="shared" si="25"/>
        <v>0</v>
      </c>
      <c r="S163" s="155">
        <f t="shared" si="25"/>
        <v>0</v>
      </c>
      <c r="T163" s="156">
        <f t="shared" si="25"/>
        <v>0</v>
      </c>
      <c r="U163" s="63"/>
      <c r="V163" s="157">
        <f>SUM(V21:V162)</f>
        <v>0</v>
      </c>
      <c r="W163" s="152">
        <f>SUM(W21:W162)</f>
        <v>14100</v>
      </c>
      <c r="X163" s="152">
        <f>SUM(X21:X162)</f>
        <v>0</v>
      </c>
      <c r="Y163" s="156">
        <f>SUM(Y21:Y162)</f>
        <v>28200</v>
      </c>
    </row>
    <row r="164" spans="1:26" ht="21" customHeight="1" thickBot="1" x14ac:dyDescent="0.3">
      <c r="A164" s="98"/>
      <c r="B164" s="1" t="s">
        <v>21</v>
      </c>
      <c r="C164" s="854" t="s">
        <v>104</v>
      </c>
      <c r="D164" s="855"/>
      <c r="E164" s="855"/>
      <c r="F164" s="855"/>
      <c r="G164" s="855"/>
      <c r="H164" s="167"/>
      <c r="I164" s="167"/>
      <c r="J164" s="377"/>
      <c r="K164" s="158"/>
      <c r="L164" s="158"/>
      <c r="M164" s="158"/>
      <c r="N164" s="159"/>
      <c r="O164" s="1" t="s">
        <v>23</v>
      </c>
      <c r="P164" s="170" t="s">
        <v>89</v>
      </c>
      <c r="Q164" s="158"/>
      <c r="R164" s="378"/>
      <c r="S164" s="875"/>
      <c r="T164" s="875"/>
      <c r="U164" s="875"/>
      <c r="V164" s="875"/>
      <c r="W164" s="875"/>
      <c r="X164" s="875"/>
      <c r="Y164" s="876"/>
    </row>
    <row r="165" spans="1:26" ht="30.75" customHeight="1" x14ac:dyDescent="0.25">
      <c r="A165" s="98"/>
      <c r="B165" s="17" t="s">
        <v>22</v>
      </c>
      <c r="D165" s="8"/>
      <c r="E165" s="50"/>
      <c r="F165" s="8"/>
      <c r="G165" s="8"/>
      <c r="H165" s="8"/>
      <c r="I165" s="160"/>
      <c r="J165" s="160"/>
      <c r="K165" s="160"/>
      <c r="L165" s="160"/>
      <c r="M165" s="160"/>
      <c r="N165" s="147"/>
      <c r="O165" s="870" t="e" cm="1">
        <f t="array" aca="1" ref="O165" ca="1">PesosInWords2Caps(W165)</f>
        <v>#NAME?</v>
      </c>
      <c r="P165" s="871"/>
      <c r="Q165" s="871"/>
      <c r="R165" s="871"/>
      <c r="S165" s="871"/>
      <c r="T165" s="871"/>
      <c r="U165" s="871"/>
      <c r="V165" s="871"/>
      <c r="W165" s="868">
        <f>S163</f>
        <v>0</v>
      </c>
      <c r="X165" s="868"/>
      <c r="Y165" s="869"/>
    </row>
    <row r="166" spans="1:26" ht="21.75" customHeight="1" x14ac:dyDescent="0.25">
      <c r="A166" s="98"/>
      <c r="B166" s="17"/>
      <c r="C166" s="8"/>
      <c r="D166" s="8"/>
      <c r="E166" s="50"/>
      <c r="F166" s="8"/>
      <c r="G166" s="8"/>
      <c r="H166" s="8"/>
      <c r="I166" s="8"/>
      <c r="J166" s="8"/>
      <c r="K166" s="8"/>
      <c r="L166" s="8"/>
      <c r="M166" s="8"/>
      <c r="N166" s="18"/>
      <c r="O166" s="25"/>
      <c r="P166" s="8"/>
      <c r="Q166" s="8"/>
      <c r="R166" s="8"/>
      <c r="S166" s="9"/>
      <c r="T166" s="9"/>
      <c r="U166" s="6"/>
      <c r="V166" s="9"/>
      <c r="W166" s="9"/>
      <c r="X166" s="9"/>
      <c r="Y166" s="19"/>
    </row>
    <row r="167" spans="1:26" ht="21.75" customHeight="1" x14ac:dyDescent="0.25">
      <c r="A167" s="98"/>
      <c r="B167" s="17"/>
      <c r="N167" s="56"/>
      <c r="O167" s="149"/>
      <c r="P167" s="50"/>
      <c r="U167" s="6"/>
      <c r="Y167" s="19"/>
    </row>
    <row r="168" spans="1:26" ht="16.5" customHeight="1" x14ac:dyDescent="0.25">
      <c r="A168" s="98"/>
      <c r="B168" s="17"/>
      <c r="C168" s="820" t="s">
        <v>47</v>
      </c>
      <c r="D168" s="820"/>
      <c r="E168" s="325"/>
      <c r="F168" s="342">
        <f ca="1">NOW()</f>
        <v>46275.505203009256</v>
      </c>
      <c r="G168" s="164"/>
      <c r="H168" s="820" t="s">
        <v>95</v>
      </c>
      <c r="I168" s="820"/>
      <c r="J168" s="820"/>
      <c r="K168" s="820"/>
      <c r="L168" s="8"/>
      <c r="M168" s="342">
        <f ca="1">NOW()</f>
        <v>46275.505203009256</v>
      </c>
      <c r="N168" s="165"/>
      <c r="O168" s="161"/>
      <c r="P168" s="51"/>
      <c r="Q168" s="820" t="s">
        <v>97</v>
      </c>
      <c r="R168" s="820"/>
      <c r="S168" s="820"/>
      <c r="U168" s="6"/>
      <c r="V168" s="839"/>
      <c r="W168" s="839"/>
      <c r="X168" s="839"/>
      <c r="Y168" s="19"/>
    </row>
    <row r="169" spans="1:26" ht="15.75" x14ac:dyDescent="0.25">
      <c r="A169" s="98"/>
      <c r="B169" s="17"/>
      <c r="C169" s="827" t="s">
        <v>93</v>
      </c>
      <c r="D169" s="827"/>
      <c r="E169" s="6"/>
      <c r="F169" s="171" t="s">
        <v>29</v>
      </c>
      <c r="G169" s="9"/>
      <c r="H169" s="827" t="s">
        <v>94</v>
      </c>
      <c r="I169" s="827"/>
      <c r="J169" s="827"/>
      <c r="K169" s="827"/>
      <c r="L169" s="9"/>
      <c r="M169" s="171" t="s">
        <v>29</v>
      </c>
      <c r="N169" s="172"/>
      <c r="O169" s="161"/>
      <c r="P169" s="51"/>
      <c r="Q169" s="827" t="s">
        <v>96</v>
      </c>
      <c r="R169" s="827"/>
      <c r="S169" s="827"/>
      <c r="T169" s="9"/>
      <c r="U169" s="6"/>
      <c r="V169" s="840" t="s">
        <v>29</v>
      </c>
      <c r="W169" s="840"/>
      <c r="X169" s="840"/>
      <c r="Y169" s="19"/>
    </row>
    <row r="170" spans="1:26" ht="16.5" thickBot="1" x14ac:dyDescent="0.3">
      <c r="A170" s="98"/>
      <c r="B170" s="20"/>
      <c r="C170" s="21"/>
      <c r="D170" s="21"/>
      <c r="E170" s="326"/>
      <c r="F170" s="21"/>
      <c r="G170" s="21"/>
      <c r="H170" s="21"/>
      <c r="I170" s="21"/>
      <c r="J170" s="21"/>
      <c r="K170" s="29"/>
      <c r="L170" s="29"/>
      <c r="M170" s="29"/>
      <c r="N170" s="168"/>
      <c r="O170" s="162"/>
      <c r="P170" s="22"/>
      <c r="Q170" s="30"/>
      <c r="R170" s="30"/>
      <c r="S170" s="30"/>
      <c r="T170" s="10"/>
      <c r="U170" s="54"/>
      <c r="V170" s="10"/>
      <c r="W170" s="10"/>
      <c r="X170" s="10"/>
      <c r="Y170" s="23"/>
      <c r="Z170" s="842"/>
    </row>
    <row r="171" spans="1:26" ht="21" customHeight="1" thickBot="1" x14ac:dyDescent="0.3">
      <c r="A171" s="98"/>
      <c r="B171" s="1" t="s">
        <v>24</v>
      </c>
      <c r="C171" s="818" t="s">
        <v>105</v>
      </c>
      <c r="D171" s="818" t="s">
        <v>100</v>
      </c>
      <c r="E171" s="818"/>
      <c r="F171" s="818"/>
      <c r="G171" s="818"/>
      <c r="H171" s="818"/>
      <c r="I171" s="818"/>
      <c r="J171" s="818"/>
      <c r="K171" s="818"/>
      <c r="L171" s="828">
        <f>S163</f>
        <v>0</v>
      </c>
      <c r="M171" s="828"/>
      <c r="N171" s="829"/>
      <c r="O171" s="1" t="s">
        <v>25</v>
      </c>
      <c r="P171" s="835" t="s">
        <v>35</v>
      </c>
      <c r="Q171" s="835"/>
      <c r="R171" s="835"/>
      <c r="S171" s="835"/>
      <c r="T171" s="836"/>
      <c r="U171" s="1" t="s">
        <v>27</v>
      </c>
      <c r="V171" s="148"/>
      <c r="W171" s="148"/>
      <c r="X171" s="148"/>
      <c r="Y171" s="24"/>
      <c r="Z171" s="843"/>
    </row>
    <row r="172" spans="1:26" ht="30.75" customHeight="1" x14ac:dyDescent="0.25">
      <c r="A172" s="98"/>
      <c r="B172" s="17" t="s">
        <v>26</v>
      </c>
      <c r="C172" s="819"/>
      <c r="D172" s="819"/>
      <c r="E172" s="819"/>
      <c r="F172" s="819"/>
      <c r="G172" s="819"/>
      <c r="H172" s="819"/>
      <c r="I172" s="819"/>
      <c r="J172" s="819"/>
      <c r="K172" s="819"/>
      <c r="L172" s="830"/>
      <c r="M172" s="830"/>
      <c r="N172" s="831"/>
      <c r="O172" s="25"/>
      <c r="P172" s="837"/>
      <c r="Q172" s="837"/>
      <c r="R172" s="837"/>
      <c r="S172" s="837"/>
      <c r="T172" s="838"/>
      <c r="U172" s="149"/>
      <c r="V172" s="61" t="s">
        <v>90</v>
      </c>
      <c r="W172" s="820" t="s">
        <v>162</v>
      </c>
      <c r="X172" s="820"/>
      <c r="Y172" s="822"/>
      <c r="Z172" s="843"/>
    </row>
    <row r="173" spans="1:26" ht="24.95" customHeight="1" x14ac:dyDescent="0.25">
      <c r="A173" s="98"/>
      <c r="B173" s="17"/>
      <c r="C173" s="8" t="s">
        <v>28</v>
      </c>
      <c r="D173" s="8"/>
      <c r="E173" s="50"/>
      <c r="F173" s="8"/>
      <c r="G173" s="8"/>
      <c r="H173" s="8"/>
      <c r="I173" s="8"/>
      <c r="J173" s="8"/>
      <c r="K173" s="8"/>
      <c r="L173" s="8"/>
      <c r="M173" s="8"/>
      <c r="N173" s="18"/>
      <c r="O173" s="25"/>
      <c r="P173" s="8"/>
      <c r="T173" s="26"/>
      <c r="U173" s="150"/>
      <c r="V173" s="61" t="s">
        <v>91</v>
      </c>
      <c r="W173" s="823">
        <v>46038</v>
      </c>
      <c r="X173" s="823"/>
      <c r="Y173" s="824"/>
      <c r="Z173" s="843"/>
    </row>
    <row r="174" spans="1:26" ht="24.95" customHeight="1" x14ac:dyDescent="0.25">
      <c r="A174" s="98"/>
      <c r="B174" s="17"/>
      <c r="E174" s="820" t="s">
        <v>102</v>
      </c>
      <c r="F174" s="820"/>
      <c r="G174" s="820"/>
      <c r="H174" s="820"/>
      <c r="I174" s="820"/>
      <c r="K174" s="821"/>
      <c r="L174" s="821"/>
      <c r="M174" s="8"/>
      <c r="N174" s="18"/>
      <c r="O174" s="25"/>
      <c r="P174" s="820" t="s">
        <v>99</v>
      </c>
      <c r="Q174" s="820"/>
      <c r="R174" s="820"/>
      <c r="S174" s="820"/>
      <c r="T174" s="26"/>
      <c r="U174" s="149"/>
      <c r="V174" s="61" t="s">
        <v>92</v>
      </c>
      <c r="W174" s="825" t="s">
        <v>161</v>
      </c>
      <c r="X174" s="825"/>
      <c r="Y174" s="826"/>
      <c r="Z174" s="843"/>
    </row>
    <row r="175" spans="1:26" ht="24.95" customHeight="1" x14ac:dyDescent="0.25">
      <c r="A175" s="98"/>
      <c r="B175" s="17"/>
      <c r="E175" s="881" t="s">
        <v>101</v>
      </c>
      <c r="F175" s="881"/>
      <c r="G175" s="881"/>
      <c r="H175" s="881"/>
      <c r="I175" s="881"/>
      <c r="J175" s="9"/>
      <c r="K175" s="889" t="s">
        <v>29</v>
      </c>
      <c r="L175" s="889"/>
      <c r="M175" s="27"/>
      <c r="N175" s="165"/>
      <c r="O175" s="161"/>
      <c r="P175" s="827" t="s">
        <v>98</v>
      </c>
      <c r="Q175" s="827"/>
      <c r="R175" s="827"/>
      <c r="S175" s="827"/>
      <c r="T175" s="26"/>
      <c r="U175" s="150"/>
      <c r="V175" s="61" t="s">
        <v>91</v>
      </c>
      <c r="W175" s="823">
        <v>46038</v>
      </c>
      <c r="X175" s="823"/>
      <c r="Y175" s="824"/>
      <c r="Z175" s="28"/>
    </row>
    <row r="176" spans="1:26" ht="16.5" thickBot="1" x14ac:dyDescent="0.3">
      <c r="A176" s="98"/>
      <c r="B176" s="20"/>
      <c r="C176" s="29"/>
      <c r="D176" s="29"/>
      <c r="E176" s="880"/>
      <c r="F176" s="880"/>
      <c r="G176" s="880"/>
      <c r="H176" s="880"/>
      <c r="I176" s="29"/>
      <c r="J176" s="29"/>
      <c r="K176" s="30"/>
      <c r="L176" s="30"/>
      <c r="M176" s="30"/>
      <c r="N176" s="168"/>
      <c r="O176" s="162"/>
      <c r="P176" s="30"/>
      <c r="Q176" s="30"/>
      <c r="R176" s="30"/>
      <c r="S176" s="30"/>
      <c r="T176" s="23"/>
      <c r="U176" s="151"/>
      <c r="V176" s="10"/>
      <c r="W176" s="10"/>
      <c r="X176" s="10"/>
      <c r="Y176" s="23"/>
    </row>
    <row r="178" spans="3:6" x14ac:dyDescent="0.25">
      <c r="C178" s="32"/>
      <c r="F178" s="341"/>
    </row>
    <row r="179" spans="3:6" x14ac:dyDescent="0.25">
      <c r="C179" s="32"/>
      <c r="F179" s="75"/>
    </row>
    <row r="180" spans="3:6" x14ac:dyDescent="0.25">
      <c r="C180" s="32"/>
    </row>
    <row r="181" spans="3:6" x14ac:dyDescent="0.25">
      <c r="C181" s="32"/>
    </row>
    <row r="182" spans="3:6" x14ac:dyDescent="0.25">
      <c r="C182" s="32"/>
    </row>
  </sheetData>
  <mergeCells count="68">
    <mergeCell ref="E176:H176"/>
    <mergeCell ref="P175:S175"/>
    <mergeCell ref="E175:I175"/>
    <mergeCell ref="B9:Y9"/>
    <mergeCell ref="B8:Y8"/>
    <mergeCell ref="B17:B19"/>
    <mergeCell ref="X18:X19"/>
    <mergeCell ref="Y18:Y19"/>
    <mergeCell ref="G18:G19"/>
    <mergeCell ref="K175:L175"/>
    <mergeCell ref="O18:O19"/>
    <mergeCell ref="H18:H19"/>
    <mergeCell ref="I18:I19"/>
    <mergeCell ref="F17:K17"/>
    <mergeCell ref="B11:Y11"/>
    <mergeCell ref="W175:Y175"/>
    <mergeCell ref="X2:Y2"/>
    <mergeCell ref="B13:C13"/>
    <mergeCell ref="D12:D14"/>
    <mergeCell ref="W165:Y165"/>
    <mergeCell ref="J18:J19"/>
    <mergeCell ref="O165:V165"/>
    <mergeCell ref="B15:Y15"/>
    <mergeCell ref="L18:L19"/>
    <mergeCell ref="M18:M19"/>
    <mergeCell ref="S164:Y164"/>
    <mergeCell ref="B3:Y3"/>
    <mergeCell ref="B4:Y4"/>
    <mergeCell ref="B5:Y5"/>
    <mergeCell ref="B6:Y6"/>
    <mergeCell ref="B10:Y10"/>
    <mergeCell ref="N18:N19"/>
    <mergeCell ref="Z170:Z174"/>
    <mergeCell ref="C17:C19"/>
    <mergeCell ref="D17:D19"/>
    <mergeCell ref="E17:E19"/>
    <mergeCell ref="F18:F19"/>
    <mergeCell ref="Q18:Q19"/>
    <mergeCell ref="K18:K19"/>
    <mergeCell ref="V18:V19"/>
    <mergeCell ref="W18:W19"/>
    <mergeCell ref="C164:G164"/>
    <mergeCell ref="S17:S19"/>
    <mergeCell ref="P18:P19"/>
    <mergeCell ref="E174:I174"/>
    <mergeCell ref="Q168:S168"/>
    <mergeCell ref="T17:T19"/>
    <mergeCell ref="R17:R19"/>
    <mergeCell ref="W13:Y13"/>
    <mergeCell ref="L17:Q17"/>
    <mergeCell ref="P171:T172"/>
    <mergeCell ref="V168:X168"/>
    <mergeCell ref="P174:S174"/>
    <mergeCell ref="V169:X169"/>
    <mergeCell ref="Q169:S169"/>
    <mergeCell ref="U17:U19"/>
    <mergeCell ref="V17:Y17"/>
    <mergeCell ref="D171:K172"/>
    <mergeCell ref="C168:D168"/>
    <mergeCell ref="K174:L174"/>
    <mergeCell ref="W172:Y172"/>
    <mergeCell ref="W173:Y173"/>
    <mergeCell ref="W174:Y174"/>
    <mergeCell ref="C169:D169"/>
    <mergeCell ref="H168:K168"/>
    <mergeCell ref="H169:K169"/>
    <mergeCell ref="L171:N172"/>
    <mergeCell ref="C171:C172"/>
  </mergeCells>
  <phoneticPr fontId="0" type="noConversion"/>
  <conditionalFormatting sqref="S21:T161">
    <cfRule type="cellIs" dxfId="15" priority="15" stopIfTrue="1" operator="equal">
      <formula>2500</formula>
    </cfRule>
  </conditionalFormatting>
  <printOptions horizontalCentered="1"/>
  <pageMargins left="0.39370078740157483" right="0.39370078740157483" top="0.39370078740157483" bottom="0.19685039370078741" header="0" footer="0"/>
  <pageSetup paperSize="14" scale="51" fitToHeight="0" orientation="landscape" r:id="rId1"/>
  <headerFooter alignWithMargins="0">
    <oddHeader>&amp;R
&amp;16Sheet &amp;"Times New Roman,Bold"&amp;U&amp;P&amp;"Times New Roman,Regular"&amp;U of &amp;"Times New Roman,Bold"&amp;U&amp;N&amp;"Times New Roman,Regular"&amp;U Sheet/s</oddHead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rgb="FF00B050"/>
    <pageSetUpPr fitToPage="1"/>
  </sheetPr>
  <dimension ref="A1:AG168"/>
  <sheetViews>
    <sheetView showWhiteSpace="0" topLeftCell="A15" zoomScale="55" zoomScaleNormal="55" zoomScaleSheetLayoutView="100" workbookViewId="0">
      <pane xSplit="7" ySplit="4" topLeftCell="H19" activePane="bottomRight" state="frozen"/>
      <selection activeCell="W40" sqref="W40:Y43"/>
      <selection pane="topRight" activeCell="W40" sqref="W40:Y43"/>
      <selection pane="bottomLeft" activeCell="W40" sqref="W40:Y43"/>
      <selection pane="bottomRight" activeCell="J27" sqref="J27"/>
    </sheetView>
  </sheetViews>
  <sheetFormatPr defaultRowHeight="30.75" x14ac:dyDescent="0.25"/>
  <cols>
    <col min="1" max="1" width="9.375" style="31" customWidth="1"/>
    <col min="2" max="2" width="6.75" style="4" customWidth="1"/>
    <col min="3" max="3" width="24.625" style="4" customWidth="1"/>
    <col min="4" max="4" width="12.875" style="4" customWidth="1"/>
    <col min="5" max="5" width="9.625" style="57" customWidth="1"/>
    <col min="6" max="6" width="10.875" style="4" customWidth="1"/>
    <col min="7" max="7" width="35.625" style="4" customWidth="1"/>
    <col min="8" max="12" width="10.625" style="4" customWidth="1"/>
    <col min="13" max="13" width="12.25" style="4" customWidth="1"/>
    <col min="14" max="17" width="10.625" style="4" customWidth="1"/>
    <col min="18" max="18" width="11.75" style="4" customWidth="1"/>
    <col min="19" max="19" width="11.25" style="4" customWidth="1"/>
    <col min="20" max="20" width="10.625" style="4" customWidth="1"/>
    <col min="21" max="21" width="10.75" style="4" customWidth="1"/>
    <col min="22" max="23" width="9.875" style="4" customWidth="1"/>
    <col min="24" max="24" width="11.125" style="4" customWidth="1"/>
    <col min="25" max="25" width="53.375" style="4" customWidth="1"/>
    <col min="26" max="26" width="51.625" style="4" customWidth="1"/>
    <col min="27" max="27" width="10.625" style="4" customWidth="1"/>
    <col min="28" max="28" width="11.25" style="4" customWidth="1"/>
    <col min="29" max="30" width="9.875" style="4" customWidth="1"/>
    <col min="31" max="31" width="11.5" style="4" customWidth="1"/>
    <col min="32" max="32" width="13.875" style="4" customWidth="1"/>
    <col min="33" max="33" width="10.375" style="4" bestFit="1" customWidth="1"/>
    <col min="34" max="16384" width="9" style="4"/>
  </cols>
  <sheetData>
    <row r="1" spans="1:33" ht="23.25" customHeight="1" x14ac:dyDescent="0.25">
      <c r="A1" s="98">
        <v>94</v>
      </c>
      <c r="F1" s="5"/>
      <c r="X1" s="5"/>
      <c r="Y1" s="5"/>
      <c r="AE1" s="5"/>
      <c r="AF1" s="3"/>
    </row>
    <row r="2" spans="1:33" ht="23.25" x14ac:dyDescent="0.25">
      <c r="A2" s="98"/>
      <c r="F2" s="5"/>
      <c r="X2" s="5"/>
      <c r="Y2" s="5"/>
      <c r="AE2" s="864" t="s">
        <v>40</v>
      </c>
      <c r="AF2" s="864"/>
    </row>
    <row r="3" spans="1:33" ht="15.75" customHeight="1" x14ac:dyDescent="0.25">
      <c r="A3" s="98"/>
      <c r="B3" s="877" t="s">
        <v>42</v>
      </c>
      <c r="C3" s="877"/>
      <c r="D3" s="877"/>
      <c r="E3" s="877"/>
      <c r="F3" s="877"/>
      <c r="G3" s="877"/>
      <c r="H3" s="877"/>
      <c r="I3" s="877"/>
      <c r="J3" s="877"/>
      <c r="K3" s="877"/>
      <c r="L3" s="877"/>
      <c r="M3" s="877"/>
      <c r="N3" s="877"/>
      <c r="O3" s="877"/>
      <c r="P3" s="877"/>
      <c r="Q3" s="877"/>
      <c r="R3" s="877"/>
      <c r="S3" s="877"/>
      <c r="T3" s="877"/>
      <c r="U3" s="877"/>
      <c r="V3" s="877"/>
      <c r="W3" s="877"/>
      <c r="X3" s="877"/>
      <c r="Y3" s="877"/>
      <c r="Z3" s="877"/>
      <c r="AA3" s="877"/>
      <c r="AB3" s="877"/>
      <c r="AC3" s="877"/>
      <c r="AD3" s="877"/>
      <c r="AE3" s="877"/>
      <c r="AF3" s="877"/>
    </row>
    <row r="4" spans="1:33" ht="15.75" customHeight="1" x14ac:dyDescent="0.25">
      <c r="A4" s="98"/>
      <c r="B4" s="878" t="s">
        <v>43</v>
      </c>
      <c r="C4" s="878"/>
      <c r="D4" s="878"/>
      <c r="E4" s="878"/>
      <c r="F4" s="878"/>
      <c r="G4" s="878"/>
      <c r="H4" s="878"/>
      <c r="I4" s="878"/>
      <c r="J4" s="878"/>
      <c r="K4" s="878"/>
      <c r="L4" s="878"/>
      <c r="M4" s="878"/>
      <c r="N4" s="878"/>
      <c r="O4" s="878"/>
      <c r="P4" s="878"/>
      <c r="Q4" s="878"/>
      <c r="R4" s="878"/>
      <c r="S4" s="878"/>
      <c r="T4" s="878"/>
      <c r="U4" s="878"/>
      <c r="V4" s="878"/>
      <c r="W4" s="878"/>
      <c r="X4" s="878"/>
      <c r="Y4" s="878"/>
      <c r="Z4" s="878"/>
      <c r="AA4" s="878"/>
      <c r="AB4" s="878"/>
      <c r="AC4" s="878"/>
      <c r="AD4" s="878"/>
      <c r="AE4" s="878"/>
      <c r="AF4" s="878"/>
    </row>
    <row r="5" spans="1:33" ht="15.75" customHeight="1" x14ac:dyDescent="0.25">
      <c r="A5" s="98"/>
      <c r="B5" s="878" t="s">
        <v>44</v>
      </c>
      <c r="C5" s="878"/>
      <c r="D5" s="878"/>
      <c r="E5" s="878"/>
      <c r="F5" s="878"/>
      <c r="G5" s="878"/>
      <c r="H5" s="878"/>
      <c r="I5" s="878"/>
      <c r="J5" s="878"/>
      <c r="K5" s="878"/>
      <c r="L5" s="878"/>
      <c r="M5" s="878"/>
      <c r="N5" s="878"/>
      <c r="O5" s="878"/>
      <c r="P5" s="878"/>
      <c r="Q5" s="878"/>
      <c r="R5" s="878"/>
      <c r="S5" s="878"/>
      <c r="T5" s="878"/>
      <c r="U5" s="878"/>
      <c r="V5" s="878"/>
      <c r="W5" s="878"/>
      <c r="X5" s="878"/>
      <c r="Y5" s="878"/>
      <c r="Z5" s="878"/>
      <c r="AA5" s="878"/>
      <c r="AB5" s="878"/>
      <c r="AC5" s="878"/>
      <c r="AD5" s="878"/>
      <c r="AE5" s="878"/>
      <c r="AF5" s="878"/>
    </row>
    <row r="6" spans="1:33" ht="15.75" customHeight="1" x14ac:dyDescent="0.25">
      <c r="A6" s="98"/>
      <c r="B6" s="877" t="s">
        <v>45</v>
      </c>
      <c r="C6" s="877"/>
      <c r="D6" s="877"/>
      <c r="E6" s="877"/>
      <c r="F6" s="877"/>
      <c r="G6" s="877"/>
      <c r="H6" s="877"/>
      <c r="I6" s="877"/>
      <c r="J6" s="877"/>
      <c r="K6" s="877"/>
      <c r="L6" s="877"/>
      <c r="M6" s="877"/>
      <c r="N6" s="877"/>
      <c r="O6" s="877"/>
      <c r="P6" s="877"/>
      <c r="Q6" s="877"/>
      <c r="R6" s="877"/>
      <c r="S6" s="877"/>
      <c r="T6" s="877"/>
      <c r="U6" s="877"/>
      <c r="V6" s="877"/>
      <c r="W6" s="877"/>
      <c r="X6" s="877"/>
      <c r="Y6" s="877"/>
      <c r="Z6" s="877"/>
      <c r="AA6" s="877"/>
      <c r="AB6" s="877"/>
      <c r="AC6" s="877"/>
      <c r="AD6" s="877"/>
      <c r="AE6" s="877"/>
      <c r="AF6" s="877"/>
    </row>
    <row r="7" spans="1:33" ht="15.75" customHeight="1" x14ac:dyDescent="0.25">
      <c r="A7" s="98"/>
      <c r="F7" s="2"/>
      <c r="X7" s="2"/>
      <c r="Y7" s="2"/>
      <c r="AE7" s="2"/>
      <c r="AF7" s="2"/>
    </row>
    <row r="8" spans="1:33" ht="22.5" x14ac:dyDescent="0.25">
      <c r="A8" s="98"/>
      <c r="B8" s="882" t="s">
        <v>64</v>
      </c>
      <c r="C8" s="882"/>
      <c r="D8" s="882"/>
      <c r="E8" s="882"/>
      <c r="F8" s="882"/>
      <c r="G8" s="882"/>
      <c r="H8" s="882"/>
      <c r="I8" s="882"/>
      <c r="J8" s="882"/>
      <c r="K8" s="882"/>
      <c r="L8" s="882"/>
      <c r="M8" s="882"/>
      <c r="N8" s="882"/>
      <c r="O8" s="882"/>
      <c r="P8" s="882"/>
      <c r="Q8" s="882"/>
      <c r="R8" s="882"/>
      <c r="S8" s="882"/>
      <c r="T8" s="882"/>
      <c r="U8" s="882"/>
      <c r="V8" s="882"/>
      <c r="W8" s="882"/>
      <c r="X8" s="882"/>
      <c r="Y8" s="882"/>
      <c r="Z8" s="882"/>
      <c r="AA8" s="882"/>
      <c r="AB8" s="882"/>
      <c r="AC8" s="882"/>
      <c r="AD8" s="882"/>
      <c r="AE8" s="882"/>
      <c r="AF8" s="882"/>
    </row>
    <row r="9" spans="1:33" ht="20.25" x14ac:dyDescent="0.25">
      <c r="A9" s="98"/>
      <c r="B9" s="867" t="str">
        <f>'GEN.AD - PAY'!B9</f>
        <v>Regular Employees - GENERAL ADMINISTRATION</v>
      </c>
      <c r="C9" s="867"/>
      <c r="D9" s="867"/>
      <c r="E9" s="867"/>
      <c r="F9" s="867"/>
      <c r="G9" s="867"/>
      <c r="H9" s="867"/>
      <c r="I9" s="867"/>
      <c r="J9" s="867"/>
      <c r="K9" s="867"/>
      <c r="L9" s="867"/>
      <c r="M9" s="867"/>
      <c r="N9" s="867"/>
      <c r="O9" s="867"/>
      <c r="P9" s="867"/>
      <c r="Q9" s="867"/>
      <c r="R9" s="867"/>
      <c r="S9" s="867"/>
      <c r="T9" s="867"/>
      <c r="U9" s="867"/>
      <c r="V9" s="867"/>
      <c r="W9" s="867"/>
      <c r="X9" s="867"/>
      <c r="Y9" s="867"/>
      <c r="Z9" s="867"/>
      <c r="AA9" s="867"/>
      <c r="AB9" s="867"/>
      <c r="AC9" s="867"/>
      <c r="AD9" s="867"/>
      <c r="AE9" s="867"/>
      <c r="AF9" s="867"/>
    </row>
    <row r="10" spans="1:33" ht="20.25" x14ac:dyDescent="0.25">
      <c r="A10" s="98"/>
      <c r="B10" s="879" t="str">
        <f>'GEN.AD - PAY'!B10</f>
        <v>For the period JANUARY 1-31, 2026</v>
      </c>
      <c r="C10" s="879"/>
      <c r="D10" s="879"/>
      <c r="E10" s="879"/>
      <c r="F10" s="879"/>
      <c r="G10" s="879"/>
      <c r="H10" s="879"/>
      <c r="I10" s="879"/>
      <c r="J10" s="879"/>
      <c r="K10" s="879"/>
      <c r="L10" s="879"/>
      <c r="M10" s="879"/>
      <c r="N10" s="879"/>
      <c r="O10" s="879"/>
      <c r="P10" s="879"/>
      <c r="Q10" s="879"/>
      <c r="R10" s="879"/>
      <c r="S10" s="879"/>
      <c r="T10" s="879"/>
      <c r="U10" s="879"/>
      <c r="V10" s="879"/>
      <c r="W10" s="879"/>
      <c r="X10" s="879"/>
      <c r="Y10" s="879"/>
      <c r="Z10" s="879"/>
      <c r="AA10" s="879"/>
      <c r="AB10" s="879"/>
      <c r="AC10" s="879"/>
      <c r="AD10" s="879"/>
      <c r="AE10" s="879"/>
      <c r="AF10" s="879"/>
    </row>
    <row r="11" spans="1:33" ht="15.75" x14ac:dyDescent="0.25">
      <c r="A11" s="98"/>
      <c r="B11" s="9"/>
      <c r="C11" s="6"/>
      <c r="D11" s="866" t="str">
        <f>+'GEN.AD - PAY'!D12</f>
        <v>01</v>
      </c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</row>
    <row r="12" spans="1:33" s="8" customFormat="1" ht="24.95" customHeight="1" x14ac:dyDescent="0.25">
      <c r="A12" s="98"/>
      <c r="B12" s="865" t="s">
        <v>88</v>
      </c>
      <c r="C12" s="865"/>
      <c r="D12" s="867"/>
      <c r="E12" s="178"/>
      <c r="F12" s="169"/>
      <c r="G12" s="169"/>
      <c r="H12" s="169"/>
      <c r="I12" s="169"/>
      <c r="J12" s="169"/>
      <c r="K12" s="169"/>
      <c r="L12" s="169"/>
      <c r="M12" s="169"/>
      <c r="N12" s="169"/>
      <c r="O12" s="169"/>
      <c r="P12" s="169"/>
      <c r="Q12" s="169"/>
      <c r="R12" s="9"/>
      <c r="S12" s="9"/>
      <c r="T12" s="9"/>
      <c r="U12" s="9"/>
      <c r="AA12" s="7"/>
      <c r="AB12" s="169" t="s">
        <v>103</v>
      </c>
      <c r="AC12" s="169"/>
      <c r="AD12" s="832" t="str">
        <f>'GEN.AD - PAY'!W13</f>
        <v>2026-01-014</v>
      </c>
      <c r="AE12" s="832"/>
      <c r="AF12" s="832"/>
    </row>
    <row r="13" spans="1:33" s="8" customFormat="1" ht="24.95" customHeight="1" x14ac:dyDescent="0.25">
      <c r="A13" s="98"/>
      <c r="B13" s="9"/>
      <c r="C13" s="9"/>
      <c r="D13" s="867"/>
      <c r="E13" s="6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AB13" s="169"/>
      <c r="AC13" s="169"/>
      <c r="AD13" s="9"/>
      <c r="AE13" s="9"/>
      <c r="AF13" s="9"/>
    </row>
    <row r="14" spans="1:33" s="8" customFormat="1" ht="15.75" customHeight="1" x14ac:dyDescent="0.25">
      <c r="A14" s="98"/>
      <c r="B14" s="872"/>
      <c r="C14" s="872"/>
      <c r="D14" s="872"/>
      <c r="E14" s="872"/>
      <c r="F14" s="872"/>
      <c r="G14" s="872"/>
      <c r="H14" s="872"/>
      <c r="I14" s="872"/>
      <c r="J14" s="872"/>
      <c r="K14" s="872"/>
      <c r="L14" s="872"/>
      <c r="M14" s="872"/>
      <c r="N14" s="872"/>
      <c r="O14" s="872"/>
      <c r="P14" s="872"/>
      <c r="Q14" s="872"/>
      <c r="R14" s="872"/>
      <c r="S14" s="872"/>
      <c r="T14" s="872"/>
      <c r="U14" s="872"/>
      <c r="V14" s="872"/>
      <c r="W14" s="872"/>
      <c r="X14" s="872"/>
      <c r="Y14" s="872"/>
      <c r="Z14" s="872"/>
    </row>
    <row r="15" spans="1:33" ht="9" customHeight="1" thickBot="1" x14ac:dyDescent="0.3">
      <c r="A15" s="98"/>
      <c r="B15" s="9"/>
      <c r="C15" s="10"/>
      <c r="D15" s="10"/>
      <c r="E15" s="54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9"/>
      <c r="T15" s="9"/>
      <c r="U15" s="9"/>
      <c r="V15" s="9"/>
      <c r="W15" s="9"/>
      <c r="X15" s="10"/>
      <c r="Y15" s="10"/>
      <c r="Z15" s="9"/>
      <c r="AA15" s="9"/>
      <c r="AB15" s="9"/>
      <c r="AC15" s="9"/>
      <c r="AD15" s="9"/>
      <c r="AE15" s="10"/>
      <c r="AF15" s="10"/>
    </row>
    <row r="16" spans="1:33" ht="16.5" customHeight="1" thickBot="1" x14ac:dyDescent="0.3">
      <c r="A16" s="98"/>
      <c r="B16" s="802" t="s">
        <v>6</v>
      </c>
      <c r="C16" s="777" t="s">
        <v>1</v>
      </c>
      <c r="D16" s="777" t="s">
        <v>2</v>
      </c>
      <c r="E16" s="802" t="s">
        <v>14</v>
      </c>
      <c r="F16" s="904" t="s">
        <v>54</v>
      </c>
      <c r="G16" s="841" t="s">
        <v>66</v>
      </c>
      <c r="H16" s="833"/>
      <c r="I16" s="833"/>
      <c r="J16" s="833"/>
      <c r="K16" s="833"/>
      <c r="L16" s="833"/>
      <c r="M16" s="833"/>
      <c r="N16" s="833"/>
      <c r="O16" s="833"/>
      <c r="P16" s="833"/>
      <c r="Q16" s="833"/>
      <c r="R16" s="834"/>
      <c r="S16" s="841" t="s">
        <v>63</v>
      </c>
      <c r="T16" s="833"/>
      <c r="U16" s="833"/>
      <c r="V16" s="833"/>
      <c r="W16" s="833"/>
      <c r="X16" s="834"/>
      <c r="Y16" s="904" t="s">
        <v>57</v>
      </c>
      <c r="Z16" s="841" t="s">
        <v>80</v>
      </c>
      <c r="AA16" s="833"/>
      <c r="AB16" s="833"/>
      <c r="AC16" s="833"/>
      <c r="AD16" s="833"/>
      <c r="AE16" s="834"/>
      <c r="AF16" s="802" t="s">
        <v>87</v>
      </c>
      <c r="AG16" s="11"/>
    </row>
    <row r="17" spans="1:33" ht="19.5" customHeight="1" x14ac:dyDescent="0.25">
      <c r="A17" s="98"/>
      <c r="B17" s="803"/>
      <c r="C17" s="778"/>
      <c r="D17" s="778"/>
      <c r="E17" s="803"/>
      <c r="F17" s="905"/>
      <c r="G17" s="911" t="s">
        <v>65</v>
      </c>
      <c r="H17" s="894" t="s">
        <v>110</v>
      </c>
      <c r="I17" s="887" t="s">
        <v>67</v>
      </c>
      <c r="J17" s="892" t="s">
        <v>68</v>
      </c>
      <c r="K17" s="896" t="s">
        <v>69</v>
      </c>
      <c r="L17" s="896" t="s">
        <v>70</v>
      </c>
      <c r="M17" s="896" t="s">
        <v>71</v>
      </c>
      <c r="N17" s="896" t="s">
        <v>72</v>
      </c>
      <c r="O17" s="894" t="s">
        <v>73</v>
      </c>
      <c r="P17" s="894" t="s">
        <v>111</v>
      </c>
      <c r="Q17" s="894" t="s">
        <v>78</v>
      </c>
      <c r="R17" s="909" t="s">
        <v>74</v>
      </c>
      <c r="S17" s="844" t="s">
        <v>75</v>
      </c>
      <c r="T17" s="913" t="s">
        <v>76</v>
      </c>
      <c r="U17" s="896" t="s">
        <v>71</v>
      </c>
      <c r="V17" s="896" t="s">
        <v>77</v>
      </c>
      <c r="W17" s="907" t="s">
        <v>78</v>
      </c>
      <c r="X17" s="902" t="s">
        <v>79</v>
      </c>
      <c r="Y17" s="905"/>
      <c r="Z17" s="898" t="s">
        <v>81</v>
      </c>
      <c r="AA17" s="900" t="s">
        <v>82</v>
      </c>
      <c r="AB17" s="896" t="s">
        <v>83</v>
      </c>
      <c r="AC17" s="892" t="s">
        <v>84</v>
      </c>
      <c r="AD17" s="907" t="s">
        <v>86</v>
      </c>
      <c r="AE17" s="915" t="s">
        <v>85</v>
      </c>
      <c r="AF17" s="803"/>
      <c r="AG17" s="11"/>
    </row>
    <row r="18" spans="1:33" ht="26.25" customHeight="1" thickBot="1" x14ac:dyDescent="0.3">
      <c r="A18" s="98"/>
      <c r="B18" s="803"/>
      <c r="C18" s="778"/>
      <c r="D18" s="778"/>
      <c r="E18" s="803"/>
      <c r="F18" s="906"/>
      <c r="G18" s="912"/>
      <c r="H18" s="895"/>
      <c r="I18" s="888"/>
      <c r="J18" s="893"/>
      <c r="K18" s="897"/>
      <c r="L18" s="897"/>
      <c r="M18" s="897"/>
      <c r="N18" s="897"/>
      <c r="O18" s="895"/>
      <c r="P18" s="895"/>
      <c r="Q18" s="895"/>
      <c r="R18" s="910"/>
      <c r="S18" s="845"/>
      <c r="T18" s="914"/>
      <c r="U18" s="897"/>
      <c r="V18" s="897"/>
      <c r="W18" s="908"/>
      <c r="X18" s="903"/>
      <c r="Y18" s="906"/>
      <c r="Z18" s="899"/>
      <c r="AA18" s="901"/>
      <c r="AB18" s="897"/>
      <c r="AC18" s="893"/>
      <c r="AD18" s="908"/>
      <c r="AE18" s="916"/>
      <c r="AF18" s="804"/>
      <c r="AG18" s="11"/>
    </row>
    <row r="19" spans="1:33" ht="18.75" customHeight="1" x14ac:dyDescent="0.25">
      <c r="A19" s="98"/>
      <c r="B19" s="12"/>
      <c r="C19" s="12"/>
      <c r="D19" s="12"/>
      <c r="E19" s="55"/>
      <c r="F19" s="12"/>
      <c r="G19" s="46"/>
      <c r="H19" s="173"/>
      <c r="I19" s="173"/>
      <c r="J19" s="173"/>
      <c r="K19" s="173"/>
      <c r="L19" s="173"/>
      <c r="M19" s="173"/>
      <c r="N19" s="173"/>
      <c r="O19" s="173"/>
      <c r="P19" s="173"/>
      <c r="Q19" s="173"/>
      <c r="R19" s="43"/>
      <c r="S19" s="174"/>
      <c r="T19" s="175"/>
      <c r="U19" s="173"/>
      <c r="V19" s="173"/>
      <c r="W19" s="173"/>
      <c r="X19" s="176"/>
      <c r="Y19" s="12"/>
      <c r="Z19" s="174"/>
      <c r="AA19" s="175"/>
      <c r="AB19" s="173"/>
      <c r="AC19" s="173"/>
      <c r="AD19" s="173"/>
      <c r="AE19" s="177"/>
      <c r="AF19" s="43"/>
    </row>
    <row r="20" spans="1:33" ht="18.75" customHeight="1" x14ac:dyDescent="0.25">
      <c r="A20" s="98"/>
      <c r="B20" s="33">
        <v>1</v>
      </c>
      <c r="C20" s="72">
        <f>'GEN.AD - PAY'!C21</f>
        <v>0</v>
      </c>
      <c r="D20" s="72" t="e">
        <f>'GEN.AD - PAY'!D21</f>
        <v>#N/A</v>
      </c>
      <c r="E20" s="306">
        <f>'GEN.AD - PAY'!E21</f>
        <v>0</v>
      </c>
      <c r="F20" s="49">
        <f>'GEN.AD - PAY'!L21</f>
        <v>0</v>
      </c>
      <c r="G20" s="36">
        <f>ROUND('GEN.AD - PAY'!I21*0.09,2)</f>
        <v>0</v>
      </c>
      <c r="H20" s="88"/>
      <c r="I20" s="88"/>
      <c r="J20" s="88"/>
      <c r="K20" s="88"/>
      <c r="L20" s="88"/>
      <c r="M20" s="88"/>
      <c r="N20" s="88"/>
      <c r="O20" s="88"/>
      <c r="P20" s="88"/>
      <c r="Q20" s="88"/>
      <c r="R20" s="41">
        <f>SUM(G20:Q20)</f>
        <v>0</v>
      </c>
      <c r="S20" s="86"/>
      <c r="T20" s="87"/>
      <c r="U20" s="88"/>
      <c r="V20" s="88"/>
      <c r="W20" s="88"/>
      <c r="X20" s="38">
        <f>SUM(S20:W20)</f>
        <v>0</v>
      </c>
      <c r="Y20" s="49">
        <f>MIN(ROUNDDOWN('GEN.AD - PAY'!I21*0.05/2,2),2500)</f>
        <v>0</v>
      </c>
      <c r="Z20" s="86"/>
      <c r="AA20" s="87"/>
      <c r="AB20" s="88"/>
      <c r="AC20" s="88"/>
      <c r="AD20" s="88"/>
      <c r="AE20" s="35">
        <f>SUM(Z20:AD20)</f>
        <v>0</v>
      </c>
      <c r="AF20" s="62">
        <f>SUM(F20,R20,X20,Y20,AE20)</f>
        <v>0</v>
      </c>
    </row>
    <row r="21" spans="1:33" ht="18.75" customHeight="1" x14ac:dyDescent="0.25">
      <c r="A21" s="98"/>
      <c r="B21" s="33">
        <f t="shared" ref="B21:B39" si="0">+B20+1</f>
        <v>2</v>
      </c>
      <c r="C21" s="72">
        <f>'GEN.AD - PAY'!C22</f>
        <v>0</v>
      </c>
      <c r="D21" s="72" t="e">
        <f>'GEN.AD - PAY'!D22</f>
        <v>#N/A</v>
      </c>
      <c r="E21" s="306">
        <f>'GEN.AD - PAY'!E22</f>
        <v>0</v>
      </c>
      <c r="F21" s="49">
        <f>'GEN.AD - PAY'!L22</f>
        <v>0</v>
      </c>
      <c r="G21" s="36">
        <f>ROUND('GEN.AD - PAY'!I22*0.09,2)</f>
        <v>0</v>
      </c>
      <c r="H21" s="88"/>
      <c r="I21" s="88"/>
      <c r="J21" s="88"/>
      <c r="K21" s="88"/>
      <c r="L21" s="88"/>
      <c r="M21" s="88"/>
      <c r="N21" s="88"/>
      <c r="O21" s="88"/>
      <c r="P21" s="88"/>
      <c r="Q21" s="88"/>
      <c r="R21" s="41">
        <f>SUM(G21:Q21)</f>
        <v>0</v>
      </c>
      <c r="S21" s="86"/>
      <c r="T21" s="87"/>
      <c r="U21" s="88"/>
      <c r="V21" s="88"/>
      <c r="W21" s="88"/>
      <c r="X21" s="38">
        <f>SUM(S21:W21)</f>
        <v>0</v>
      </c>
      <c r="Y21" s="49">
        <f>MIN(ROUNDDOWN('GEN.AD - PAY'!I22*0.05/2,2),2500)</f>
        <v>0</v>
      </c>
      <c r="Z21" s="86"/>
      <c r="AA21" s="87"/>
      <c r="AB21" s="88"/>
      <c r="AC21" s="88"/>
      <c r="AD21" s="88"/>
      <c r="AE21" s="35">
        <f>SUM(Z21:AD21)</f>
        <v>0</v>
      </c>
      <c r="AF21" s="62">
        <f>SUM(F21,R21,X21,Y21,AE21)</f>
        <v>0</v>
      </c>
    </row>
    <row r="22" spans="1:33" ht="18.75" customHeight="1" x14ac:dyDescent="0.25">
      <c r="A22" s="98"/>
      <c r="B22" s="33">
        <f t="shared" si="0"/>
        <v>3</v>
      </c>
      <c r="C22" s="72">
        <f>'GEN.AD - PAY'!C23</f>
        <v>0</v>
      </c>
      <c r="D22" s="72" t="e">
        <f>'GEN.AD - PAY'!D23</f>
        <v>#N/A</v>
      </c>
      <c r="E22" s="306">
        <f>'GEN.AD - PAY'!E23</f>
        <v>0</v>
      </c>
      <c r="F22" s="49">
        <f>'GEN.AD - PAY'!L23</f>
        <v>0</v>
      </c>
      <c r="G22" s="36">
        <f>ROUND('GEN.AD - PAY'!I23*0.09,2)</f>
        <v>0</v>
      </c>
      <c r="H22" s="88"/>
      <c r="I22" s="88"/>
      <c r="J22" s="88"/>
      <c r="K22" s="88"/>
      <c r="L22" s="88"/>
      <c r="M22" s="88"/>
      <c r="N22" s="88"/>
      <c r="O22" s="88"/>
      <c r="P22" s="88"/>
      <c r="Q22" s="88"/>
      <c r="R22" s="41">
        <f t="shared" ref="R22:R85" si="1">SUM(G22:Q22)</f>
        <v>0</v>
      </c>
      <c r="S22" s="86"/>
      <c r="T22" s="87"/>
      <c r="U22" s="88"/>
      <c r="V22" s="88"/>
      <c r="W22" s="88"/>
      <c r="X22" s="38">
        <f t="shared" ref="X22:X85" si="2">SUM(S22:W22)</f>
        <v>0</v>
      </c>
      <c r="Y22" s="49">
        <f>MIN(ROUNDDOWN('GEN.AD - PAY'!I23*0.05/2,2),2500)</f>
        <v>0</v>
      </c>
      <c r="Z22" s="86"/>
      <c r="AA22" s="87"/>
      <c r="AB22" s="88"/>
      <c r="AC22" s="88"/>
      <c r="AD22" s="88"/>
      <c r="AE22" s="35">
        <f t="shared" ref="AE22:AE85" si="3">SUM(Z22:AD22)</f>
        <v>0</v>
      </c>
      <c r="AF22" s="62">
        <f t="shared" ref="AF22:AF85" si="4">SUM(F22,R22,X22,Y22,AE22)</f>
        <v>0</v>
      </c>
    </row>
    <row r="23" spans="1:33" ht="18.75" customHeight="1" x14ac:dyDescent="0.25">
      <c r="A23" s="98"/>
      <c r="B23" s="33">
        <f t="shared" si="0"/>
        <v>4</v>
      </c>
      <c r="C23" s="72">
        <f>'GEN.AD - PAY'!C24</f>
        <v>0</v>
      </c>
      <c r="D23" s="72" t="e">
        <f>'GEN.AD - PAY'!D24</f>
        <v>#N/A</v>
      </c>
      <c r="E23" s="306">
        <f>'GEN.AD - PAY'!E24</f>
        <v>0</v>
      </c>
      <c r="F23" s="49">
        <f>'GEN.AD - PAY'!L24</f>
        <v>0</v>
      </c>
      <c r="G23" s="36">
        <f>ROUND('GEN.AD - PAY'!I24*0.09,2)</f>
        <v>0</v>
      </c>
      <c r="H23" s="88"/>
      <c r="I23" s="88"/>
      <c r="J23" s="88"/>
      <c r="K23" s="88"/>
      <c r="L23" s="88"/>
      <c r="M23" s="88"/>
      <c r="N23" s="88"/>
      <c r="O23" s="88"/>
      <c r="P23" s="88"/>
      <c r="Q23" s="88"/>
      <c r="R23" s="41">
        <f t="shared" si="1"/>
        <v>0</v>
      </c>
      <c r="S23" s="86"/>
      <c r="T23" s="87"/>
      <c r="U23" s="88"/>
      <c r="V23" s="88"/>
      <c r="W23" s="88"/>
      <c r="X23" s="38">
        <f t="shared" si="2"/>
        <v>0</v>
      </c>
      <c r="Y23" s="49">
        <f>MIN(ROUNDDOWN('GEN.AD - PAY'!I24*0.05/2,2),2500)</f>
        <v>0</v>
      </c>
      <c r="Z23" s="86"/>
      <c r="AA23" s="87"/>
      <c r="AB23" s="88"/>
      <c r="AC23" s="88"/>
      <c r="AD23" s="88"/>
      <c r="AE23" s="35">
        <f t="shared" si="3"/>
        <v>0</v>
      </c>
      <c r="AF23" s="62">
        <f t="shared" si="4"/>
        <v>0</v>
      </c>
    </row>
    <row r="24" spans="1:33" ht="18.75" customHeight="1" x14ac:dyDescent="0.25">
      <c r="A24" s="98"/>
      <c r="B24" s="33">
        <f t="shared" si="0"/>
        <v>5</v>
      </c>
      <c r="C24" s="72">
        <f>'GEN.AD - PAY'!C25</f>
        <v>0</v>
      </c>
      <c r="D24" s="72" t="e">
        <f>'GEN.AD - PAY'!D25</f>
        <v>#N/A</v>
      </c>
      <c r="E24" s="306">
        <f>'GEN.AD - PAY'!E25</f>
        <v>0</v>
      </c>
      <c r="F24" s="49">
        <f>'GEN.AD - PAY'!L25</f>
        <v>0</v>
      </c>
      <c r="G24" s="36">
        <f>ROUND('GEN.AD - PAY'!I25*0.09,2)</f>
        <v>0</v>
      </c>
      <c r="H24" s="88"/>
      <c r="I24" s="88"/>
      <c r="J24" s="88"/>
      <c r="K24" s="88"/>
      <c r="L24" s="88"/>
      <c r="M24" s="88"/>
      <c r="N24" s="88"/>
      <c r="O24" s="88"/>
      <c r="P24" s="88"/>
      <c r="Q24" s="88"/>
      <c r="R24" s="41">
        <f t="shared" si="1"/>
        <v>0</v>
      </c>
      <c r="S24" s="86"/>
      <c r="T24" s="87"/>
      <c r="U24" s="88"/>
      <c r="V24" s="88"/>
      <c r="W24" s="88"/>
      <c r="X24" s="38">
        <f t="shared" si="2"/>
        <v>0</v>
      </c>
      <c r="Y24" s="49">
        <f>MIN(ROUNDDOWN('GEN.AD - PAY'!I25*0.05/2,2),2500)</f>
        <v>0</v>
      </c>
      <c r="Z24" s="86"/>
      <c r="AA24" s="87"/>
      <c r="AB24" s="88"/>
      <c r="AC24" s="88"/>
      <c r="AD24" s="88"/>
      <c r="AE24" s="35">
        <f t="shared" si="3"/>
        <v>0</v>
      </c>
      <c r="AF24" s="62">
        <f t="shared" si="4"/>
        <v>0</v>
      </c>
    </row>
    <row r="25" spans="1:33" ht="18.75" customHeight="1" x14ac:dyDescent="0.25">
      <c r="A25" s="98"/>
      <c r="B25" s="33">
        <f t="shared" si="0"/>
        <v>6</v>
      </c>
      <c r="C25" s="72">
        <f>'GEN.AD - PAY'!C26</f>
        <v>0</v>
      </c>
      <c r="D25" s="72" t="e">
        <f>'GEN.AD - PAY'!D26</f>
        <v>#N/A</v>
      </c>
      <c r="E25" s="306">
        <f>'GEN.AD - PAY'!E26</f>
        <v>0</v>
      </c>
      <c r="F25" s="49">
        <f>'GEN.AD - PAY'!L26</f>
        <v>0</v>
      </c>
      <c r="G25" s="36">
        <f>ROUND('GEN.AD - PAY'!I26*0.09,2)</f>
        <v>0</v>
      </c>
      <c r="H25" s="88"/>
      <c r="I25" s="88"/>
      <c r="J25" s="88"/>
      <c r="K25" s="88"/>
      <c r="L25" s="88"/>
      <c r="M25" s="88"/>
      <c r="N25" s="88"/>
      <c r="O25" s="88"/>
      <c r="P25" s="88"/>
      <c r="Q25" s="88"/>
      <c r="R25" s="41">
        <f t="shared" si="1"/>
        <v>0</v>
      </c>
      <c r="S25" s="86"/>
      <c r="T25" s="87"/>
      <c r="U25" s="88"/>
      <c r="V25" s="88"/>
      <c r="W25" s="88"/>
      <c r="X25" s="38">
        <f t="shared" si="2"/>
        <v>0</v>
      </c>
      <c r="Y25" s="49">
        <f>MIN(ROUNDDOWN('GEN.AD - PAY'!I26*0.05/2,2),2500)</f>
        <v>0</v>
      </c>
      <c r="Z25" s="86"/>
      <c r="AA25" s="87"/>
      <c r="AB25" s="88"/>
      <c r="AC25" s="88"/>
      <c r="AD25" s="88"/>
      <c r="AE25" s="35">
        <f t="shared" si="3"/>
        <v>0</v>
      </c>
      <c r="AF25" s="62">
        <f t="shared" si="4"/>
        <v>0</v>
      </c>
    </row>
    <row r="26" spans="1:33" ht="18.75" customHeight="1" x14ac:dyDescent="0.25">
      <c r="A26" s="98"/>
      <c r="B26" s="33">
        <f t="shared" si="0"/>
        <v>7</v>
      </c>
      <c r="C26" s="72">
        <f>'GEN.AD - PAY'!C27</f>
        <v>0</v>
      </c>
      <c r="D26" s="72" t="e">
        <f>'GEN.AD - PAY'!D27</f>
        <v>#N/A</v>
      </c>
      <c r="E26" s="306">
        <f>'GEN.AD - PAY'!E27</f>
        <v>0</v>
      </c>
      <c r="F26" s="49">
        <f>'GEN.AD - PAY'!L27</f>
        <v>0</v>
      </c>
      <c r="G26" s="36">
        <f>ROUND('GEN.AD - PAY'!I27*0.09,2)</f>
        <v>0</v>
      </c>
      <c r="H26" s="88"/>
      <c r="I26" s="88"/>
      <c r="J26" s="88"/>
      <c r="K26" s="88"/>
      <c r="L26" s="88"/>
      <c r="M26" s="88"/>
      <c r="N26" s="88"/>
      <c r="O26" s="88"/>
      <c r="P26" s="88"/>
      <c r="Q26" s="88"/>
      <c r="R26" s="41">
        <f t="shared" si="1"/>
        <v>0</v>
      </c>
      <c r="S26" s="86"/>
      <c r="T26" s="87"/>
      <c r="U26" s="88"/>
      <c r="V26" s="88"/>
      <c r="W26" s="88"/>
      <c r="X26" s="38">
        <f t="shared" si="2"/>
        <v>0</v>
      </c>
      <c r="Y26" s="49">
        <f>MIN(ROUNDDOWN('GEN.AD - PAY'!I27*0.05/2,2),2500)</f>
        <v>0</v>
      </c>
      <c r="Z26" s="86"/>
      <c r="AA26" s="87"/>
      <c r="AB26" s="88"/>
      <c r="AC26" s="88"/>
      <c r="AD26" s="88"/>
      <c r="AE26" s="35">
        <f t="shared" si="3"/>
        <v>0</v>
      </c>
      <c r="AF26" s="62">
        <f t="shared" si="4"/>
        <v>0</v>
      </c>
    </row>
    <row r="27" spans="1:33" ht="18.75" customHeight="1" x14ac:dyDescent="0.25">
      <c r="A27" s="98"/>
      <c r="B27" s="33">
        <f t="shared" si="0"/>
        <v>8</v>
      </c>
      <c r="C27" s="72">
        <f>'GEN.AD - PAY'!C28</f>
        <v>0</v>
      </c>
      <c r="D27" s="72" t="e">
        <f>'GEN.AD - PAY'!D28</f>
        <v>#N/A</v>
      </c>
      <c r="E27" s="306">
        <f>'GEN.AD - PAY'!E28</f>
        <v>0</v>
      </c>
      <c r="F27" s="49">
        <f>'GEN.AD - PAY'!L28</f>
        <v>0</v>
      </c>
      <c r="G27" s="36">
        <f>ROUND('GEN.AD - PAY'!I28*0.09,2)</f>
        <v>0</v>
      </c>
      <c r="H27" s="88"/>
      <c r="I27" s="88"/>
      <c r="J27" s="88"/>
      <c r="K27" s="88"/>
      <c r="L27" s="88"/>
      <c r="M27" s="88"/>
      <c r="N27" s="88"/>
      <c r="O27" s="88"/>
      <c r="P27" s="88"/>
      <c r="Q27" s="88"/>
      <c r="R27" s="41">
        <f t="shared" si="1"/>
        <v>0</v>
      </c>
      <c r="S27" s="86"/>
      <c r="T27" s="87"/>
      <c r="U27" s="88"/>
      <c r="V27" s="88"/>
      <c r="W27" s="88"/>
      <c r="X27" s="38">
        <f t="shared" si="2"/>
        <v>0</v>
      </c>
      <c r="Y27" s="49">
        <f>MIN(ROUNDDOWN('GEN.AD - PAY'!I28*0.05/2,2),2500)</f>
        <v>0</v>
      </c>
      <c r="Z27" s="86"/>
      <c r="AA27" s="87"/>
      <c r="AB27" s="88"/>
      <c r="AC27" s="88"/>
      <c r="AD27" s="88"/>
      <c r="AE27" s="35">
        <f t="shared" si="3"/>
        <v>0</v>
      </c>
      <c r="AF27" s="62">
        <f t="shared" si="4"/>
        <v>0</v>
      </c>
    </row>
    <row r="28" spans="1:33" ht="18.75" customHeight="1" x14ac:dyDescent="0.25">
      <c r="A28" s="98"/>
      <c r="B28" s="33">
        <f t="shared" si="0"/>
        <v>9</v>
      </c>
      <c r="C28" s="72">
        <f>'GEN.AD - PAY'!C29</f>
        <v>0</v>
      </c>
      <c r="D28" s="72" t="e">
        <f>'GEN.AD - PAY'!D29</f>
        <v>#N/A</v>
      </c>
      <c r="E28" s="306">
        <f>'GEN.AD - PAY'!E29</f>
        <v>0</v>
      </c>
      <c r="F28" s="49">
        <f>'GEN.AD - PAY'!L29</f>
        <v>0</v>
      </c>
      <c r="G28" s="36">
        <f>ROUND('GEN.AD - PAY'!I29*0.09,2)</f>
        <v>0</v>
      </c>
      <c r="H28" s="88"/>
      <c r="I28" s="88"/>
      <c r="J28" s="88"/>
      <c r="K28" s="88"/>
      <c r="L28" s="88"/>
      <c r="M28" s="88"/>
      <c r="N28" s="88"/>
      <c r="O28" s="88"/>
      <c r="P28" s="88"/>
      <c r="Q28" s="88"/>
      <c r="R28" s="41">
        <f t="shared" si="1"/>
        <v>0</v>
      </c>
      <c r="S28" s="86"/>
      <c r="T28" s="87"/>
      <c r="U28" s="88"/>
      <c r="V28" s="88"/>
      <c r="W28" s="88"/>
      <c r="X28" s="38">
        <f t="shared" si="2"/>
        <v>0</v>
      </c>
      <c r="Y28" s="49">
        <f>MIN(ROUNDDOWN('GEN.AD - PAY'!I29*0.05/2,2),2500)</f>
        <v>0</v>
      </c>
      <c r="Z28" s="86"/>
      <c r="AA28" s="87"/>
      <c r="AB28" s="88"/>
      <c r="AC28" s="88"/>
      <c r="AD28" s="88"/>
      <c r="AE28" s="35">
        <f t="shared" si="3"/>
        <v>0</v>
      </c>
      <c r="AF28" s="62">
        <f t="shared" si="4"/>
        <v>0</v>
      </c>
    </row>
    <row r="29" spans="1:33" ht="18.75" customHeight="1" x14ac:dyDescent="0.25">
      <c r="A29" s="98"/>
      <c r="B29" s="33">
        <f t="shared" si="0"/>
        <v>10</v>
      </c>
      <c r="C29" s="72">
        <f>'GEN.AD - PAY'!C30</f>
        <v>0</v>
      </c>
      <c r="D29" s="72" t="e">
        <f>'GEN.AD - PAY'!D30</f>
        <v>#N/A</v>
      </c>
      <c r="E29" s="306">
        <f>'GEN.AD - PAY'!E30</f>
        <v>0</v>
      </c>
      <c r="F29" s="49">
        <f>'GEN.AD - PAY'!L30</f>
        <v>0</v>
      </c>
      <c r="G29" s="36">
        <f>ROUND('GEN.AD - PAY'!I30*0.09,2)</f>
        <v>0</v>
      </c>
      <c r="H29" s="88"/>
      <c r="I29" s="88"/>
      <c r="J29" s="88"/>
      <c r="K29" s="88"/>
      <c r="L29" s="88"/>
      <c r="M29" s="88"/>
      <c r="N29" s="88"/>
      <c r="O29" s="88"/>
      <c r="P29" s="88"/>
      <c r="Q29" s="88"/>
      <c r="R29" s="41">
        <f t="shared" si="1"/>
        <v>0</v>
      </c>
      <c r="S29" s="86"/>
      <c r="T29" s="87"/>
      <c r="U29" s="88"/>
      <c r="V29" s="88"/>
      <c r="W29" s="88"/>
      <c r="X29" s="38">
        <f t="shared" si="2"/>
        <v>0</v>
      </c>
      <c r="Y29" s="49">
        <f>MIN(ROUNDDOWN('GEN.AD - PAY'!I30*0.05/2,2),2500)</f>
        <v>0</v>
      </c>
      <c r="Z29" s="86"/>
      <c r="AA29" s="87"/>
      <c r="AB29" s="88"/>
      <c r="AC29" s="88"/>
      <c r="AD29" s="88"/>
      <c r="AE29" s="35">
        <f t="shared" si="3"/>
        <v>0</v>
      </c>
      <c r="AF29" s="62">
        <f t="shared" si="4"/>
        <v>0</v>
      </c>
      <c r="AG29" s="75"/>
    </row>
    <row r="30" spans="1:33" ht="18.75" customHeight="1" x14ac:dyDescent="0.25">
      <c r="A30" s="98"/>
      <c r="B30" s="33">
        <f t="shared" si="0"/>
        <v>11</v>
      </c>
      <c r="C30" s="72">
        <f>'GEN.AD - PAY'!C31</f>
        <v>0</v>
      </c>
      <c r="D30" s="72" t="e">
        <f>'GEN.AD - PAY'!D31</f>
        <v>#N/A</v>
      </c>
      <c r="E30" s="306">
        <f>'GEN.AD - PAY'!E31</f>
        <v>0</v>
      </c>
      <c r="F30" s="49">
        <f>'GEN.AD - PAY'!L31</f>
        <v>0</v>
      </c>
      <c r="G30" s="36">
        <f>ROUND('GEN.AD - PAY'!I31*0.09,2)</f>
        <v>0</v>
      </c>
      <c r="H30" s="88"/>
      <c r="I30" s="88"/>
      <c r="J30" s="88"/>
      <c r="K30" s="88"/>
      <c r="L30" s="88"/>
      <c r="M30" s="88"/>
      <c r="N30" s="88"/>
      <c r="O30" s="88"/>
      <c r="P30" s="88"/>
      <c r="Q30" s="88"/>
      <c r="R30" s="41">
        <f t="shared" si="1"/>
        <v>0</v>
      </c>
      <c r="S30" s="86"/>
      <c r="T30" s="87"/>
      <c r="U30" s="88"/>
      <c r="V30" s="88"/>
      <c r="W30" s="88"/>
      <c r="X30" s="38">
        <f t="shared" si="2"/>
        <v>0</v>
      </c>
      <c r="Y30" s="49">
        <f>MIN(ROUNDDOWN('GEN.AD - PAY'!I31*0.05/2,2),2500)</f>
        <v>0</v>
      </c>
      <c r="Z30" s="86"/>
      <c r="AA30" s="87"/>
      <c r="AB30" s="88"/>
      <c r="AC30" s="88"/>
      <c r="AD30" s="88"/>
      <c r="AE30" s="35">
        <f t="shared" si="3"/>
        <v>0</v>
      </c>
      <c r="AF30" s="62">
        <f t="shared" si="4"/>
        <v>0</v>
      </c>
    </row>
    <row r="31" spans="1:33" ht="18.75" customHeight="1" x14ac:dyDescent="0.25">
      <c r="A31" s="98"/>
      <c r="B31" s="33">
        <f t="shared" si="0"/>
        <v>12</v>
      </c>
      <c r="C31" s="72">
        <f>'GEN.AD - PAY'!C32</f>
        <v>0</v>
      </c>
      <c r="D31" s="72" t="e">
        <f>'GEN.AD - PAY'!D32</f>
        <v>#N/A</v>
      </c>
      <c r="E31" s="306">
        <f>'GEN.AD - PAY'!E32</f>
        <v>0</v>
      </c>
      <c r="F31" s="49">
        <f>'GEN.AD - PAY'!L32</f>
        <v>0</v>
      </c>
      <c r="G31" s="36">
        <f>ROUND('GEN.AD - PAY'!I32*0.09,2)</f>
        <v>0</v>
      </c>
      <c r="H31" s="88"/>
      <c r="I31" s="88"/>
      <c r="J31" s="88"/>
      <c r="K31" s="88"/>
      <c r="L31" s="88"/>
      <c r="M31" s="88"/>
      <c r="N31" s="88"/>
      <c r="O31" s="88"/>
      <c r="P31" s="88"/>
      <c r="Q31" s="88"/>
      <c r="R31" s="41">
        <f t="shared" si="1"/>
        <v>0</v>
      </c>
      <c r="S31" s="86"/>
      <c r="T31" s="87"/>
      <c r="U31" s="88"/>
      <c r="V31" s="88"/>
      <c r="W31" s="88"/>
      <c r="X31" s="38">
        <f t="shared" si="2"/>
        <v>0</v>
      </c>
      <c r="Y31" s="49">
        <f>MIN(ROUNDDOWN('GEN.AD - PAY'!I32*0.05/2,2),2500)</f>
        <v>0</v>
      </c>
      <c r="Z31" s="86"/>
      <c r="AA31" s="87"/>
      <c r="AB31" s="88"/>
      <c r="AC31" s="88"/>
      <c r="AD31" s="88"/>
      <c r="AE31" s="35">
        <f t="shared" si="3"/>
        <v>0</v>
      </c>
      <c r="AF31" s="62">
        <f t="shared" si="4"/>
        <v>0</v>
      </c>
    </row>
    <row r="32" spans="1:33" ht="18.75" customHeight="1" x14ac:dyDescent="0.25">
      <c r="A32" s="98"/>
      <c r="B32" s="33">
        <f t="shared" si="0"/>
        <v>13</v>
      </c>
      <c r="C32" s="72">
        <f>'GEN.AD - PAY'!C33</f>
        <v>0</v>
      </c>
      <c r="D32" s="72" t="e">
        <f>'GEN.AD - PAY'!D33</f>
        <v>#N/A</v>
      </c>
      <c r="E32" s="306">
        <f>'GEN.AD - PAY'!E33</f>
        <v>0</v>
      </c>
      <c r="F32" s="49">
        <f>'GEN.AD - PAY'!L33</f>
        <v>0</v>
      </c>
      <c r="G32" s="36">
        <f>ROUND('GEN.AD - PAY'!I33*0.09,2)</f>
        <v>0</v>
      </c>
      <c r="H32" s="88"/>
      <c r="I32" s="88"/>
      <c r="J32" s="88"/>
      <c r="K32" s="88"/>
      <c r="L32" s="88"/>
      <c r="M32" s="88"/>
      <c r="N32" s="88"/>
      <c r="O32" s="88"/>
      <c r="P32" s="88"/>
      <c r="Q32" s="88"/>
      <c r="R32" s="41">
        <f t="shared" si="1"/>
        <v>0</v>
      </c>
      <c r="S32" s="86"/>
      <c r="T32" s="87"/>
      <c r="U32" s="88"/>
      <c r="V32" s="88"/>
      <c r="W32" s="88"/>
      <c r="X32" s="38">
        <f t="shared" si="2"/>
        <v>0</v>
      </c>
      <c r="Y32" s="49">
        <f>MIN(ROUNDDOWN('GEN.AD - PAY'!I33*0.05/2,2),2500)</f>
        <v>0</v>
      </c>
      <c r="Z32" s="86"/>
      <c r="AA32" s="87"/>
      <c r="AB32" s="88"/>
      <c r="AC32" s="88"/>
      <c r="AD32" s="88"/>
      <c r="AE32" s="35">
        <f t="shared" si="3"/>
        <v>0</v>
      </c>
      <c r="AF32" s="62">
        <f t="shared" si="4"/>
        <v>0</v>
      </c>
    </row>
    <row r="33" spans="1:32" ht="18.75" customHeight="1" x14ac:dyDescent="0.25">
      <c r="A33" s="98"/>
      <c r="B33" s="33">
        <f t="shared" si="0"/>
        <v>14</v>
      </c>
      <c r="C33" s="72">
        <f>'GEN.AD - PAY'!C34</f>
        <v>0</v>
      </c>
      <c r="D33" s="72" t="e">
        <f>'GEN.AD - PAY'!D34</f>
        <v>#N/A</v>
      </c>
      <c r="E33" s="306">
        <f>'GEN.AD - PAY'!E34</f>
        <v>0</v>
      </c>
      <c r="F33" s="49">
        <f>'GEN.AD - PAY'!L34</f>
        <v>0</v>
      </c>
      <c r="G33" s="36">
        <f>ROUND('GEN.AD - PAY'!I34*0.09,2)</f>
        <v>0</v>
      </c>
      <c r="H33" s="88"/>
      <c r="I33" s="88"/>
      <c r="J33" s="88"/>
      <c r="K33" s="88"/>
      <c r="L33" s="88"/>
      <c r="M33" s="88"/>
      <c r="N33" s="88"/>
      <c r="O33" s="88"/>
      <c r="P33" s="88"/>
      <c r="Q33" s="88"/>
      <c r="R33" s="41">
        <f t="shared" si="1"/>
        <v>0</v>
      </c>
      <c r="S33" s="86"/>
      <c r="T33" s="87"/>
      <c r="U33" s="88"/>
      <c r="V33" s="88"/>
      <c r="W33" s="88"/>
      <c r="X33" s="38">
        <f t="shared" si="2"/>
        <v>0</v>
      </c>
      <c r="Y33" s="49">
        <f>MIN(ROUNDDOWN('GEN.AD - PAY'!I34*0.05/2,2),2500)</f>
        <v>0</v>
      </c>
      <c r="Z33" s="86"/>
      <c r="AA33" s="87"/>
      <c r="AB33" s="88"/>
      <c r="AC33" s="88"/>
      <c r="AD33" s="88"/>
      <c r="AE33" s="35">
        <f t="shared" si="3"/>
        <v>0</v>
      </c>
      <c r="AF33" s="62">
        <f t="shared" si="4"/>
        <v>0</v>
      </c>
    </row>
    <row r="34" spans="1:32" ht="18.75" customHeight="1" x14ac:dyDescent="0.25">
      <c r="A34" s="98"/>
      <c r="B34" s="33">
        <f t="shared" si="0"/>
        <v>15</v>
      </c>
      <c r="C34" s="72">
        <f>'GEN.AD - PAY'!C35</f>
        <v>0</v>
      </c>
      <c r="D34" s="72" t="e">
        <f>'GEN.AD - PAY'!D35</f>
        <v>#N/A</v>
      </c>
      <c r="E34" s="306">
        <f>'GEN.AD - PAY'!E35</f>
        <v>0</v>
      </c>
      <c r="F34" s="49">
        <f>'GEN.AD - PAY'!L35</f>
        <v>0</v>
      </c>
      <c r="G34" s="36">
        <f>ROUND('GEN.AD - PAY'!I35*0.09,2)</f>
        <v>0</v>
      </c>
      <c r="H34" s="88"/>
      <c r="I34" s="88"/>
      <c r="J34" s="88"/>
      <c r="K34" s="88"/>
      <c r="L34" s="88"/>
      <c r="M34" s="88"/>
      <c r="N34" s="88"/>
      <c r="O34" s="88"/>
      <c r="P34" s="88"/>
      <c r="Q34" s="88"/>
      <c r="R34" s="41">
        <f t="shared" si="1"/>
        <v>0</v>
      </c>
      <c r="S34" s="86"/>
      <c r="T34" s="87"/>
      <c r="U34" s="88"/>
      <c r="V34" s="88"/>
      <c r="W34" s="88"/>
      <c r="X34" s="38">
        <f t="shared" si="2"/>
        <v>0</v>
      </c>
      <c r="Y34" s="49">
        <f>MIN(ROUNDDOWN('GEN.AD - PAY'!I35*0.05/2,2),2500)</f>
        <v>0</v>
      </c>
      <c r="Z34" s="86"/>
      <c r="AA34" s="87"/>
      <c r="AB34" s="88"/>
      <c r="AC34" s="88"/>
      <c r="AD34" s="88"/>
      <c r="AE34" s="35">
        <f t="shared" si="3"/>
        <v>0</v>
      </c>
      <c r="AF34" s="62">
        <f t="shared" si="4"/>
        <v>0</v>
      </c>
    </row>
    <row r="35" spans="1:32" ht="18.75" customHeight="1" x14ac:dyDescent="0.25">
      <c r="A35" s="98"/>
      <c r="B35" s="33">
        <f t="shared" si="0"/>
        <v>16</v>
      </c>
      <c r="C35" s="72">
        <f>'GEN.AD - PAY'!C36</f>
        <v>0</v>
      </c>
      <c r="D35" s="72" t="e">
        <f>'GEN.AD - PAY'!D36</f>
        <v>#N/A</v>
      </c>
      <c r="E35" s="306">
        <f>'GEN.AD - PAY'!E36</f>
        <v>0</v>
      </c>
      <c r="F35" s="49">
        <f>'GEN.AD - PAY'!L36</f>
        <v>0</v>
      </c>
      <c r="G35" s="36">
        <f>ROUND('GEN.AD - PAY'!I36*0.09,2)</f>
        <v>0</v>
      </c>
      <c r="H35" s="88"/>
      <c r="I35" s="88"/>
      <c r="J35" s="88"/>
      <c r="K35" s="88"/>
      <c r="L35" s="88"/>
      <c r="M35" s="88"/>
      <c r="N35" s="88"/>
      <c r="O35" s="88"/>
      <c r="P35" s="88"/>
      <c r="Q35" s="88"/>
      <c r="R35" s="41">
        <f t="shared" si="1"/>
        <v>0</v>
      </c>
      <c r="S35" s="86"/>
      <c r="T35" s="87"/>
      <c r="U35" s="88"/>
      <c r="V35" s="88"/>
      <c r="W35" s="88"/>
      <c r="X35" s="38">
        <f t="shared" si="2"/>
        <v>0</v>
      </c>
      <c r="Y35" s="49">
        <f>MIN(ROUNDDOWN('GEN.AD - PAY'!I36*0.05/2,2),2500)</f>
        <v>0</v>
      </c>
      <c r="Z35" s="86"/>
      <c r="AA35" s="87"/>
      <c r="AB35" s="88"/>
      <c r="AC35" s="88"/>
      <c r="AD35" s="88"/>
      <c r="AE35" s="35">
        <f t="shared" si="3"/>
        <v>0</v>
      </c>
      <c r="AF35" s="62">
        <f t="shared" si="4"/>
        <v>0</v>
      </c>
    </row>
    <row r="36" spans="1:32" ht="18.75" customHeight="1" x14ac:dyDescent="0.25">
      <c r="A36" s="98"/>
      <c r="B36" s="33">
        <f t="shared" si="0"/>
        <v>17</v>
      </c>
      <c r="C36" s="72">
        <f>'GEN.AD - PAY'!C37</f>
        <v>0</v>
      </c>
      <c r="D36" s="72" t="e">
        <f>'GEN.AD - PAY'!D37</f>
        <v>#N/A</v>
      </c>
      <c r="E36" s="306">
        <f>'GEN.AD - PAY'!E37</f>
        <v>0</v>
      </c>
      <c r="F36" s="49">
        <f>'GEN.AD - PAY'!L37</f>
        <v>0</v>
      </c>
      <c r="G36" s="36">
        <f>ROUND('GEN.AD - PAY'!I37*0.09,2)</f>
        <v>0</v>
      </c>
      <c r="H36" s="88"/>
      <c r="I36" s="88"/>
      <c r="J36" s="88"/>
      <c r="K36" s="88"/>
      <c r="L36" s="88"/>
      <c r="M36" s="88"/>
      <c r="N36" s="88"/>
      <c r="O36" s="88"/>
      <c r="P36" s="88"/>
      <c r="Q36" s="88"/>
      <c r="R36" s="41">
        <f t="shared" si="1"/>
        <v>0</v>
      </c>
      <c r="S36" s="86"/>
      <c r="T36" s="87"/>
      <c r="U36" s="88"/>
      <c r="V36" s="88"/>
      <c r="W36" s="88"/>
      <c r="X36" s="38">
        <f t="shared" si="2"/>
        <v>0</v>
      </c>
      <c r="Y36" s="49">
        <f>MIN(ROUNDDOWN('GEN.AD - PAY'!I37*0.05/2,2),2500)</f>
        <v>0</v>
      </c>
      <c r="Z36" s="86"/>
      <c r="AA36" s="87"/>
      <c r="AB36" s="88"/>
      <c r="AC36" s="88"/>
      <c r="AD36" s="88"/>
      <c r="AE36" s="35">
        <f t="shared" si="3"/>
        <v>0</v>
      </c>
      <c r="AF36" s="62">
        <f t="shared" si="4"/>
        <v>0</v>
      </c>
    </row>
    <row r="37" spans="1:32" ht="18.75" customHeight="1" x14ac:dyDescent="0.25">
      <c r="A37" s="98"/>
      <c r="B37" s="33">
        <f t="shared" si="0"/>
        <v>18</v>
      </c>
      <c r="C37" s="72">
        <f>'GEN.AD - PAY'!C38</f>
        <v>0</v>
      </c>
      <c r="D37" s="72" t="e">
        <f>'GEN.AD - PAY'!D38</f>
        <v>#N/A</v>
      </c>
      <c r="E37" s="306">
        <f>'GEN.AD - PAY'!E38</f>
        <v>0</v>
      </c>
      <c r="F37" s="49">
        <f>'GEN.AD - PAY'!L38</f>
        <v>0</v>
      </c>
      <c r="G37" s="36">
        <f>ROUND('GEN.AD - PAY'!I38*0.09,2)</f>
        <v>0</v>
      </c>
      <c r="H37" s="88"/>
      <c r="I37" s="88"/>
      <c r="J37" s="88"/>
      <c r="K37" s="88"/>
      <c r="L37" s="88"/>
      <c r="M37" s="88"/>
      <c r="N37" s="88"/>
      <c r="O37" s="88"/>
      <c r="P37" s="88"/>
      <c r="Q37" s="88"/>
      <c r="R37" s="41">
        <f t="shared" si="1"/>
        <v>0</v>
      </c>
      <c r="S37" s="86"/>
      <c r="T37" s="87"/>
      <c r="U37" s="88"/>
      <c r="V37" s="88"/>
      <c r="W37" s="88"/>
      <c r="X37" s="38">
        <f t="shared" si="2"/>
        <v>0</v>
      </c>
      <c r="Y37" s="49">
        <f>MIN(ROUNDDOWN('GEN.AD - PAY'!I38*0.05/2,2),2500)</f>
        <v>0</v>
      </c>
      <c r="Z37" s="86"/>
      <c r="AA37" s="87"/>
      <c r="AB37" s="88"/>
      <c r="AC37" s="88"/>
      <c r="AD37" s="88"/>
      <c r="AE37" s="35">
        <f t="shared" si="3"/>
        <v>0</v>
      </c>
      <c r="AF37" s="62">
        <f t="shared" si="4"/>
        <v>0</v>
      </c>
    </row>
    <row r="38" spans="1:32" ht="18.75" customHeight="1" x14ac:dyDescent="0.25">
      <c r="A38" s="98"/>
      <c r="B38" s="33">
        <f t="shared" si="0"/>
        <v>19</v>
      </c>
      <c r="C38" s="72">
        <f>'GEN.AD - PAY'!C39</f>
        <v>0</v>
      </c>
      <c r="D38" s="72" t="e">
        <f>'GEN.AD - PAY'!D39</f>
        <v>#N/A</v>
      </c>
      <c r="E38" s="306">
        <f>'GEN.AD - PAY'!E39</f>
        <v>0</v>
      </c>
      <c r="F38" s="49">
        <f>'GEN.AD - PAY'!L39</f>
        <v>0</v>
      </c>
      <c r="G38" s="36">
        <f>ROUND('GEN.AD - PAY'!I39*0.09,2)</f>
        <v>0</v>
      </c>
      <c r="H38" s="88"/>
      <c r="I38" s="88"/>
      <c r="J38" s="88"/>
      <c r="K38" s="88"/>
      <c r="L38" s="88"/>
      <c r="M38" s="88"/>
      <c r="N38" s="88"/>
      <c r="O38" s="88"/>
      <c r="P38" s="88"/>
      <c r="Q38" s="88"/>
      <c r="R38" s="41">
        <f t="shared" si="1"/>
        <v>0</v>
      </c>
      <c r="S38" s="86"/>
      <c r="T38" s="87"/>
      <c r="U38" s="88"/>
      <c r="V38" s="88"/>
      <c r="W38" s="88"/>
      <c r="X38" s="38">
        <f t="shared" si="2"/>
        <v>0</v>
      </c>
      <c r="Y38" s="49">
        <f>MIN(ROUNDDOWN('GEN.AD - PAY'!I39*0.05/2,2),2500)</f>
        <v>0</v>
      </c>
      <c r="Z38" s="86"/>
      <c r="AA38" s="87"/>
      <c r="AB38" s="88"/>
      <c r="AC38" s="88"/>
      <c r="AD38" s="88"/>
      <c r="AE38" s="35">
        <f t="shared" si="3"/>
        <v>0</v>
      </c>
      <c r="AF38" s="62">
        <f t="shared" si="4"/>
        <v>0</v>
      </c>
    </row>
    <row r="39" spans="1:32" ht="18.75" customHeight="1" x14ac:dyDescent="0.25">
      <c r="A39" s="98"/>
      <c r="B39" s="33">
        <f t="shared" si="0"/>
        <v>20</v>
      </c>
      <c r="C39" s="72">
        <f>'GEN.AD - PAY'!C40</f>
        <v>0</v>
      </c>
      <c r="D39" s="72" t="e">
        <f>'GEN.AD - PAY'!D40</f>
        <v>#N/A</v>
      </c>
      <c r="E39" s="306">
        <f>'GEN.AD - PAY'!E40</f>
        <v>0</v>
      </c>
      <c r="F39" s="49">
        <f>'GEN.AD - PAY'!L40</f>
        <v>0</v>
      </c>
      <c r="G39" s="36">
        <f>ROUND('GEN.AD - PAY'!I40*0.09,2)</f>
        <v>0</v>
      </c>
      <c r="H39" s="88"/>
      <c r="I39" s="88"/>
      <c r="J39" s="88"/>
      <c r="K39" s="88"/>
      <c r="L39" s="88"/>
      <c r="M39" s="88"/>
      <c r="N39" s="88"/>
      <c r="O39" s="88"/>
      <c r="P39" s="88"/>
      <c r="Q39" s="88"/>
      <c r="R39" s="41">
        <f t="shared" si="1"/>
        <v>0</v>
      </c>
      <c r="S39" s="86"/>
      <c r="T39" s="87"/>
      <c r="U39" s="88"/>
      <c r="V39" s="88"/>
      <c r="W39" s="88"/>
      <c r="X39" s="38">
        <f t="shared" si="2"/>
        <v>0</v>
      </c>
      <c r="Y39" s="49">
        <f>MIN(ROUNDDOWN('GEN.AD - PAY'!I40*0.05/2,2),2500)</f>
        <v>0</v>
      </c>
      <c r="Z39" s="86"/>
      <c r="AA39" s="87"/>
      <c r="AB39" s="88"/>
      <c r="AC39" s="88"/>
      <c r="AD39" s="88"/>
      <c r="AE39" s="35">
        <f t="shared" si="3"/>
        <v>0</v>
      </c>
      <c r="AF39" s="62">
        <f t="shared" si="4"/>
        <v>0</v>
      </c>
    </row>
    <row r="40" spans="1:32" ht="18.75" customHeight="1" x14ac:dyDescent="0.25">
      <c r="A40" s="98"/>
      <c r="B40" s="33">
        <f t="shared" ref="B40:B112" si="5">+B39+1</f>
        <v>21</v>
      </c>
      <c r="C40" s="72">
        <f>'GEN.AD - PAY'!C41</f>
        <v>0</v>
      </c>
      <c r="D40" s="72" t="e">
        <f>'GEN.AD - PAY'!D41</f>
        <v>#N/A</v>
      </c>
      <c r="E40" s="306">
        <f>'GEN.AD - PAY'!E41</f>
        <v>0</v>
      </c>
      <c r="F40" s="49">
        <f>'GEN.AD - PAY'!L41</f>
        <v>0</v>
      </c>
      <c r="G40" s="36">
        <f>ROUND('GEN.AD - PAY'!I41*0.09,2)</f>
        <v>0</v>
      </c>
      <c r="H40" s="88"/>
      <c r="I40" s="88"/>
      <c r="J40" s="88"/>
      <c r="K40" s="88"/>
      <c r="L40" s="88"/>
      <c r="M40" s="88"/>
      <c r="N40" s="88"/>
      <c r="O40" s="88"/>
      <c r="P40" s="88"/>
      <c r="Q40" s="88"/>
      <c r="R40" s="41">
        <f t="shared" si="1"/>
        <v>0</v>
      </c>
      <c r="S40" s="86"/>
      <c r="T40" s="87"/>
      <c r="U40" s="88"/>
      <c r="V40" s="88"/>
      <c r="W40" s="88"/>
      <c r="X40" s="38">
        <f t="shared" si="2"/>
        <v>0</v>
      </c>
      <c r="Y40" s="49">
        <f>MIN(ROUNDDOWN('GEN.AD - PAY'!I41*0.05/2,2),2500)</f>
        <v>0</v>
      </c>
      <c r="Z40" s="86"/>
      <c r="AA40" s="87"/>
      <c r="AB40" s="88"/>
      <c r="AC40" s="88"/>
      <c r="AD40" s="88"/>
      <c r="AE40" s="35">
        <f t="shared" si="3"/>
        <v>0</v>
      </c>
      <c r="AF40" s="62">
        <f t="shared" si="4"/>
        <v>0</v>
      </c>
    </row>
    <row r="41" spans="1:32" ht="18.75" customHeight="1" x14ac:dyDescent="0.25">
      <c r="A41" s="98"/>
      <c r="B41" s="33">
        <f t="shared" si="5"/>
        <v>22</v>
      </c>
      <c r="C41" s="72">
        <f>'GEN.AD - PAY'!C42</f>
        <v>0</v>
      </c>
      <c r="D41" s="72" t="e">
        <f>'GEN.AD - PAY'!D42</f>
        <v>#N/A</v>
      </c>
      <c r="E41" s="306">
        <f>'GEN.AD - PAY'!E42</f>
        <v>0</v>
      </c>
      <c r="F41" s="49">
        <f>'GEN.AD - PAY'!L42</f>
        <v>0</v>
      </c>
      <c r="G41" s="36">
        <f>ROUND('GEN.AD - PAY'!I42*0.09,2)</f>
        <v>0</v>
      </c>
      <c r="H41" s="88"/>
      <c r="I41" s="88"/>
      <c r="J41" s="88"/>
      <c r="K41" s="88"/>
      <c r="L41" s="88"/>
      <c r="M41" s="88"/>
      <c r="N41" s="88"/>
      <c r="O41" s="88"/>
      <c r="P41" s="88"/>
      <c r="Q41" s="88"/>
      <c r="R41" s="41">
        <f t="shared" si="1"/>
        <v>0</v>
      </c>
      <c r="S41" s="86"/>
      <c r="T41" s="87"/>
      <c r="U41" s="88"/>
      <c r="V41" s="88"/>
      <c r="W41" s="88"/>
      <c r="X41" s="38">
        <f t="shared" si="2"/>
        <v>0</v>
      </c>
      <c r="Y41" s="49">
        <f>MIN(ROUNDDOWN('GEN.AD - PAY'!I42*0.05/2,2),2500)</f>
        <v>0</v>
      </c>
      <c r="Z41" s="86"/>
      <c r="AA41" s="87"/>
      <c r="AB41" s="88"/>
      <c r="AC41" s="88"/>
      <c r="AD41" s="88"/>
      <c r="AE41" s="35">
        <f t="shared" si="3"/>
        <v>0</v>
      </c>
      <c r="AF41" s="62">
        <f t="shared" si="4"/>
        <v>0</v>
      </c>
    </row>
    <row r="42" spans="1:32" ht="18.75" customHeight="1" x14ac:dyDescent="0.25">
      <c r="A42" s="98"/>
      <c r="B42" s="33">
        <f t="shared" si="5"/>
        <v>23</v>
      </c>
      <c r="C42" s="72">
        <f>'GEN.AD - PAY'!C43</f>
        <v>0</v>
      </c>
      <c r="D42" s="72" t="e">
        <f>'GEN.AD - PAY'!D43</f>
        <v>#N/A</v>
      </c>
      <c r="E42" s="306">
        <f>'GEN.AD - PAY'!E43</f>
        <v>0</v>
      </c>
      <c r="F42" s="49">
        <f>'GEN.AD - PAY'!L43</f>
        <v>0</v>
      </c>
      <c r="G42" s="36">
        <f>ROUND('GEN.AD - PAY'!I43*0.09,2)</f>
        <v>0</v>
      </c>
      <c r="H42" s="88"/>
      <c r="I42" s="88"/>
      <c r="J42" s="88"/>
      <c r="K42" s="88"/>
      <c r="L42" s="88"/>
      <c r="M42" s="88"/>
      <c r="N42" s="88"/>
      <c r="O42" s="88"/>
      <c r="P42" s="88"/>
      <c r="Q42" s="88"/>
      <c r="R42" s="41">
        <f t="shared" si="1"/>
        <v>0</v>
      </c>
      <c r="S42" s="86"/>
      <c r="T42" s="87"/>
      <c r="U42" s="88"/>
      <c r="V42" s="88"/>
      <c r="W42" s="88"/>
      <c r="X42" s="38">
        <f t="shared" si="2"/>
        <v>0</v>
      </c>
      <c r="Y42" s="49">
        <f>MIN(ROUNDDOWN('GEN.AD - PAY'!I43*0.05/2,2),2500)</f>
        <v>0</v>
      </c>
      <c r="Z42" s="86"/>
      <c r="AA42" s="87"/>
      <c r="AB42" s="88"/>
      <c r="AC42" s="88"/>
      <c r="AD42" s="88"/>
      <c r="AE42" s="35">
        <f t="shared" si="3"/>
        <v>0</v>
      </c>
      <c r="AF42" s="62">
        <f t="shared" si="4"/>
        <v>0</v>
      </c>
    </row>
    <row r="43" spans="1:32" ht="18.75" customHeight="1" x14ac:dyDescent="0.25">
      <c r="A43" s="98"/>
      <c r="B43" s="33">
        <f t="shared" si="5"/>
        <v>24</v>
      </c>
      <c r="C43" s="72">
        <f>'GEN.AD - PAY'!C44</f>
        <v>0</v>
      </c>
      <c r="D43" s="72" t="e">
        <f>'GEN.AD - PAY'!D44</f>
        <v>#N/A</v>
      </c>
      <c r="E43" s="306">
        <f>'GEN.AD - PAY'!E44</f>
        <v>0</v>
      </c>
      <c r="F43" s="49">
        <f>'GEN.AD - PAY'!L44</f>
        <v>0</v>
      </c>
      <c r="G43" s="36">
        <f>ROUND('GEN.AD - PAY'!I44*0.09,2)</f>
        <v>0</v>
      </c>
      <c r="H43" s="88"/>
      <c r="I43" s="88"/>
      <c r="J43" s="88"/>
      <c r="K43" s="88"/>
      <c r="L43" s="88"/>
      <c r="M43" s="88"/>
      <c r="N43" s="88"/>
      <c r="O43" s="88"/>
      <c r="P43" s="88"/>
      <c r="Q43" s="88"/>
      <c r="R43" s="41">
        <f t="shared" si="1"/>
        <v>0</v>
      </c>
      <c r="S43" s="86"/>
      <c r="T43" s="87"/>
      <c r="U43" s="88"/>
      <c r="V43" s="88"/>
      <c r="W43" s="88"/>
      <c r="X43" s="38">
        <f t="shared" si="2"/>
        <v>0</v>
      </c>
      <c r="Y43" s="49">
        <f>MIN(ROUNDDOWN('GEN.AD - PAY'!I44*0.05/2,2),2500)</f>
        <v>0</v>
      </c>
      <c r="Z43" s="86"/>
      <c r="AA43" s="87"/>
      <c r="AB43" s="88"/>
      <c r="AC43" s="88"/>
      <c r="AD43" s="88"/>
      <c r="AE43" s="35">
        <f t="shared" si="3"/>
        <v>0</v>
      </c>
      <c r="AF43" s="62">
        <f t="shared" si="4"/>
        <v>0</v>
      </c>
    </row>
    <row r="44" spans="1:32" ht="18.75" customHeight="1" x14ac:dyDescent="0.25">
      <c r="A44" s="98"/>
      <c r="B44" s="33">
        <f t="shared" si="5"/>
        <v>25</v>
      </c>
      <c r="C44" s="72">
        <f>'GEN.AD - PAY'!C45</f>
        <v>0</v>
      </c>
      <c r="D44" s="72" t="e">
        <f>'GEN.AD - PAY'!D45</f>
        <v>#N/A</v>
      </c>
      <c r="E44" s="306">
        <f>'GEN.AD - PAY'!E45</f>
        <v>0</v>
      </c>
      <c r="F44" s="49">
        <f>'GEN.AD - PAY'!L45</f>
        <v>0</v>
      </c>
      <c r="G44" s="36">
        <f>ROUND('GEN.AD - PAY'!I45*0.09,2)</f>
        <v>0</v>
      </c>
      <c r="H44" s="88"/>
      <c r="I44" s="88"/>
      <c r="J44" s="88"/>
      <c r="K44" s="88"/>
      <c r="L44" s="88"/>
      <c r="M44" s="88"/>
      <c r="N44" s="88"/>
      <c r="O44" s="88"/>
      <c r="P44" s="88"/>
      <c r="Q44" s="88"/>
      <c r="R44" s="41">
        <f t="shared" si="1"/>
        <v>0</v>
      </c>
      <c r="S44" s="86"/>
      <c r="T44" s="87"/>
      <c r="U44" s="88"/>
      <c r="V44" s="88"/>
      <c r="W44" s="88"/>
      <c r="X44" s="38">
        <f t="shared" si="2"/>
        <v>0</v>
      </c>
      <c r="Y44" s="49">
        <f>MIN(ROUNDDOWN('GEN.AD - PAY'!I45*0.05/2,2),2500)</f>
        <v>0</v>
      </c>
      <c r="Z44" s="86"/>
      <c r="AA44" s="87"/>
      <c r="AB44" s="88"/>
      <c r="AC44" s="88"/>
      <c r="AD44" s="88"/>
      <c r="AE44" s="35">
        <f t="shared" si="3"/>
        <v>0</v>
      </c>
      <c r="AF44" s="62">
        <f t="shared" si="4"/>
        <v>0</v>
      </c>
    </row>
    <row r="45" spans="1:32" ht="18.75" customHeight="1" x14ac:dyDescent="0.25">
      <c r="A45" s="98"/>
      <c r="B45" s="33">
        <f t="shared" si="5"/>
        <v>26</v>
      </c>
      <c r="C45" s="72">
        <f>'GEN.AD - PAY'!C46</f>
        <v>0</v>
      </c>
      <c r="D45" s="72" t="e">
        <f>'GEN.AD - PAY'!D46</f>
        <v>#N/A</v>
      </c>
      <c r="E45" s="306">
        <f>'GEN.AD - PAY'!E46</f>
        <v>0</v>
      </c>
      <c r="F45" s="49">
        <f>'GEN.AD - PAY'!L46</f>
        <v>0</v>
      </c>
      <c r="G45" s="36">
        <f>ROUND('GEN.AD - PAY'!I46*0.09,2)</f>
        <v>0</v>
      </c>
      <c r="H45" s="88"/>
      <c r="I45" s="88"/>
      <c r="J45" s="88"/>
      <c r="K45" s="88"/>
      <c r="L45" s="88"/>
      <c r="M45" s="88"/>
      <c r="N45" s="88"/>
      <c r="O45" s="88"/>
      <c r="P45" s="88"/>
      <c r="Q45" s="88"/>
      <c r="R45" s="41">
        <f t="shared" si="1"/>
        <v>0</v>
      </c>
      <c r="S45" s="86"/>
      <c r="T45" s="87"/>
      <c r="U45" s="88"/>
      <c r="V45" s="88"/>
      <c r="W45" s="88"/>
      <c r="X45" s="38">
        <f t="shared" si="2"/>
        <v>0</v>
      </c>
      <c r="Y45" s="49">
        <f>MIN(ROUNDDOWN('GEN.AD - PAY'!I46*0.05/2,2),2500)</f>
        <v>0</v>
      </c>
      <c r="Z45" s="86"/>
      <c r="AA45" s="87"/>
      <c r="AB45" s="88"/>
      <c r="AC45" s="88"/>
      <c r="AD45" s="88"/>
      <c r="AE45" s="35">
        <f t="shared" si="3"/>
        <v>0</v>
      </c>
      <c r="AF45" s="62">
        <f t="shared" si="4"/>
        <v>0</v>
      </c>
    </row>
    <row r="46" spans="1:32" ht="18.75" customHeight="1" x14ac:dyDescent="0.25">
      <c r="A46" s="98"/>
      <c r="B46" s="33">
        <f t="shared" si="5"/>
        <v>27</v>
      </c>
      <c r="C46" s="72">
        <f>'GEN.AD - PAY'!C47</f>
        <v>0</v>
      </c>
      <c r="D46" s="72" t="e">
        <f>'GEN.AD - PAY'!D47</f>
        <v>#N/A</v>
      </c>
      <c r="E46" s="306">
        <f>'GEN.AD - PAY'!E47</f>
        <v>0</v>
      </c>
      <c r="F46" s="49">
        <f>'GEN.AD - PAY'!L47</f>
        <v>0</v>
      </c>
      <c r="G46" s="36">
        <f>ROUND('GEN.AD - PAY'!I47*0.09,2)</f>
        <v>0</v>
      </c>
      <c r="H46" s="88"/>
      <c r="I46" s="88"/>
      <c r="J46" s="88"/>
      <c r="K46" s="88"/>
      <c r="L46" s="88"/>
      <c r="M46" s="88"/>
      <c r="N46" s="88"/>
      <c r="O46" s="88"/>
      <c r="P46" s="88"/>
      <c r="Q46" s="88"/>
      <c r="R46" s="41">
        <f t="shared" si="1"/>
        <v>0</v>
      </c>
      <c r="S46" s="86"/>
      <c r="T46" s="87"/>
      <c r="U46" s="88"/>
      <c r="V46" s="88"/>
      <c r="W46" s="88"/>
      <c r="X46" s="38">
        <f t="shared" si="2"/>
        <v>0</v>
      </c>
      <c r="Y46" s="49">
        <f>MIN(ROUNDDOWN('GEN.AD - PAY'!I47*0.05/2,2),2500)</f>
        <v>0</v>
      </c>
      <c r="Z46" s="86"/>
      <c r="AA46" s="87"/>
      <c r="AB46" s="88"/>
      <c r="AC46" s="88"/>
      <c r="AD46" s="88"/>
      <c r="AE46" s="35">
        <f t="shared" si="3"/>
        <v>0</v>
      </c>
      <c r="AF46" s="62">
        <f t="shared" si="4"/>
        <v>0</v>
      </c>
    </row>
    <row r="47" spans="1:32" ht="18.75" customHeight="1" x14ac:dyDescent="0.25">
      <c r="A47" s="98"/>
      <c r="B47" s="33">
        <f t="shared" si="5"/>
        <v>28</v>
      </c>
      <c r="C47" s="72">
        <f>'GEN.AD - PAY'!C48</f>
        <v>0</v>
      </c>
      <c r="D47" s="72" t="e">
        <f>'GEN.AD - PAY'!D48</f>
        <v>#N/A</v>
      </c>
      <c r="E47" s="306">
        <f>'GEN.AD - PAY'!E48</f>
        <v>0</v>
      </c>
      <c r="F47" s="49">
        <f>'GEN.AD - PAY'!L48</f>
        <v>0</v>
      </c>
      <c r="G47" s="36">
        <f>ROUND('GEN.AD - PAY'!I48*0.09,2)</f>
        <v>0</v>
      </c>
      <c r="H47" s="88"/>
      <c r="I47" s="88"/>
      <c r="J47" s="88"/>
      <c r="K47" s="88"/>
      <c r="L47" s="88"/>
      <c r="M47" s="88"/>
      <c r="N47" s="88"/>
      <c r="O47" s="88"/>
      <c r="P47" s="88"/>
      <c r="Q47" s="88"/>
      <c r="R47" s="41">
        <f t="shared" si="1"/>
        <v>0</v>
      </c>
      <c r="S47" s="86"/>
      <c r="T47" s="87"/>
      <c r="U47" s="88"/>
      <c r="V47" s="88"/>
      <c r="W47" s="88"/>
      <c r="X47" s="38">
        <f t="shared" si="2"/>
        <v>0</v>
      </c>
      <c r="Y47" s="49">
        <f>MIN(ROUNDDOWN('GEN.AD - PAY'!I48*0.05/2,2),2500)</f>
        <v>0</v>
      </c>
      <c r="Z47" s="86"/>
      <c r="AA47" s="87"/>
      <c r="AB47" s="88"/>
      <c r="AC47" s="88"/>
      <c r="AD47" s="88"/>
      <c r="AE47" s="35">
        <f t="shared" si="3"/>
        <v>0</v>
      </c>
      <c r="AF47" s="62">
        <f t="shared" si="4"/>
        <v>0</v>
      </c>
    </row>
    <row r="48" spans="1:32" ht="18.75" customHeight="1" x14ac:dyDescent="0.25">
      <c r="A48" s="98"/>
      <c r="B48" s="33">
        <f t="shared" si="5"/>
        <v>29</v>
      </c>
      <c r="C48" s="72">
        <f>'GEN.AD - PAY'!C49</f>
        <v>0</v>
      </c>
      <c r="D48" s="72" t="e">
        <f>'GEN.AD - PAY'!D49</f>
        <v>#N/A</v>
      </c>
      <c r="E48" s="306">
        <f>'GEN.AD - PAY'!E49</f>
        <v>0</v>
      </c>
      <c r="F48" s="49">
        <f>'GEN.AD - PAY'!L49</f>
        <v>0</v>
      </c>
      <c r="G48" s="36">
        <f>ROUND('GEN.AD - PAY'!I49*0.09,2)</f>
        <v>0</v>
      </c>
      <c r="H48" s="88"/>
      <c r="I48" s="88"/>
      <c r="J48" s="88"/>
      <c r="K48" s="88"/>
      <c r="L48" s="88"/>
      <c r="M48" s="88"/>
      <c r="N48" s="88"/>
      <c r="O48" s="88"/>
      <c r="P48" s="88"/>
      <c r="Q48" s="88"/>
      <c r="R48" s="41">
        <f t="shared" si="1"/>
        <v>0</v>
      </c>
      <c r="S48" s="86"/>
      <c r="T48" s="87"/>
      <c r="U48" s="88"/>
      <c r="V48" s="88"/>
      <c r="W48" s="88"/>
      <c r="X48" s="38">
        <f t="shared" si="2"/>
        <v>0</v>
      </c>
      <c r="Y48" s="49">
        <f>MIN(ROUNDDOWN('GEN.AD - PAY'!I49*0.05/2,2),2500)</f>
        <v>0</v>
      </c>
      <c r="Z48" s="86"/>
      <c r="AA48" s="87"/>
      <c r="AB48" s="88"/>
      <c r="AC48" s="88"/>
      <c r="AD48" s="88"/>
      <c r="AE48" s="35">
        <f t="shared" si="3"/>
        <v>0</v>
      </c>
      <c r="AF48" s="62">
        <f t="shared" si="4"/>
        <v>0</v>
      </c>
    </row>
    <row r="49" spans="1:32" ht="18.75" customHeight="1" x14ac:dyDescent="0.25">
      <c r="A49" s="98"/>
      <c r="B49" s="33">
        <f t="shared" si="5"/>
        <v>30</v>
      </c>
      <c r="C49" s="72">
        <f>'GEN.AD - PAY'!C50</f>
        <v>0</v>
      </c>
      <c r="D49" s="72" t="e">
        <f>'GEN.AD - PAY'!D50</f>
        <v>#N/A</v>
      </c>
      <c r="E49" s="306">
        <f>'GEN.AD - PAY'!E50</f>
        <v>0</v>
      </c>
      <c r="F49" s="49">
        <f>'GEN.AD - PAY'!L50</f>
        <v>0</v>
      </c>
      <c r="G49" s="36">
        <f>ROUND('GEN.AD - PAY'!I50*0.09,2)</f>
        <v>0</v>
      </c>
      <c r="H49" s="88"/>
      <c r="I49" s="88"/>
      <c r="J49" s="88"/>
      <c r="K49" s="88"/>
      <c r="L49" s="88"/>
      <c r="M49" s="88"/>
      <c r="N49" s="88"/>
      <c r="O49" s="88"/>
      <c r="P49" s="88"/>
      <c r="Q49" s="88"/>
      <c r="R49" s="41">
        <f t="shared" si="1"/>
        <v>0</v>
      </c>
      <c r="S49" s="86"/>
      <c r="T49" s="87"/>
      <c r="U49" s="88"/>
      <c r="V49" s="88"/>
      <c r="W49" s="88"/>
      <c r="X49" s="38">
        <f t="shared" si="2"/>
        <v>0</v>
      </c>
      <c r="Y49" s="49">
        <f>MIN(ROUNDDOWN('GEN.AD - PAY'!I50*0.05/2,2),2500)</f>
        <v>0</v>
      </c>
      <c r="Z49" s="86"/>
      <c r="AA49" s="87"/>
      <c r="AB49" s="88"/>
      <c r="AC49" s="88"/>
      <c r="AD49" s="88"/>
      <c r="AE49" s="35">
        <f t="shared" si="3"/>
        <v>0</v>
      </c>
      <c r="AF49" s="62">
        <f t="shared" si="4"/>
        <v>0</v>
      </c>
    </row>
    <row r="50" spans="1:32" ht="18.75" customHeight="1" x14ac:dyDescent="0.25">
      <c r="A50" s="98"/>
      <c r="B50" s="33">
        <f t="shared" si="5"/>
        <v>31</v>
      </c>
      <c r="C50" s="72">
        <f>'GEN.AD - PAY'!C51</f>
        <v>0</v>
      </c>
      <c r="D50" s="72" t="e">
        <f>'GEN.AD - PAY'!D51</f>
        <v>#N/A</v>
      </c>
      <c r="E50" s="306">
        <f>'GEN.AD - PAY'!E51</f>
        <v>0</v>
      </c>
      <c r="F50" s="49">
        <f>'GEN.AD - PAY'!L51</f>
        <v>0</v>
      </c>
      <c r="G50" s="36">
        <f>ROUND('GEN.AD - PAY'!I51*0.09,2)</f>
        <v>0</v>
      </c>
      <c r="H50" s="88"/>
      <c r="I50" s="88"/>
      <c r="J50" s="88"/>
      <c r="K50" s="88"/>
      <c r="L50" s="88"/>
      <c r="M50" s="88"/>
      <c r="N50" s="88"/>
      <c r="O50" s="88"/>
      <c r="P50" s="88"/>
      <c r="Q50" s="88"/>
      <c r="R50" s="41">
        <f t="shared" si="1"/>
        <v>0</v>
      </c>
      <c r="S50" s="86"/>
      <c r="T50" s="87"/>
      <c r="U50" s="88"/>
      <c r="V50" s="88"/>
      <c r="W50" s="88"/>
      <c r="X50" s="38">
        <f t="shared" si="2"/>
        <v>0</v>
      </c>
      <c r="Y50" s="49">
        <f>MIN(ROUNDDOWN('GEN.AD - PAY'!I51*0.05/2,2),2500)</f>
        <v>0</v>
      </c>
      <c r="Z50" s="86"/>
      <c r="AA50" s="87"/>
      <c r="AB50" s="88"/>
      <c r="AC50" s="88"/>
      <c r="AD50" s="88"/>
      <c r="AE50" s="35">
        <f t="shared" si="3"/>
        <v>0</v>
      </c>
      <c r="AF50" s="62">
        <f t="shared" si="4"/>
        <v>0</v>
      </c>
    </row>
    <row r="51" spans="1:32" ht="18.75" customHeight="1" x14ac:dyDescent="0.25">
      <c r="A51" s="98"/>
      <c r="B51" s="33">
        <f t="shared" si="5"/>
        <v>32</v>
      </c>
      <c r="C51" s="72">
        <f>'GEN.AD - PAY'!C52</f>
        <v>0</v>
      </c>
      <c r="D51" s="72" t="e">
        <f>'GEN.AD - PAY'!D52</f>
        <v>#N/A</v>
      </c>
      <c r="E51" s="306">
        <f>'GEN.AD - PAY'!E52</f>
        <v>0</v>
      </c>
      <c r="F51" s="49">
        <f>'GEN.AD - PAY'!L52</f>
        <v>0</v>
      </c>
      <c r="G51" s="36">
        <f>ROUND('GEN.AD - PAY'!I52*0.09,2)</f>
        <v>0</v>
      </c>
      <c r="H51" s="88"/>
      <c r="I51" s="88"/>
      <c r="J51" s="88"/>
      <c r="K51" s="88"/>
      <c r="L51" s="88"/>
      <c r="M51" s="88"/>
      <c r="N51" s="88"/>
      <c r="O51" s="88"/>
      <c r="P51" s="88"/>
      <c r="Q51" s="88"/>
      <c r="R51" s="41">
        <f t="shared" si="1"/>
        <v>0</v>
      </c>
      <c r="S51" s="86"/>
      <c r="T51" s="87"/>
      <c r="U51" s="88"/>
      <c r="V51" s="88"/>
      <c r="W51" s="88"/>
      <c r="X51" s="38">
        <f t="shared" si="2"/>
        <v>0</v>
      </c>
      <c r="Y51" s="49">
        <f>MIN(ROUNDDOWN('GEN.AD - PAY'!I52*0.05/2,2),2500)</f>
        <v>0</v>
      </c>
      <c r="Z51" s="86"/>
      <c r="AA51" s="87"/>
      <c r="AB51" s="88"/>
      <c r="AC51" s="88"/>
      <c r="AD51" s="88"/>
      <c r="AE51" s="35">
        <f t="shared" si="3"/>
        <v>0</v>
      </c>
      <c r="AF51" s="62">
        <f t="shared" si="4"/>
        <v>0</v>
      </c>
    </row>
    <row r="52" spans="1:32" ht="18.75" customHeight="1" x14ac:dyDescent="0.25">
      <c r="A52" s="98"/>
      <c r="B52" s="33">
        <f t="shared" si="5"/>
        <v>33</v>
      </c>
      <c r="C52" s="72">
        <f>'GEN.AD - PAY'!C53</f>
        <v>0</v>
      </c>
      <c r="D52" s="72" t="e">
        <f>'GEN.AD - PAY'!D53</f>
        <v>#N/A</v>
      </c>
      <c r="E52" s="306">
        <f>'GEN.AD - PAY'!E53</f>
        <v>0</v>
      </c>
      <c r="F52" s="49">
        <f>'GEN.AD - PAY'!L53</f>
        <v>0</v>
      </c>
      <c r="G52" s="36">
        <f>ROUND('GEN.AD - PAY'!I53*0.09,2)</f>
        <v>0</v>
      </c>
      <c r="H52" s="88"/>
      <c r="I52" s="88"/>
      <c r="J52" s="88"/>
      <c r="K52" s="88"/>
      <c r="L52" s="88"/>
      <c r="M52" s="88"/>
      <c r="N52" s="88"/>
      <c r="O52" s="88"/>
      <c r="P52" s="88"/>
      <c r="Q52" s="88"/>
      <c r="R52" s="41">
        <f t="shared" si="1"/>
        <v>0</v>
      </c>
      <c r="S52" s="86"/>
      <c r="T52" s="87"/>
      <c r="U52" s="88"/>
      <c r="V52" s="88"/>
      <c r="W52" s="88"/>
      <c r="X52" s="38">
        <f t="shared" si="2"/>
        <v>0</v>
      </c>
      <c r="Y52" s="49">
        <f>MIN(ROUNDDOWN('GEN.AD - PAY'!I53*0.05/2,2),2500)</f>
        <v>0</v>
      </c>
      <c r="Z52" s="86"/>
      <c r="AA52" s="87"/>
      <c r="AB52" s="88"/>
      <c r="AC52" s="88"/>
      <c r="AD52" s="88"/>
      <c r="AE52" s="35">
        <f t="shared" si="3"/>
        <v>0</v>
      </c>
      <c r="AF52" s="62">
        <f t="shared" si="4"/>
        <v>0</v>
      </c>
    </row>
    <row r="53" spans="1:32" ht="18.75" customHeight="1" x14ac:dyDescent="0.25">
      <c r="A53" s="98"/>
      <c r="B53" s="33">
        <f t="shared" si="5"/>
        <v>34</v>
      </c>
      <c r="C53" s="72">
        <f>'GEN.AD - PAY'!C54</f>
        <v>0</v>
      </c>
      <c r="D53" s="72" t="e">
        <f>'GEN.AD - PAY'!D54</f>
        <v>#N/A</v>
      </c>
      <c r="E53" s="306">
        <f>'GEN.AD - PAY'!E54</f>
        <v>0</v>
      </c>
      <c r="F53" s="49">
        <f>'GEN.AD - PAY'!L54</f>
        <v>0</v>
      </c>
      <c r="G53" s="36">
        <f>ROUND('GEN.AD - PAY'!I54*0.09,2)</f>
        <v>0</v>
      </c>
      <c r="H53" s="88"/>
      <c r="I53" s="88"/>
      <c r="J53" s="88"/>
      <c r="K53" s="88"/>
      <c r="L53" s="88"/>
      <c r="M53" s="88"/>
      <c r="N53" s="88"/>
      <c r="O53" s="88"/>
      <c r="P53" s="88"/>
      <c r="Q53" s="88"/>
      <c r="R53" s="41">
        <f t="shared" si="1"/>
        <v>0</v>
      </c>
      <c r="S53" s="86"/>
      <c r="T53" s="87"/>
      <c r="U53" s="88"/>
      <c r="V53" s="88"/>
      <c r="W53" s="88"/>
      <c r="X53" s="38">
        <f t="shared" si="2"/>
        <v>0</v>
      </c>
      <c r="Y53" s="49">
        <f>MIN(ROUNDDOWN('GEN.AD - PAY'!I54*0.05/2,2),2500)</f>
        <v>0</v>
      </c>
      <c r="Z53" s="86"/>
      <c r="AA53" s="87"/>
      <c r="AB53" s="88"/>
      <c r="AC53" s="88"/>
      <c r="AD53" s="88"/>
      <c r="AE53" s="35">
        <f t="shared" si="3"/>
        <v>0</v>
      </c>
      <c r="AF53" s="62">
        <f t="shared" si="4"/>
        <v>0</v>
      </c>
    </row>
    <row r="54" spans="1:32" ht="18.75" customHeight="1" x14ac:dyDescent="0.25">
      <c r="A54" s="98"/>
      <c r="B54" s="33">
        <f t="shared" si="5"/>
        <v>35</v>
      </c>
      <c r="C54" s="72">
        <f>'GEN.AD - PAY'!C55</f>
        <v>0</v>
      </c>
      <c r="D54" s="72" t="e">
        <f>'GEN.AD - PAY'!D55</f>
        <v>#N/A</v>
      </c>
      <c r="E54" s="306">
        <f>'GEN.AD - PAY'!E55</f>
        <v>0</v>
      </c>
      <c r="F54" s="49">
        <f>'GEN.AD - PAY'!L55</f>
        <v>0</v>
      </c>
      <c r="G54" s="36">
        <f>ROUND('GEN.AD - PAY'!I55*0.09,2)</f>
        <v>0</v>
      </c>
      <c r="H54" s="88"/>
      <c r="I54" s="88"/>
      <c r="J54" s="88"/>
      <c r="K54" s="88"/>
      <c r="L54" s="88"/>
      <c r="M54" s="88"/>
      <c r="N54" s="88"/>
      <c r="O54" s="88"/>
      <c r="P54" s="88"/>
      <c r="Q54" s="88"/>
      <c r="R54" s="41">
        <f t="shared" si="1"/>
        <v>0</v>
      </c>
      <c r="S54" s="86"/>
      <c r="T54" s="87"/>
      <c r="U54" s="88"/>
      <c r="V54" s="88"/>
      <c r="W54" s="88"/>
      <c r="X54" s="38">
        <f t="shared" si="2"/>
        <v>0</v>
      </c>
      <c r="Y54" s="49">
        <f>MIN(ROUNDDOWN('GEN.AD - PAY'!I55*0.05/2,2),2500)</f>
        <v>0</v>
      </c>
      <c r="Z54" s="86"/>
      <c r="AA54" s="87"/>
      <c r="AB54" s="88"/>
      <c r="AC54" s="88"/>
      <c r="AD54" s="88"/>
      <c r="AE54" s="35">
        <f t="shared" si="3"/>
        <v>0</v>
      </c>
      <c r="AF54" s="62">
        <f t="shared" si="4"/>
        <v>0</v>
      </c>
    </row>
    <row r="55" spans="1:32" ht="18.75" customHeight="1" x14ac:dyDescent="0.25">
      <c r="A55" s="98"/>
      <c r="B55" s="33">
        <f t="shared" si="5"/>
        <v>36</v>
      </c>
      <c r="C55" s="72">
        <f>'GEN.AD - PAY'!C56</f>
        <v>0</v>
      </c>
      <c r="D55" s="72" t="e">
        <f>'GEN.AD - PAY'!D56</f>
        <v>#N/A</v>
      </c>
      <c r="E55" s="306">
        <f>'GEN.AD - PAY'!E56</f>
        <v>0</v>
      </c>
      <c r="F55" s="49">
        <f>'GEN.AD - PAY'!L56</f>
        <v>0</v>
      </c>
      <c r="G55" s="36">
        <f>ROUND('GEN.AD - PAY'!I56*0.09,2)</f>
        <v>0</v>
      </c>
      <c r="H55" s="88"/>
      <c r="I55" s="88"/>
      <c r="J55" s="88"/>
      <c r="K55" s="88"/>
      <c r="L55" s="88"/>
      <c r="M55" s="88"/>
      <c r="N55" s="88"/>
      <c r="O55" s="88"/>
      <c r="P55" s="88"/>
      <c r="Q55" s="88"/>
      <c r="R55" s="41">
        <f t="shared" si="1"/>
        <v>0</v>
      </c>
      <c r="S55" s="86"/>
      <c r="T55" s="87"/>
      <c r="U55" s="88"/>
      <c r="V55" s="88"/>
      <c r="W55" s="88"/>
      <c r="X55" s="38">
        <f t="shared" si="2"/>
        <v>0</v>
      </c>
      <c r="Y55" s="49">
        <f>MIN(ROUNDDOWN('GEN.AD - PAY'!I56*0.05/2,2),2500)</f>
        <v>0</v>
      </c>
      <c r="Z55" s="86"/>
      <c r="AA55" s="87"/>
      <c r="AB55" s="88"/>
      <c r="AC55" s="88"/>
      <c r="AD55" s="88"/>
      <c r="AE55" s="35">
        <f t="shared" si="3"/>
        <v>0</v>
      </c>
      <c r="AF55" s="62">
        <f t="shared" si="4"/>
        <v>0</v>
      </c>
    </row>
    <row r="56" spans="1:32" ht="18.75" customHeight="1" x14ac:dyDescent="0.25">
      <c r="A56" s="98"/>
      <c r="B56" s="33">
        <f t="shared" si="5"/>
        <v>37</v>
      </c>
      <c r="C56" s="72">
        <f>'GEN.AD - PAY'!C57</f>
        <v>0</v>
      </c>
      <c r="D56" s="72" t="e">
        <f>'GEN.AD - PAY'!D57</f>
        <v>#N/A</v>
      </c>
      <c r="E56" s="306">
        <f>'GEN.AD - PAY'!E57</f>
        <v>0</v>
      </c>
      <c r="F56" s="49">
        <f>'GEN.AD - PAY'!L57</f>
        <v>0</v>
      </c>
      <c r="G56" s="36">
        <f>ROUND('GEN.AD - PAY'!I57*0.09,2)</f>
        <v>0</v>
      </c>
      <c r="H56" s="88"/>
      <c r="I56" s="88"/>
      <c r="J56" s="88"/>
      <c r="K56" s="88"/>
      <c r="L56" s="88"/>
      <c r="M56" s="88"/>
      <c r="N56" s="88"/>
      <c r="O56" s="88"/>
      <c r="P56" s="88"/>
      <c r="Q56" s="88"/>
      <c r="R56" s="41">
        <f t="shared" si="1"/>
        <v>0</v>
      </c>
      <c r="S56" s="86"/>
      <c r="T56" s="87"/>
      <c r="U56" s="88"/>
      <c r="V56" s="88"/>
      <c r="W56" s="88"/>
      <c r="X56" s="38">
        <f t="shared" si="2"/>
        <v>0</v>
      </c>
      <c r="Y56" s="49">
        <f>MIN(ROUNDDOWN('GEN.AD - PAY'!I57*0.05/2,2),2500)</f>
        <v>0</v>
      </c>
      <c r="Z56" s="86"/>
      <c r="AA56" s="87"/>
      <c r="AB56" s="88"/>
      <c r="AC56" s="88"/>
      <c r="AD56" s="88"/>
      <c r="AE56" s="35">
        <f t="shared" si="3"/>
        <v>0</v>
      </c>
      <c r="AF56" s="62">
        <f t="shared" si="4"/>
        <v>0</v>
      </c>
    </row>
    <row r="57" spans="1:32" ht="18.75" customHeight="1" x14ac:dyDescent="0.25">
      <c r="A57" s="98"/>
      <c r="B57" s="33">
        <f t="shared" si="5"/>
        <v>38</v>
      </c>
      <c r="C57" s="72">
        <f>'GEN.AD - PAY'!C58</f>
        <v>0</v>
      </c>
      <c r="D57" s="72" t="e">
        <f>'GEN.AD - PAY'!D58</f>
        <v>#N/A</v>
      </c>
      <c r="E57" s="306">
        <f>'GEN.AD - PAY'!E58</f>
        <v>0</v>
      </c>
      <c r="F57" s="49">
        <f>'GEN.AD - PAY'!L58</f>
        <v>0</v>
      </c>
      <c r="G57" s="36">
        <f>ROUND('GEN.AD - PAY'!I58*0.09,2)</f>
        <v>0</v>
      </c>
      <c r="H57" s="88"/>
      <c r="I57" s="88"/>
      <c r="J57" s="88"/>
      <c r="K57" s="88"/>
      <c r="L57" s="88"/>
      <c r="M57" s="88"/>
      <c r="N57" s="88"/>
      <c r="O57" s="88"/>
      <c r="P57" s="88"/>
      <c r="Q57" s="88"/>
      <c r="R57" s="41">
        <f t="shared" si="1"/>
        <v>0</v>
      </c>
      <c r="S57" s="86"/>
      <c r="T57" s="87"/>
      <c r="U57" s="88"/>
      <c r="V57" s="88"/>
      <c r="W57" s="88"/>
      <c r="X57" s="38">
        <f t="shared" si="2"/>
        <v>0</v>
      </c>
      <c r="Y57" s="49">
        <f>MIN(ROUNDDOWN('GEN.AD - PAY'!I58*0.05/2,2),2500)</f>
        <v>0</v>
      </c>
      <c r="Z57" s="86"/>
      <c r="AA57" s="87"/>
      <c r="AB57" s="88"/>
      <c r="AC57" s="88"/>
      <c r="AD57" s="88"/>
      <c r="AE57" s="35">
        <f t="shared" si="3"/>
        <v>0</v>
      </c>
      <c r="AF57" s="62">
        <f t="shared" si="4"/>
        <v>0</v>
      </c>
    </row>
    <row r="58" spans="1:32" ht="18.75" customHeight="1" x14ac:dyDescent="0.25">
      <c r="A58" s="98"/>
      <c r="B58" s="33">
        <f t="shared" si="5"/>
        <v>39</v>
      </c>
      <c r="C58" s="72">
        <f>'GEN.AD - PAY'!C59</f>
        <v>0</v>
      </c>
      <c r="D58" s="72" t="e">
        <f>'GEN.AD - PAY'!D59</f>
        <v>#N/A</v>
      </c>
      <c r="E58" s="306">
        <f>'GEN.AD - PAY'!E59</f>
        <v>0</v>
      </c>
      <c r="F58" s="49">
        <f>'GEN.AD - PAY'!L59</f>
        <v>0</v>
      </c>
      <c r="G58" s="36">
        <f>ROUND('GEN.AD - PAY'!I59*0.09,2)</f>
        <v>0</v>
      </c>
      <c r="H58" s="88"/>
      <c r="I58" s="88"/>
      <c r="J58" s="88"/>
      <c r="K58" s="88"/>
      <c r="L58" s="88"/>
      <c r="M58" s="88"/>
      <c r="N58" s="88"/>
      <c r="O58" s="88"/>
      <c r="P58" s="88"/>
      <c r="Q58" s="88"/>
      <c r="R58" s="41">
        <f t="shared" si="1"/>
        <v>0</v>
      </c>
      <c r="S58" s="86"/>
      <c r="T58" s="87"/>
      <c r="U58" s="88"/>
      <c r="V58" s="88"/>
      <c r="W58" s="88"/>
      <c r="X58" s="38">
        <f t="shared" si="2"/>
        <v>0</v>
      </c>
      <c r="Y58" s="49">
        <f>MIN(ROUNDDOWN('GEN.AD - PAY'!I59*0.05/2,2),2500)</f>
        <v>0</v>
      </c>
      <c r="Z58" s="86"/>
      <c r="AA58" s="87"/>
      <c r="AB58" s="88"/>
      <c r="AC58" s="88"/>
      <c r="AD58" s="88"/>
      <c r="AE58" s="35">
        <f t="shared" si="3"/>
        <v>0</v>
      </c>
      <c r="AF58" s="62">
        <f t="shared" si="4"/>
        <v>0</v>
      </c>
    </row>
    <row r="59" spans="1:32" ht="18.75" customHeight="1" x14ac:dyDescent="0.25">
      <c r="A59" s="98"/>
      <c r="B59" s="33">
        <f t="shared" si="5"/>
        <v>40</v>
      </c>
      <c r="C59" s="72">
        <f>'GEN.AD - PAY'!C60</f>
        <v>0</v>
      </c>
      <c r="D59" s="72" t="e">
        <f>'GEN.AD - PAY'!D60</f>
        <v>#N/A</v>
      </c>
      <c r="E59" s="306">
        <f>'GEN.AD - PAY'!E60</f>
        <v>0</v>
      </c>
      <c r="F59" s="49">
        <f>'GEN.AD - PAY'!L60</f>
        <v>0</v>
      </c>
      <c r="G59" s="36">
        <f>ROUND('GEN.AD - PAY'!I60*0.09,2)</f>
        <v>0</v>
      </c>
      <c r="H59" s="88"/>
      <c r="I59" s="88"/>
      <c r="J59" s="88"/>
      <c r="K59" s="88"/>
      <c r="L59" s="88"/>
      <c r="M59" s="88"/>
      <c r="N59" s="88"/>
      <c r="O59" s="88"/>
      <c r="P59" s="88"/>
      <c r="Q59" s="88"/>
      <c r="R59" s="41">
        <f t="shared" si="1"/>
        <v>0</v>
      </c>
      <c r="S59" s="86"/>
      <c r="T59" s="87"/>
      <c r="U59" s="88"/>
      <c r="V59" s="88"/>
      <c r="W59" s="88"/>
      <c r="X59" s="38">
        <f t="shared" si="2"/>
        <v>0</v>
      </c>
      <c r="Y59" s="49">
        <f>MIN(ROUNDDOWN('GEN.AD - PAY'!I60*0.05/2,2),2500)</f>
        <v>0</v>
      </c>
      <c r="Z59" s="86"/>
      <c r="AA59" s="87"/>
      <c r="AB59" s="88"/>
      <c r="AC59" s="88"/>
      <c r="AD59" s="88"/>
      <c r="AE59" s="35">
        <f t="shared" si="3"/>
        <v>0</v>
      </c>
      <c r="AF59" s="62">
        <f t="shared" si="4"/>
        <v>0</v>
      </c>
    </row>
    <row r="60" spans="1:32" ht="18.75" customHeight="1" x14ac:dyDescent="0.25">
      <c r="A60" s="98"/>
      <c r="B60" s="33">
        <f t="shared" si="5"/>
        <v>41</v>
      </c>
      <c r="C60" s="72">
        <f>'GEN.AD - PAY'!C61</f>
        <v>0</v>
      </c>
      <c r="D60" s="72" t="e">
        <f>'GEN.AD - PAY'!D61</f>
        <v>#N/A</v>
      </c>
      <c r="E60" s="306">
        <f>'GEN.AD - PAY'!E61</f>
        <v>0</v>
      </c>
      <c r="F60" s="49">
        <f>'GEN.AD - PAY'!L61</f>
        <v>0</v>
      </c>
      <c r="G60" s="36">
        <f>ROUND('GEN.AD - PAY'!I61*0.09,2)</f>
        <v>0</v>
      </c>
      <c r="H60" s="88"/>
      <c r="I60" s="88"/>
      <c r="J60" s="88"/>
      <c r="K60" s="88"/>
      <c r="L60" s="88"/>
      <c r="M60" s="88"/>
      <c r="N60" s="88"/>
      <c r="O60" s="88"/>
      <c r="P60" s="88"/>
      <c r="Q60" s="88"/>
      <c r="R60" s="41">
        <f t="shared" si="1"/>
        <v>0</v>
      </c>
      <c r="S60" s="86"/>
      <c r="T60" s="87"/>
      <c r="U60" s="88"/>
      <c r="V60" s="88"/>
      <c r="W60" s="88"/>
      <c r="X60" s="38">
        <f t="shared" si="2"/>
        <v>0</v>
      </c>
      <c r="Y60" s="49">
        <f>MIN(ROUNDDOWN('GEN.AD - PAY'!I61*0.05/2,2),2500)</f>
        <v>0</v>
      </c>
      <c r="Z60" s="86"/>
      <c r="AA60" s="87"/>
      <c r="AB60" s="88"/>
      <c r="AC60" s="88"/>
      <c r="AD60" s="88"/>
      <c r="AE60" s="35">
        <f t="shared" si="3"/>
        <v>0</v>
      </c>
      <c r="AF60" s="62">
        <f t="shared" si="4"/>
        <v>0</v>
      </c>
    </row>
    <row r="61" spans="1:32" ht="18.75" customHeight="1" x14ac:dyDescent="0.25">
      <c r="A61" s="98"/>
      <c r="B61" s="33">
        <f t="shared" si="5"/>
        <v>42</v>
      </c>
      <c r="C61" s="72">
        <f>'GEN.AD - PAY'!C62</f>
        <v>0</v>
      </c>
      <c r="D61" s="72" t="e">
        <f>'GEN.AD - PAY'!D62</f>
        <v>#N/A</v>
      </c>
      <c r="E61" s="306">
        <f>'GEN.AD - PAY'!E62</f>
        <v>0</v>
      </c>
      <c r="F61" s="49">
        <f>'GEN.AD - PAY'!L62</f>
        <v>0</v>
      </c>
      <c r="G61" s="36">
        <f>ROUND('GEN.AD - PAY'!I62*0.09,2)</f>
        <v>0</v>
      </c>
      <c r="H61" s="88"/>
      <c r="I61" s="88"/>
      <c r="J61" s="88"/>
      <c r="K61" s="88"/>
      <c r="L61" s="88"/>
      <c r="M61" s="88"/>
      <c r="N61" s="88"/>
      <c r="O61" s="88"/>
      <c r="P61" s="88"/>
      <c r="Q61" s="88"/>
      <c r="R61" s="41">
        <f t="shared" si="1"/>
        <v>0</v>
      </c>
      <c r="S61" s="86"/>
      <c r="T61" s="87"/>
      <c r="U61" s="88"/>
      <c r="V61" s="88"/>
      <c r="W61" s="88"/>
      <c r="X61" s="38">
        <f t="shared" si="2"/>
        <v>0</v>
      </c>
      <c r="Y61" s="49">
        <f>MIN(ROUNDDOWN('GEN.AD - PAY'!I62*0.05/2,2),2500)</f>
        <v>0</v>
      </c>
      <c r="Z61" s="86"/>
      <c r="AA61" s="87"/>
      <c r="AB61" s="88"/>
      <c r="AC61" s="88"/>
      <c r="AD61" s="88"/>
      <c r="AE61" s="35">
        <f t="shared" si="3"/>
        <v>0</v>
      </c>
      <c r="AF61" s="62">
        <f t="shared" si="4"/>
        <v>0</v>
      </c>
    </row>
    <row r="62" spans="1:32" ht="18.75" customHeight="1" x14ac:dyDescent="0.25">
      <c r="A62" s="98"/>
      <c r="B62" s="33">
        <f t="shared" si="5"/>
        <v>43</v>
      </c>
      <c r="C62" s="72">
        <f>'GEN.AD - PAY'!C63</f>
        <v>0</v>
      </c>
      <c r="D62" s="72" t="e">
        <f>'GEN.AD - PAY'!D63</f>
        <v>#N/A</v>
      </c>
      <c r="E62" s="306">
        <f>'GEN.AD - PAY'!E63</f>
        <v>0</v>
      </c>
      <c r="F62" s="49">
        <f>'GEN.AD - PAY'!L63</f>
        <v>0</v>
      </c>
      <c r="G62" s="36">
        <f>ROUND('GEN.AD - PAY'!I63*0.09,2)</f>
        <v>0</v>
      </c>
      <c r="H62" s="88"/>
      <c r="I62" s="88"/>
      <c r="J62" s="88"/>
      <c r="K62" s="88"/>
      <c r="L62" s="88"/>
      <c r="M62" s="88"/>
      <c r="N62" s="88"/>
      <c r="O62" s="88"/>
      <c r="P62" s="88"/>
      <c r="Q62" s="88"/>
      <c r="R62" s="41">
        <f t="shared" si="1"/>
        <v>0</v>
      </c>
      <c r="S62" s="86"/>
      <c r="T62" s="87"/>
      <c r="U62" s="88"/>
      <c r="V62" s="88"/>
      <c r="W62" s="88"/>
      <c r="X62" s="38">
        <f t="shared" si="2"/>
        <v>0</v>
      </c>
      <c r="Y62" s="49">
        <f>MIN(ROUNDDOWN('GEN.AD - PAY'!I63*0.05/2,2),2500)</f>
        <v>0</v>
      </c>
      <c r="Z62" s="86"/>
      <c r="AA62" s="87"/>
      <c r="AB62" s="88"/>
      <c r="AC62" s="88"/>
      <c r="AD62" s="88"/>
      <c r="AE62" s="35">
        <f t="shared" si="3"/>
        <v>0</v>
      </c>
      <c r="AF62" s="62">
        <f t="shared" si="4"/>
        <v>0</v>
      </c>
    </row>
    <row r="63" spans="1:32" ht="18.75" customHeight="1" x14ac:dyDescent="0.25">
      <c r="A63" s="98"/>
      <c r="B63" s="33">
        <f t="shared" si="5"/>
        <v>44</v>
      </c>
      <c r="C63" s="72">
        <f>'GEN.AD - PAY'!C64</f>
        <v>0</v>
      </c>
      <c r="D63" s="72" t="e">
        <f>'GEN.AD - PAY'!D64</f>
        <v>#N/A</v>
      </c>
      <c r="E63" s="306">
        <f>'GEN.AD - PAY'!E64</f>
        <v>0</v>
      </c>
      <c r="F63" s="49">
        <f>'GEN.AD - PAY'!L64</f>
        <v>0</v>
      </c>
      <c r="G63" s="36">
        <f>ROUND('GEN.AD - PAY'!I64*0.09,2)</f>
        <v>0</v>
      </c>
      <c r="H63" s="88"/>
      <c r="I63" s="88"/>
      <c r="J63" s="88"/>
      <c r="K63" s="88"/>
      <c r="L63" s="88"/>
      <c r="M63" s="88"/>
      <c r="N63" s="88"/>
      <c r="O63" s="88"/>
      <c r="P63" s="88"/>
      <c r="Q63" s="88"/>
      <c r="R63" s="41">
        <f t="shared" si="1"/>
        <v>0</v>
      </c>
      <c r="S63" s="86"/>
      <c r="T63" s="87"/>
      <c r="U63" s="88"/>
      <c r="V63" s="88"/>
      <c r="W63" s="88"/>
      <c r="X63" s="38">
        <f t="shared" si="2"/>
        <v>0</v>
      </c>
      <c r="Y63" s="49">
        <f>MIN(ROUNDDOWN('GEN.AD - PAY'!I64*0.05/2,2),2500)</f>
        <v>0</v>
      </c>
      <c r="Z63" s="86"/>
      <c r="AA63" s="87"/>
      <c r="AB63" s="88"/>
      <c r="AC63" s="88"/>
      <c r="AD63" s="88"/>
      <c r="AE63" s="35">
        <f t="shared" si="3"/>
        <v>0</v>
      </c>
      <c r="AF63" s="62">
        <f t="shared" si="4"/>
        <v>0</v>
      </c>
    </row>
    <row r="64" spans="1:32" ht="18.75" customHeight="1" x14ac:dyDescent="0.25">
      <c r="A64" s="98"/>
      <c r="B64" s="33">
        <f t="shared" si="5"/>
        <v>45</v>
      </c>
      <c r="C64" s="72">
        <f>'GEN.AD - PAY'!C65</f>
        <v>0</v>
      </c>
      <c r="D64" s="72" t="e">
        <f>'GEN.AD - PAY'!D65</f>
        <v>#N/A</v>
      </c>
      <c r="E64" s="306">
        <f>'GEN.AD - PAY'!E65</f>
        <v>0</v>
      </c>
      <c r="F64" s="49">
        <f>'GEN.AD - PAY'!L65</f>
        <v>0</v>
      </c>
      <c r="G64" s="36">
        <f>ROUND('GEN.AD - PAY'!I65*0.09,2)</f>
        <v>0</v>
      </c>
      <c r="H64" s="88"/>
      <c r="I64" s="88"/>
      <c r="J64" s="88"/>
      <c r="K64" s="88"/>
      <c r="L64" s="88"/>
      <c r="M64" s="88"/>
      <c r="N64" s="88"/>
      <c r="O64" s="88"/>
      <c r="P64" s="88"/>
      <c r="Q64" s="88"/>
      <c r="R64" s="41">
        <f t="shared" si="1"/>
        <v>0</v>
      </c>
      <c r="S64" s="86"/>
      <c r="T64" s="87"/>
      <c r="U64" s="88"/>
      <c r="V64" s="88"/>
      <c r="W64" s="88"/>
      <c r="X64" s="38">
        <f t="shared" si="2"/>
        <v>0</v>
      </c>
      <c r="Y64" s="49">
        <f>MIN(ROUNDDOWN('GEN.AD - PAY'!I65*0.05/2,2),2500)</f>
        <v>0</v>
      </c>
      <c r="Z64" s="86"/>
      <c r="AA64" s="87"/>
      <c r="AB64" s="88"/>
      <c r="AC64" s="88"/>
      <c r="AD64" s="88"/>
      <c r="AE64" s="35">
        <f t="shared" si="3"/>
        <v>0</v>
      </c>
      <c r="AF64" s="62">
        <f t="shared" si="4"/>
        <v>0</v>
      </c>
    </row>
    <row r="65" spans="1:32" ht="18.75" customHeight="1" x14ac:dyDescent="0.25">
      <c r="A65" s="98"/>
      <c r="B65" s="33">
        <f t="shared" si="5"/>
        <v>46</v>
      </c>
      <c r="C65" s="72">
        <f>'GEN.AD - PAY'!C66</f>
        <v>0</v>
      </c>
      <c r="D65" s="72" t="e">
        <f>'GEN.AD - PAY'!D66</f>
        <v>#N/A</v>
      </c>
      <c r="E65" s="306">
        <f>'GEN.AD - PAY'!E66</f>
        <v>0</v>
      </c>
      <c r="F65" s="49">
        <f>'GEN.AD - PAY'!L66</f>
        <v>0</v>
      </c>
      <c r="G65" s="36">
        <f>ROUND('GEN.AD - PAY'!I66*0.09,2)</f>
        <v>0</v>
      </c>
      <c r="H65" s="88"/>
      <c r="I65" s="88"/>
      <c r="J65" s="88"/>
      <c r="K65" s="88"/>
      <c r="L65" s="88"/>
      <c r="M65" s="88"/>
      <c r="N65" s="88"/>
      <c r="O65" s="88"/>
      <c r="P65" s="88"/>
      <c r="Q65" s="88"/>
      <c r="R65" s="41">
        <f t="shared" si="1"/>
        <v>0</v>
      </c>
      <c r="S65" s="86"/>
      <c r="T65" s="87"/>
      <c r="U65" s="88"/>
      <c r="V65" s="88"/>
      <c r="W65" s="88"/>
      <c r="X65" s="38">
        <f t="shared" si="2"/>
        <v>0</v>
      </c>
      <c r="Y65" s="49">
        <f>MIN(ROUNDDOWN('GEN.AD - PAY'!I66*0.05/2,2),2500)</f>
        <v>0</v>
      </c>
      <c r="Z65" s="86"/>
      <c r="AA65" s="87"/>
      <c r="AB65" s="88"/>
      <c r="AC65" s="88"/>
      <c r="AD65" s="88"/>
      <c r="AE65" s="35">
        <f t="shared" si="3"/>
        <v>0</v>
      </c>
      <c r="AF65" s="62">
        <f t="shared" si="4"/>
        <v>0</v>
      </c>
    </row>
    <row r="66" spans="1:32" ht="18.75" customHeight="1" x14ac:dyDescent="0.25">
      <c r="A66" s="98"/>
      <c r="B66" s="33">
        <f t="shared" si="5"/>
        <v>47</v>
      </c>
      <c r="C66" s="72">
        <f>'GEN.AD - PAY'!C67</f>
        <v>0</v>
      </c>
      <c r="D66" s="72" t="e">
        <f>'GEN.AD - PAY'!D67</f>
        <v>#N/A</v>
      </c>
      <c r="E66" s="306">
        <f>'GEN.AD - PAY'!E67</f>
        <v>0</v>
      </c>
      <c r="F66" s="49">
        <f>'GEN.AD - PAY'!L67</f>
        <v>0</v>
      </c>
      <c r="G66" s="36">
        <f>ROUND('GEN.AD - PAY'!I67*0.09,2)</f>
        <v>0</v>
      </c>
      <c r="H66" s="88"/>
      <c r="I66" s="88"/>
      <c r="J66" s="88"/>
      <c r="K66" s="88"/>
      <c r="L66" s="88"/>
      <c r="M66" s="88"/>
      <c r="N66" s="88"/>
      <c r="O66" s="88"/>
      <c r="P66" s="88"/>
      <c r="Q66" s="88"/>
      <c r="R66" s="41">
        <f t="shared" si="1"/>
        <v>0</v>
      </c>
      <c r="S66" s="86"/>
      <c r="T66" s="87"/>
      <c r="U66" s="88"/>
      <c r="V66" s="88"/>
      <c r="W66" s="88"/>
      <c r="X66" s="38">
        <f t="shared" si="2"/>
        <v>0</v>
      </c>
      <c r="Y66" s="49">
        <f>MIN(ROUNDDOWN('GEN.AD - PAY'!I67*0.05/2,2),2500)</f>
        <v>0</v>
      </c>
      <c r="Z66" s="86"/>
      <c r="AA66" s="87"/>
      <c r="AB66" s="88"/>
      <c r="AC66" s="88"/>
      <c r="AD66" s="88"/>
      <c r="AE66" s="35">
        <f t="shared" si="3"/>
        <v>0</v>
      </c>
      <c r="AF66" s="62">
        <f t="shared" si="4"/>
        <v>0</v>
      </c>
    </row>
    <row r="67" spans="1:32" ht="18.75" customHeight="1" x14ac:dyDescent="0.25">
      <c r="A67" s="98"/>
      <c r="B67" s="33">
        <f t="shared" si="5"/>
        <v>48</v>
      </c>
      <c r="C67" s="72">
        <f>'GEN.AD - PAY'!C68</f>
        <v>0</v>
      </c>
      <c r="D67" s="72" t="e">
        <f>'GEN.AD - PAY'!D68</f>
        <v>#N/A</v>
      </c>
      <c r="E67" s="306">
        <f>'GEN.AD - PAY'!E68</f>
        <v>0</v>
      </c>
      <c r="F67" s="49">
        <f>'GEN.AD - PAY'!L68</f>
        <v>0</v>
      </c>
      <c r="G67" s="36">
        <f>ROUND('GEN.AD - PAY'!I68*0.09,2)</f>
        <v>0</v>
      </c>
      <c r="H67" s="88"/>
      <c r="I67" s="88"/>
      <c r="J67" s="88"/>
      <c r="K67" s="88"/>
      <c r="L67" s="88"/>
      <c r="M67" s="88"/>
      <c r="N67" s="88"/>
      <c r="O67" s="88"/>
      <c r="P67" s="88"/>
      <c r="Q67" s="88"/>
      <c r="R67" s="41">
        <f t="shared" si="1"/>
        <v>0</v>
      </c>
      <c r="S67" s="86"/>
      <c r="T67" s="87"/>
      <c r="U67" s="88"/>
      <c r="V67" s="88"/>
      <c r="W67" s="88"/>
      <c r="X67" s="38">
        <f t="shared" si="2"/>
        <v>0</v>
      </c>
      <c r="Y67" s="49">
        <f>MIN(ROUNDDOWN('GEN.AD - PAY'!I68*0.05/2,2),2500)</f>
        <v>0</v>
      </c>
      <c r="Z67" s="86"/>
      <c r="AA67" s="87"/>
      <c r="AB67" s="88"/>
      <c r="AC67" s="88"/>
      <c r="AD67" s="88"/>
      <c r="AE67" s="35">
        <f t="shared" si="3"/>
        <v>0</v>
      </c>
      <c r="AF67" s="62">
        <f t="shared" si="4"/>
        <v>0</v>
      </c>
    </row>
    <row r="68" spans="1:32" ht="18.75" customHeight="1" x14ac:dyDescent="0.25">
      <c r="A68" s="98"/>
      <c r="B68" s="33">
        <f t="shared" si="5"/>
        <v>49</v>
      </c>
      <c r="C68" s="72">
        <f>'GEN.AD - PAY'!C69</f>
        <v>0</v>
      </c>
      <c r="D68" s="72" t="e">
        <f>'GEN.AD - PAY'!D69</f>
        <v>#N/A</v>
      </c>
      <c r="E68" s="306">
        <f>'GEN.AD - PAY'!E69</f>
        <v>0</v>
      </c>
      <c r="F68" s="49">
        <f>'GEN.AD - PAY'!L69</f>
        <v>0</v>
      </c>
      <c r="G68" s="36">
        <f>ROUND('GEN.AD - PAY'!I69*0.09,2)</f>
        <v>0</v>
      </c>
      <c r="H68" s="88"/>
      <c r="I68" s="88"/>
      <c r="J68" s="88"/>
      <c r="K68" s="88"/>
      <c r="L68" s="88"/>
      <c r="M68" s="88"/>
      <c r="N68" s="88"/>
      <c r="O68" s="88"/>
      <c r="P68" s="88"/>
      <c r="Q68" s="88"/>
      <c r="R68" s="41">
        <f t="shared" si="1"/>
        <v>0</v>
      </c>
      <c r="S68" s="86"/>
      <c r="T68" s="87"/>
      <c r="U68" s="88"/>
      <c r="V68" s="88"/>
      <c r="W68" s="88"/>
      <c r="X68" s="38">
        <f t="shared" si="2"/>
        <v>0</v>
      </c>
      <c r="Y68" s="49">
        <f>MIN(ROUNDDOWN('GEN.AD - PAY'!I69*0.05/2,2),2500)</f>
        <v>0</v>
      </c>
      <c r="Z68" s="86"/>
      <c r="AA68" s="87"/>
      <c r="AB68" s="88"/>
      <c r="AC68" s="88"/>
      <c r="AD68" s="88"/>
      <c r="AE68" s="35">
        <f t="shared" si="3"/>
        <v>0</v>
      </c>
      <c r="AF68" s="62">
        <f t="shared" si="4"/>
        <v>0</v>
      </c>
    </row>
    <row r="69" spans="1:32" ht="18.75" customHeight="1" x14ac:dyDescent="0.25">
      <c r="A69" s="98"/>
      <c r="B69" s="33">
        <f t="shared" si="5"/>
        <v>50</v>
      </c>
      <c r="C69" s="72">
        <f>'GEN.AD - PAY'!C70</f>
        <v>0</v>
      </c>
      <c r="D69" s="72" t="e">
        <f>'GEN.AD - PAY'!D70</f>
        <v>#N/A</v>
      </c>
      <c r="E69" s="306">
        <f>'GEN.AD - PAY'!E70</f>
        <v>0</v>
      </c>
      <c r="F69" s="49">
        <f>'GEN.AD - PAY'!L70</f>
        <v>0</v>
      </c>
      <c r="G69" s="36">
        <f>ROUND('GEN.AD - PAY'!I70*0.09,2)</f>
        <v>0</v>
      </c>
      <c r="H69" s="88"/>
      <c r="I69" s="88"/>
      <c r="J69" s="88"/>
      <c r="K69" s="88"/>
      <c r="L69" s="88"/>
      <c r="M69" s="88"/>
      <c r="N69" s="88"/>
      <c r="O69" s="88"/>
      <c r="P69" s="88"/>
      <c r="Q69" s="88"/>
      <c r="R69" s="41">
        <f t="shared" si="1"/>
        <v>0</v>
      </c>
      <c r="S69" s="86"/>
      <c r="T69" s="87"/>
      <c r="U69" s="88"/>
      <c r="V69" s="88"/>
      <c r="W69" s="88"/>
      <c r="X69" s="38">
        <f t="shared" si="2"/>
        <v>0</v>
      </c>
      <c r="Y69" s="49">
        <f>MIN(ROUNDDOWN('GEN.AD - PAY'!I70*0.05/2,2),2500)</f>
        <v>0</v>
      </c>
      <c r="Z69" s="86"/>
      <c r="AA69" s="87"/>
      <c r="AB69" s="88"/>
      <c r="AC69" s="88"/>
      <c r="AD69" s="88"/>
      <c r="AE69" s="35">
        <f t="shared" si="3"/>
        <v>0</v>
      </c>
      <c r="AF69" s="62">
        <f t="shared" si="4"/>
        <v>0</v>
      </c>
    </row>
    <row r="70" spans="1:32" ht="18.75" customHeight="1" x14ac:dyDescent="0.25">
      <c r="A70" s="98"/>
      <c r="B70" s="33">
        <f t="shared" si="5"/>
        <v>51</v>
      </c>
      <c r="C70" s="72">
        <f>'GEN.AD - PAY'!C71</f>
        <v>0</v>
      </c>
      <c r="D70" s="72" t="e">
        <f>'GEN.AD - PAY'!D71</f>
        <v>#N/A</v>
      </c>
      <c r="E70" s="306">
        <f>'GEN.AD - PAY'!E71</f>
        <v>0</v>
      </c>
      <c r="F70" s="49">
        <f>'GEN.AD - PAY'!L71</f>
        <v>0</v>
      </c>
      <c r="G70" s="36">
        <f>ROUND('GEN.AD - PAY'!I71*0.09,2)</f>
        <v>0</v>
      </c>
      <c r="H70" s="88"/>
      <c r="I70" s="88"/>
      <c r="J70" s="88"/>
      <c r="K70" s="88"/>
      <c r="L70" s="88"/>
      <c r="M70" s="88"/>
      <c r="N70" s="88"/>
      <c r="O70" s="88"/>
      <c r="P70" s="88"/>
      <c r="Q70" s="88"/>
      <c r="R70" s="41">
        <f t="shared" si="1"/>
        <v>0</v>
      </c>
      <c r="S70" s="86"/>
      <c r="T70" s="87"/>
      <c r="U70" s="88"/>
      <c r="V70" s="88"/>
      <c r="W70" s="88"/>
      <c r="X70" s="38">
        <f t="shared" si="2"/>
        <v>0</v>
      </c>
      <c r="Y70" s="49">
        <f>MIN(ROUNDDOWN('GEN.AD - PAY'!I71*0.05/2,2),2500)</f>
        <v>0</v>
      </c>
      <c r="Z70" s="86"/>
      <c r="AA70" s="87"/>
      <c r="AB70" s="88"/>
      <c r="AC70" s="88"/>
      <c r="AD70" s="88"/>
      <c r="AE70" s="35">
        <f t="shared" si="3"/>
        <v>0</v>
      </c>
      <c r="AF70" s="62">
        <f t="shared" si="4"/>
        <v>0</v>
      </c>
    </row>
    <row r="71" spans="1:32" ht="18.75" customHeight="1" x14ac:dyDescent="0.25">
      <c r="A71" s="98"/>
      <c r="B71" s="33">
        <f t="shared" si="5"/>
        <v>52</v>
      </c>
      <c r="C71" s="72">
        <f>'GEN.AD - PAY'!C72</f>
        <v>0</v>
      </c>
      <c r="D71" s="72" t="e">
        <f>'GEN.AD - PAY'!D72</f>
        <v>#N/A</v>
      </c>
      <c r="E71" s="306">
        <f>'GEN.AD - PAY'!E72</f>
        <v>0</v>
      </c>
      <c r="F71" s="49">
        <f>'GEN.AD - PAY'!L72</f>
        <v>0</v>
      </c>
      <c r="G71" s="36">
        <f>ROUND('GEN.AD - PAY'!I72*0.09,2)</f>
        <v>0</v>
      </c>
      <c r="H71" s="88"/>
      <c r="I71" s="88"/>
      <c r="J71" s="88"/>
      <c r="K71" s="88"/>
      <c r="L71" s="88"/>
      <c r="M71" s="88"/>
      <c r="N71" s="88"/>
      <c r="O71" s="88"/>
      <c r="P71" s="88"/>
      <c r="Q71" s="88"/>
      <c r="R71" s="41">
        <f t="shared" si="1"/>
        <v>0</v>
      </c>
      <c r="S71" s="86"/>
      <c r="T71" s="87"/>
      <c r="U71" s="88"/>
      <c r="V71" s="88"/>
      <c r="W71" s="88"/>
      <c r="X71" s="38">
        <f t="shared" si="2"/>
        <v>0</v>
      </c>
      <c r="Y71" s="49">
        <f>MIN(ROUNDDOWN('GEN.AD - PAY'!I72*0.05/2,2),2500)</f>
        <v>0</v>
      </c>
      <c r="Z71" s="86"/>
      <c r="AA71" s="87"/>
      <c r="AB71" s="88"/>
      <c r="AC71" s="88"/>
      <c r="AD71" s="88"/>
      <c r="AE71" s="35">
        <f t="shared" si="3"/>
        <v>0</v>
      </c>
      <c r="AF71" s="62">
        <f t="shared" si="4"/>
        <v>0</v>
      </c>
    </row>
    <row r="72" spans="1:32" ht="18.75" customHeight="1" x14ac:dyDescent="0.25">
      <c r="A72" s="98"/>
      <c r="B72" s="33">
        <f t="shared" si="5"/>
        <v>53</v>
      </c>
      <c r="C72" s="72">
        <f>'GEN.AD - PAY'!C73</f>
        <v>0</v>
      </c>
      <c r="D72" s="72" t="e">
        <f>'GEN.AD - PAY'!D73</f>
        <v>#N/A</v>
      </c>
      <c r="E72" s="306">
        <f>'GEN.AD - PAY'!E73</f>
        <v>0</v>
      </c>
      <c r="F72" s="49">
        <f>'GEN.AD - PAY'!L73</f>
        <v>0</v>
      </c>
      <c r="G72" s="36">
        <f>ROUND('GEN.AD - PAY'!I73*0.09,2)</f>
        <v>0</v>
      </c>
      <c r="H72" s="88"/>
      <c r="I72" s="88"/>
      <c r="J72" s="88"/>
      <c r="K72" s="88"/>
      <c r="L72" s="88"/>
      <c r="M72" s="88"/>
      <c r="N72" s="88"/>
      <c r="O72" s="88"/>
      <c r="P72" s="88"/>
      <c r="Q72" s="88"/>
      <c r="R72" s="41">
        <f t="shared" si="1"/>
        <v>0</v>
      </c>
      <c r="S72" s="86"/>
      <c r="T72" s="87"/>
      <c r="U72" s="88"/>
      <c r="V72" s="88"/>
      <c r="W72" s="88"/>
      <c r="X72" s="38">
        <f t="shared" si="2"/>
        <v>0</v>
      </c>
      <c r="Y72" s="49">
        <f>MIN(ROUNDDOWN('GEN.AD - PAY'!I73*0.05/2,2),2500)</f>
        <v>0</v>
      </c>
      <c r="Z72" s="86"/>
      <c r="AA72" s="87"/>
      <c r="AB72" s="88"/>
      <c r="AC72" s="88"/>
      <c r="AD72" s="88"/>
      <c r="AE72" s="35">
        <f t="shared" si="3"/>
        <v>0</v>
      </c>
      <c r="AF72" s="62">
        <f t="shared" si="4"/>
        <v>0</v>
      </c>
    </row>
    <row r="73" spans="1:32" ht="18.75" customHeight="1" x14ac:dyDescent="0.25">
      <c r="A73" s="98"/>
      <c r="B73" s="33">
        <f t="shared" si="5"/>
        <v>54</v>
      </c>
      <c r="C73" s="72">
        <f>'GEN.AD - PAY'!C74</f>
        <v>0</v>
      </c>
      <c r="D73" s="72" t="e">
        <f>'GEN.AD - PAY'!D74</f>
        <v>#N/A</v>
      </c>
      <c r="E73" s="306">
        <f>'GEN.AD - PAY'!E74</f>
        <v>0</v>
      </c>
      <c r="F73" s="49">
        <f>'GEN.AD - PAY'!L74</f>
        <v>0</v>
      </c>
      <c r="G73" s="36">
        <f>ROUND('GEN.AD - PAY'!I74*0.09,2)</f>
        <v>0</v>
      </c>
      <c r="H73" s="88"/>
      <c r="I73" s="88"/>
      <c r="J73" s="88"/>
      <c r="K73" s="88"/>
      <c r="L73" s="88"/>
      <c r="M73" s="88"/>
      <c r="N73" s="88"/>
      <c r="O73" s="88"/>
      <c r="P73" s="88"/>
      <c r="Q73" s="88"/>
      <c r="R73" s="41">
        <f t="shared" si="1"/>
        <v>0</v>
      </c>
      <c r="S73" s="86"/>
      <c r="T73" s="87"/>
      <c r="U73" s="88"/>
      <c r="V73" s="88"/>
      <c r="W73" s="88"/>
      <c r="X73" s="38">
        <f t="shared" si="2"/>
        <v>0</v>
      </c>
      <c r="Y73" s="49">
        <f>MIN(ROUNDDOWN('GEN.AD - PAY'!I74*0.05/2,2),2500)</f>
        <v>0</v>
      </c>
      <c r="Z73" s="86"/>
      <c r="AA73" s="87"/>
      <c r="AB73" s="88"/>
      <c r="AC73" s="88"/>
      <c r="AD73" s="88"/>
      <c r="AE73" s="35">
        <f t="shared" si="3"/>
        <v>0</v>
      </c>
      <c r="AF73" s="62">
        <f t="shared" si="4"/>
        <v>0</v>
      </c>
    </row>
    <row r="74" spans="1:32" ht="18.75" customHeight="1" x14ac:dyDescent="0.25">
      <c r="A74" s="98"/>
      <c r="B74" s="33">
        <f t="shared" si="5"/>
        <v>55</v>
      </c>
      <c r="C74" s="72">
        <f>'GEN.AD - PAY'!C75</f>
        <v>0</v>
      </c>
      <c r="D74" s="72" t="e">
        <f>'GEN.AD - PAY'!D75</f>
        <v>#N/A</v>
      </c>
      <c r="E74" s="306">
        <f>'GEN.AD - PAY'!E75</f>
        <v>0</v>
      </c>
      <c r="F74" s="49">
        <f>'GEN.AD - PAY'!L75</f>
        <v>0</v>
      </c>
      <c r="G74" s="36">
        <f>ROUND('GEN.AD - PAY'!I75*0.09,2)</f>
        <v>0</v>
      </c>
      <c r="H74" s="88"/>
      <c r="I74" s="88"/>
      <c r="J74" s="88"/>
      <c r="K74" s="88"/>
      <c r="L74" s="88"/>
      <c r="M74" s="88"/>
      <c r="N74" s="88"/>
      <c r="O74" s="88"/>
      <c r="P74" s="88"/>
      <c r="Q74" s="88"/>
      <c r="R74" s="41">
        <f t="shared" si="1"/>
        <v>0</v>
      </c>
      <c r="S74" s="86"/>
      <c r="T74" s="87"/>
      <c r="U74" s="88"/>
      <c r="V74" s="88"/>
      <c r="W74" s="88"/>
      <c r="X74" s="38">
        <f t="shared" si="2"/>
        <v>0</v>
      </c>
      <c r="Y74" s="49">
        <f>MIN(ROUNDDOWN('GEN.AD - PAY'!I75*0.05/2,2),2500)</f>
        <v>0</v>
      </c>
      <c r="Z74" s="86"/>
      <c r="AA74" s="87"/>
      <c r="AB74" s="88"/>
      <c r="AC74" s="88"/>
      <c r="AD74" s="88"/>
      <c r="AE74" s="35">
        <f t="shared" si="3"/>
        <v>0</v>
      </c>
      <c r="AF74" s="62">
        <f t="shared" si="4"/>
        <v>0</v>
      </c>
    </row>
    <row r="75" spans="1:32" ht="18.75" customHeight="1" x14ac:dyDescent="0.25">
      <c r="A75" s="98"/>
      <c r="B75" s="33">
        <f t="shared" si="5"/>
        <v>56</v>
      </c>
      <c r="C75" s="72">
        <f>'GEN.AD - PAY'!C76</f>
        <v>0</v>
      </c>
      <c r="D75" s="72" t="e">
        <f>'GEN.AD - PAY'!D76</f>
        <v>#N/A</v>
      </c>
      <c r="E75" s="306">
        <f>'GEN.AD - PAY'!E76</f>
        <v>0</v>
      </c>
      <c r="F75" s="49">
        <f>'GEN.AD - PAY'!L76</f>
        <v>0</v>
      </c>
      <c r="G75" s="36">
        <f>ROUND('GEN.AD - PAY'!I76*0.09,2)</f>
        <v>0</v>
      </c>
      <c r="H75" s="88"/>
      <c r="I75" s="88"/>
      <c r="J75" s="88"/>
      <c r="K75" s="88"/>
      <c r="L75" s="88"/>
      <c r="M75" s="88"/>
      <c r="N75" s="88"/>
      <c r="O75" s="88"/>
      <c r="P75" s="88"/>
      <c r="Q75" s="88"/>
      <c r="R75" s="41">
        <f t="shared" si="1"/>
        <v>0</v>
      </c>
      <c r="S75" s="86"/>
      <c r="T75" s="87"/>
      <c r="U75" s="88"/>
      <c r="V75" s="88"/>
      <c r="W75" s="88"/>
      <c r="X75" s="38">
        <f t="shared" si="2"/>
        <v>0</v>
      </c>
      <c r="Y75" s="49">
        <f>MIN(ROUNDDOWN('GEN.AD - PAY'!I76*0.05/2,2),2500)</f>
        <v>0</v>
      </c>
      <c r="Z75" s="86"/>
      <c r="AA75" s="87"/>
      <c r="AB75" s="88"/>
      <c r="AC75" s="88"/>
      <c r="AD75" s="88"/>
      <c r="AE75" s="35">
        <f t="shared" si="3"/>
        <v>0</v>
      </c>
      <c r="AF75" s="62">
        <f t="shared" si="4"/>
        <v>0</v>
      </c>
    </row>
    <row r="76" spans="1:32" s="601" customFormat="1" ht="18.75" customHeight="1" x14ac:dyDescent="0.25">
      <c r="A76" s="587"/>
      <c r="B76" s="600">
        <f t="shared" si="5"/>
        <v>57</v>
      </c>
      <c r="C76" s="589">
        <f>'GEN.AD - PAY'!C77</f>
        <v>0</v>
      </c>
      <c r="D76" s="589" t="e">
        <f>'GEN.AD - PAY'!D77</f>
        <v>#N/A</v>
      </c>
      <c r="E76" s="591">
        <f>'GEN.AD - PAY'!E77</f>
        <v>0</v>
      </c>
      <c r="F76" s="603">
        <f>'GEN.AD - PAY'!L77</f>
        <v>0</v>
      </c>
      <c r="G76" s="595">
        <f>ROUND('GEN.AD - PAY'!I77*0.09,2)</f>
        <v>0</v>
      </c>
      <c r="H76" s="593"/>
      <c r="I76" s="593"/>
      <c r="J76" s="593"/>
      <c r="K76" s="593"/>
      <c r="L76" s="593"/>
      <c r="M76" s="593"/>
      <c r="N76" s="593"/>
      <c r="O76" s="593"/>
      <c r="P76" s="593"/>
      <c r="Q76" s="593"/>
      <c r="R76" s="602">
        <f t="shared" si="1"/>
        <v>0</v>
      </c>
      <c r="S76" s="595"/>
      <c r="T76" s="592"/>
      <c r="U76" s="593"/>
      <c r="V76" s="593"/>
      <c r="W76" s="593"/>
      <c r="X76" s="594">
        <f t="shared" si="2"/>
        <v>0</v>
      </c>
      <c r="Y76" s="603">
        <f>MIN(ROUNDDOWN('GEN.AD - PAY'!I77*0.05/2,2),2500)</f>
        <v>0</v>
      </c>
      <c r="Z76" s="595"/>
      <c r="AA76" s="592"/>
      <c r="AB76" s="593"/>
      <c r="AC76" s="593"/>
      <c r="AD76" s="593"/>
      <c r="AE76" s="596">
        <f t="shared" si="3"/>
        <v>0</v>
      </c>
      <c r="AF76" s="638">
        <f t="shared" si="4"/>
        <v>0</v>
      </c>
    </row>
    <row r="77" spans="1:32" ht="18.75" customHeight="1" x14ac:dyDescent="0.25">
      <c r="A77" s="98"/>
      <c r="B77" s="33">
        <f t="shared" si="5"/>
        <v>58</v>
      </c>
      <c r="C77" s="72">
        <f>'GEN.AD - PAY'!C78</f>
        <v>0</v>
      </c>
      <c r="D77" s="72" t="e">
        <f>'GEN.AD - PAY'!D78</f>
        <v>#N/A</v>
      </c>
      <c r="E77" s="306">
        <f>'GEN.AD - PAY'!E78</f>
        <v>0</v>
      </c>
      <c r="F77" s="49">
        <f>'GEN.AD - PAY'!L78</f>
        <v>0</v>
      </c>
      <c r="G77" s="36">
        <f>ROUND('GEN.AD - PAY'!I78*0.09,2)</f>
        <v>0</v>
      </c>
      <c r="H77" s="88"/>
      <c r="I77" s="88"/>
      <c r="J77" s="88"/>
      <c r="K77" s="88"/>
      <c r="L77" s="88"/>
      <c r="M77" s="88"/>
      <c r="N77" s="88"/>
      <c r="O77" s="88"/>
      <c r="P77" s="88"/>
      <c r="Q77" s="88"/>
      <c r="R77" s="41">
        <f t="shared" si="1"/>
        <v>0</v>
      </c>
      <c r="S77" s="86"/>
      <c r="T77" s="87"/>
      <c r="U77" s="88"/>
      <c r="V77" s="88"/>
      <c r="W77" s="88"/>
      <c r="X77" s="38">
        <f t="shared" si="2"/>
        <v>0</v>
      </c>
      <c r="Y77" s="49">
        <f>MIN(ROUNDDOWN('GEN.AD - PAY'!I78*0.05/2,2),2500)</f>
        <v>0</v>
      </c>
      <c r="Z77" s="86"/>
      <c r="AA77" s="87"/>
      <c r="AB77" s="88"/>
      <c r="AC77" s="88"/>
      <c r="AD77" s="88"/>
      <c r="AE77" s="35">
        <f t="shared" si="3"/>
        <v>0</v>
      </c>
      <c r="AF77" s="62">
        <f t="shared" si="4"/>
        <v>0</v>
      </c>
    </row>
    <row r="78" spans="1:32" ht="18.75" customHeight="1" x14ac:dyDescent="0.25">
      <c r="A78" s="98"/>
      <c r="B78" s="33">
        <f t="shared" si="5"/>
        <v>59</v>
      </c>
      <c r="C78" s="72">
        <f>'GEN.AD - PAY'!C79</f>
        <v>0</v>
      </c>
      <c r="D78" s="72" t="e">
        <f>'GEN.AD - PAY'!D79</f>
        <v>#N/A</v>
      </c>
      <c r="E78" s="306">
        <f>'GEN.AD - PAY'!E79</f>
        <v>0</v>
      </c>
      <c r="F78" s="49">
        <f>'GEN.AD - PAY'!L79</f>
        <v>0</v>
      </c>
      <c r="G78" s="36">
        <f>ROUND('GEN.AD - PAY'!I79*0.09,2)</f>
        <v>0</v>
      </c>
      <c r="H78" s="88"/>
      <c r="I78" s="88"/>
      <c r="J78" s="88"/>
      <c r="K78" s="88"/>
      <c r="L78" s="88"/>
      <c r="M78" s="88"/>
      <c r="N78" s="88"/>
      <c r="O78" s="88"/>
      <c r="P78" s="88"/>
      <c r="Q78" s="88"/>
      <c r="R78" s="41">
        <f t="shared" si="1"/>
        <v>0</v>
      </c>
      <c r="S78" s="86"/>
      <c r="T78" s="87"/>
      <c r="U78" s="88"/>
      <c r="V78" s="88"/>
      <c r="W78" s="88"/>
      <c r="X78" s="38">
        <f t="shared" si="2"/>
        <v>0</v>
      </c>
      <c r="Y78" s="49">
        <f>MIN(ROUNDDOWN('GEN.AD - PAY'!I79*0.05/2,2),2500)</f>
        <v>0</v>
      </c>
      <c r="Z78" s="86"/>
      <c r="AA78" s="87"/>
      <c r="AB78" s="88"/>
      <c r="AC78" s="88"/>
      <c r="AD78" s="88"/>
      <c r="AE78" s="35">
        <f t="shared" si="3"/>
        <v>0</v>
      </c>
      <c r="AF78" s="62">
        <f t="shared" si="4"/>
        <v>0</v>
      </c>
    </row>
    <row r="79" spans="1:32" ht="18.75" customHeight="1" x14ac:dyDescent="0.25">
      <c r="A79" s="98"/>
      <c r="B79" s="33">
        <f t="shared" si="5"/>
        <v>60</v>
      </c>
      <c r="C79" s="72">
        <f>'GEN.AD - PAY'!C80</f>
        <v>0</v>
      </c>
      <c r="D79" s="72" t="e">
        <f>'GEN.AD - PAY'!D80</f>
        <v>#N/A</v>
      </c>
      <c r="E79" s="306">
        <f>'GEN.AD - PAY'!E80</f>
        <v>0</v>
      </c>
      <c r="F79" s="49">
        <f>'GEN.AD - PAY'!L80</f>
        <v>0</v>
      </c>
      <c r="G79" s="36">
        <f>ROUND('GEN.AD - PAY'!I80*0.09,2)</f>
        <v>0</v>
      </c>
      <c r="H79" s="88"/>
      <c r="I79" s="88"/>
      <c r="J79" s="88"/>
      <c r="K79" s="88"/>
      <c r="L79" s="88"/>
      <c r="M79" s="88"/>
      <c r="N79" s="88"/>
      <c r="O79" s="88"/>
      <c r="P79" s="88"/>
      <c r="Q79" s="88"/>
      <c r="R79" s="41">
        <f t="shared" si="1"/>
        <v>0</v>
      </c>
      <c r="S79" s="86"/>
      <c r="T79" s="87"/>
      <c r="U79" s="88"/>
      <c r="V79" s="88"/>
      <c r="W79" s="88"/>
      <c r="X79" s="38">
        <f t="shared" si="2"/>
        <v>0</v>
      </c>
      <c r="Y79" s="49">
        <f>MIN(ROUNDDOWN('GEN.AD - PAY'!I80*0.05/2,2),2500)</f>
        <v>0</v>
      </c>
      <c r="Z79" s="86"/>
      <c r="AA79" s="87"/>
      <c r="AB79" s="88"/>
      <c r="AC79" s="88"/>
      <c r="AD79" s="88"/>
      <c r="AE79" s="35">
        <f t="shared" si="3"/>
        <v>0</v>
      </c>
      <c r="AF79" s="62">
        <f t="shared" si="4"/>
        <v>0</v>
      </c>
    </row>
    <row r="80" spans="1:32" ht="18.75" customHeight="1" x14ac:dyDescent="0.25">
      <c r="A80" s="98"/>
      <c r="B80" s="33">
        <f t="shared" si="5"/>
        <v>61</v>
      </c>
      <c r="C80" s="72">
        <f>'GEN.AD - PAY'!C81</f>
        <v>0</v>
      </c>
      <c r="D80" s="72" t="e">
        <f>'GEN.AD - PAY'!D81</f>
        <v>#N/A</v>
      </c>
      <c r="E80" s="306">
        <f>'GEN.AD - PAY'!E81</f>
        <v>0</v>
      </c>
      <c r="F80" s="49">
        <f>'GEN.AD - PAY'!L81</f>
        <v>0</v>
      </c>
      <c r="G80" s="36">
        <f>ROUND('GEN.AD - PAY'!I81*0.09,2)</f>
        <v>0</v>
      </c>
      <c r="H80" s="88"/>
      <c r="I80" s="88"/>
      <c r="J80" s="88"/>
      <c r="K80" s="88"/>
      <c r="L80" s="88"/>
      <c r="M80" s="88"/>
      <c r="N80" s="88"/>
      <c r="O80" s="88"/>
      <c r="P80" s="88"/>
      <c r="Q80" s="88"/>
      <c r="R80" s="41">
        <f t="shared" si="1"/>
        <v>0</v>
      </c>
      <c r="S80" s="86"/>
      <c r="T80" s="87"/>
      <c r="U80" s="88"/>
      <c r="V80" s="88"/>
      <c r="W80" s="88"/>
      <c r="X80" s="38">
        <f t="shared" si="2"/>
        <v>0</v>
      </c>
      <c r="Y80" s="49">
        <f>MIN(ROUNDDOWN('GEN.AD - PAY'!I81*0.05/2,2),2500)</f>
        <v>0</v>
      </c>
      <c r="Z80" s="86"/>
      <c r="AA80" s="87"/>
      <c r="AB80" s="88"/>
      <c r="AC80" s="88"/>
      <c r="AD80" s="88"/>
      <c r="AE80" s="35">
        <f t="shared" si="3"/>
        <v>0</v>
      </c>
      <c r="AF80" s="62">
        <f t="shared" si="4"/>
        <v>0</v>
      </c>
    </row>
    <row r="81" spans="1:32" ht="18.75" customHeight="1" x14ac:dyDescent="0.25">
      <c r="A81" s="98"/>
      <c r="B81" s="33">
        <f t="shared" si="5"/>
        <v>62</v>
      </c>
      <c r="C81" s="72">
        <f>'GEN.AD - PAY'!C82</f>
        <v>0</v>
      </c>
      <c r="D81" s="72" t="e">
        <f>'GEN.AD - PAY'!D82</f>
        <v>#N/A</v>
      </c>
      <c r="E81" s="306">
        <f>'GEN.AD - PAY'!E82</f>
        <v>0</v>
      </c>
      <c r="F81" s="49">
        <f>'GEN.AD - PAY'!L82</f>
        <v>0</v>
      </c>
      <c r="G81" s="36">
        <f>ROUND('GEN.AD - PAY'!I82*0.09,2)</f>
        <v>0</v>
      </c>
      <c r="H81" s="88"/>
      <c r="I81" s="88"/>
      <c r="J81" s="88"/>
      <c r="K81" s="88"/>
      <c r="L81" s="88"/>
      <c r="M81" s="88"/>
      <c r="N81" s="88"/>
      <c r="O81" s="88"/>
      <c r="P81" s="88"/>
      <c r="Q81" s="88"/>
      <c r="R81" s="41">
        <f t="shared" si="1"/>
        <v>0</v>
      </c>
      <c r="S81" s="86"/>
      <c r="T81" s="87"/>
      <c r="U81" s="88"/>
      <c r="V81" s="88"/>
      <c r="W81" s="88"/>
      <c r="X81" s="38">
        <f t="shared" si="2"/>
        <v>0</v>
      </c>
      <c r="Y81" s="49">
        <f>MIN(ROUNDDOWN('GEN.AD - PAY'!I82*0.05/2,2),2500)</f>
        <v>0</v>
      </c>
      <c r="Z81" s="86"/>
      <c r="AA81" s="87"/>
      <c r="AB81" s="88"/>
      <c r="AC81" s="88"/>
      <c r="AD81" s="88"/>
      <c r="AE81" s="35">
        <f t="shared" si="3"/>
        <v>0</v>
      </c>
      <c r="AF81" s="62">
        <f t="shared" si="4"/>
        <v>0</v>
      </c>
    </row>
    <row r="82" spans="1:32" ht="18.75" customHeight="1" x14ac:dyDescent="0.25">
      <c r="A82" s="98"/>
      <c r="B82" s="33">
        <f t="shared" si="5"/>
        <v>63</v>
      </c>
      <c r="C82" s="72">
        <f>'GEN.AD - PAY'!C83</f>
        <v>0</v>
      </c>
      <c r="D82" s="72" t="e">
        <f>'GEN.AD - PAY'!D83</f>
        <v>#N/A</v>
      </c>
      <c r="E82" s="306">
        <f>'GEN.AD - PAY'!E83</f>
        <v>0</v>
      </c>
      <c r="F82" s="49">
        <f>'GEN.AD - PAY'!L83</f>
        <v>0</v>
      </c>
      <c r="G82" s="36">
        <f>ROUND('GEN.AD - PAY'!I83*0.09,2)</f>
        <v>0</v>
      </c>
      <c r="H82" s="88"/>
      <c r="I82" s="88"/>
      <c r="J82" s="88"/>
      <c r="K82" s="88"/>
      <c r="L82" s="88"/>
      <c r="M82" s="88"/>
      <c r="N82" s="88"/>
      <c r="O82" s="88"/>
      <c r="P82" s="88"/>
      <c r="Q82" s="88"/>
      <c r="R82" s="41">
        <f t="shared" si="1"/>
        <v>0</v>
      </c>
      <c r="S82" s="86"/>
      <c r="T82" s="87"/>
      <c r="U82" s="88"/>
      <c r="V82" s="88"/>
      <c r="W82" s="88"/>
      <c r="X82" s="38">
        <f t="shared" si="2"/>
        <v>0</v>
      </c>
      <c r="Y82" s="49">
        <f>MIN(ROUNDDOWN('GEN.AD - PAY'!I83*0.05/2,2),2500)</f>
        <v>0</v>
      </c>
      <c r="Z82" s="86"/>
      <c r="AA82" s="87"/>
      <c r="AB82" s="88"/>
      <c r="AC82" s="88"/>
      <c r="AD82" s="88"/>
      <c r="AE82" s="35">
        <f t="shared" si="3"/>
        <v>0</v>
      </c>
      <c r="AF82" s="62">
        <f t="shared" si="4"/>
        <v>0</v>
      </c>
    </row>
    <row r="83" spans="1:32" ht="18.75" customHeight="1" x14ac:dyDescent="0.25">
      <c r="A83" s="98"/>
      <c r="B83" s="33">
        <f t="shared" si="5"/>
        <v>64</v>
      </c>
      <c r="C83" s="72">
        <f>'GEN.AD - PAY'!C84</f>
        <v>0</v>
      </c>
      <c r="D83" s="72" t="e">
        <f>'GEN.AD - PAY'!D84</f>
        <v>#N/A</v>
      </c>
      <c r="E83" s="306">
        <f>'GEN.AD - PAY'!E84</f>
        <v>0</v>
      </c>
      <c r="F83" s="49">
        <f>'GEN.AD - PAY'!L84</f>
        <v>0</v>
      </c>
      <c r="G83" s="36">
        <f>ROUND('GEN.AD - PAY'!I84*0.09,2)</f>
        <v>0</v>
      </c>
      <c r="H83" s="88"/>
      <c r="I83" s="88"/>
      <c r="J83" s="88"/>
      <c r="K83" s="88"/>
      <c r="L83" s="88"/>
      <c r="M83" s="88"/>
      <c r="N83" s="88"/>
      <c r="O83" s="88"/>
      <c r="P83" s="88"/>
      <c r="Q83" s="88"/>
      <c r="R83" s="41">
        <f t="shared" si="1"/>
        <v>0</v>
      </c>
      <c r="S83" s="86"/>
      <c r="T83" s="87"/>
      <c r="U83" s="88"/>
      <c r="V83" s="88"/>
      <c r="W83" s="88"/>
      <c r="X83" s="38">
        <f t="shared" si="2"/>
        <v>0</v>
      </c>
      <c r="Y83" s="49">
        <f>MIN(ROUNDDOWN('GEN.AD - PAY'!I84*0.05/2,2),2500)</f>
        <v>0</v>
      </c>
      <c r="Z83" s="86"/>
      <c r="AA83" s="87"/>
      <c r="AB83" s="88"/>
      <c r="AC83" s="88"/>
      <c r="AD83" s="88"/>
      <c r="AE83" s="35">
        <f t="shared" si="3"/>
        <v>0</v>
      </c>
      <c r="AF83" s="62">
        <f t="shared" si="4"/>
        <v>0</v>
      </c>
    </row>
    <row r="84" spans="1:32" ht="18.75" customHeight="1" x14ac:dyDescent="0.25">
      <c r="A84" s="98"/>
      <c r="B84" s="33">
        <f t="shared" si="5"/>
        <v>65</v>
      </c>
      <c r="C84" s="72">
        <f>'GEN.AD - PAY'!C85</f>
        <v>0</v>
      </c>
      <c r="D84" s="72" t="e">
        <f>'GEN.AD - PAY'!D85</f>
        <v>#N/A</v>
      </c>
      <c r="E84" s="306">
        <f>'GEN.AD - PAY'!E85</f>
        <v>0</v>
      </c>
      <c r="F84" s="49">
        <f>'GEN.AD - PAY'!L85</f>
        <v>0</v>
      </c>
      <c r="G84" s="36">
        <f>ROUND('GEN.AD - PAY'!I85*0.09,2)</f>
        <v>0</v>
      </c>
      <c r="H84" s="88"/>
      <c r="I84" s="88"/>
      <c r="J84" s="88"/>
      <c r="K84" s="88"/>
      <c r="L84" s="88"/>
      <c r="M84" s="88"/>
      <c r="N84" s="88"/>
      <c r="O84" s="88"/>
      <c r="P84" s="88"/>
      <c r="Q84" s="88"/>
      <c r="R84" s="41">
        <f t="shared" si="1"/>
        <v>0</v>
      </c>
      <c r="S84" s="86"/>
      <c r="T84" s="87"/>
      <c r="U84" s="88"/>
      <c r="V84" s="88"/>
      <c r="W84" s="88"/>
      <c r="X84" s="38">
        <f t="shared" si="2"/>
        <v>0</v>
      </c>
      <c r="Y84" s="49">
        <f>MIN(ROUNDDOWN('GEN.AD - PAY'!I85*0.05/2,2),2500)</f>
        <v>0</v>
      </c>
      <c r="Z84" s="86"/>
      <c r="AA84" s="87"/>
      <c r="AB84" s="88"/>
      <c r="AC84" s="88"/>
      <c r="AD84" s="88"/>
      <c r="AE84" s="35">
        <f t="shared" si="3"/>
        <v>0</v>
      </c>
      <c r="AF84" s="62">
        <f t="shared" si="4"/>
        <v>0</v>
      </c>
    </row>
    <row r="85" spans="1:32" ht="18.75" customHeight="1" x14ac:dyDescent="0.25">
      <c r="A85" s="98"/>
      <c r="B85" s="33">
        <f t="shared" si="5"/>
        <v>66</v>
      </c>
      <c r="C85" s="72">
        <f>'GEN.AD - PAY'!C86</f>
        <v>0</v>
      </c>
      <c r="D85" s="72" t="e">
        <f>'GEN.AD - PAY'!D86</f>
        <v>#N/A</v>
      </c>
      <c r="E85" s="306">
        <f>'GEN.AD - PAY'!E86</f>
        <v>0</v>
      </c>
      <c r="F85" s="49">
        <f>'GEN.AD - PAY'!L86</f>
        <v>0</v>
      </c>
      <c r="G85" s="36">
        <f>ROUND('GEN.AD - PAY'!I86*0.09,2)</f>
        <v>0</v>
      </c>
      <c r="H85" s="88"/>
      <c r="I85" s="88"/>
      <c r="J85" s="88"/>
      <c r="K85" s="88"/>
      <c r="L85" s="88"/>
      <c r="M85" s="88"/>
      <c r="N85" s="88"/>
      <c r="O85" s="88"/>
      <c r="P85" s="88"/>
      <c r="Q85" s="88"/>
      <c r="R85" s="41">
        <f t="shared" si="1"/>
        <v>0</v>
      </c>
      <c r="S85" s="86"/>
      <c r="T85" s="87"/>
      <c r="U85" s="88"/>
      <c r="V85" s="88"/>
      <c r="W85" s="88"/>
      <c r="X85" s="38">
        <f t="shared" si="2"/>
        <v>0</v>
      </c>
      <c r="Y85" s="49">
        <f>MIN(ROUNDDOWN('GEN.AD - PAY'!I86*0.05/2,2),2500)</f>
        <v>0</v>
      </c>
      <c r="Z85" s="86"/>
      <c r="AA85" s="87"/>
      <c r="AB85" s="88"/>
      <c r="AC85" s="88"/>
      <c r="AD85" s="88"/>
      <c r="AE85" s="35">
        <f t="shared" si="3"/>
        <v>0</v>
      </c>
      <c r="AF85" s="62">
        <f t="shared" si="4"/>
        <v>0</v>
      </c>
    </row>
    <row r="86" spans="1:32" ht="18.75" customHeight="1" x14ac:dyDescent="0.25">
      <c r="A86" s="98"/>
      <c r="B86" s="33">
        <f t="shared" si="5"/>
        <v>67</v>
      </c>
      <c r="C86" s="72">
        <f>'GEN.AD - PAY'!C87</f>
        <v>0</v>
      </c>
      <c r="D86" s="72" t="e">
        <f>'GEN.AD - PAY'!D87</f>
        <v>#N/A</v>
      </c>
      <c r="E86" s="306">
        <f>'GEN.AD - PAY'!E87</f>
        <v>0</v>
      </c>
      <c r="F86" s="49">
        <f>'GEN.AD - PAY'!L87</f>
        <v>0</v>
      </c>
      <c r="G86" s="36">
        <f>ROUND('GEN.AD - PAY'!I87*0.09,2)</f>
        <v>0</v>
      </c>
      <c r="H86" s="88"/>
      <c r="I86" s="88"/>
      <c r="J86" s="88"/>
      <c r="K86" s="88"/>
      <c r="L86" s="88"/>
      <c r="M86" s="88"/>
      <c r="N86" s="88"/>
      <c r="O86" s="88"/>
      <c r="P86" s="88"/>
      <c r="Q86" s="88"/>
      <c r="R86" s="41">
        <f t="shared" ref="R86:R160" si="6">SUM(G86:Q86)</f>
        <v>0</v>
      </c>
      <c r="S86" s="86"/>
      <c r="T86" s="87"/>
      <c r="U86" s="88"/>
      <c r="V86" s="88"/>
      <c r="W86" s="88"/>
      <c r="X86" s="38">
        <f t="shared" ref="X86:X160" si="7">SUM(S86:W86)</f>
        <v>0</v>
      </c>
      <c r="Y86" s="49">
        <f>MIN(ROUNDDOWN('GEN.AD - PAY'!I87*0.05/2,2),2500)</f>
        <v>0</v>
      </c>
      <c r="Z86" s="86"/>
      <c r="AA86" s="87"/>
      <c r="AB86" s="88"/>
      <c r="AC86" s="88"/>
      <c r="AD86" s="88"/>
      <c r="AE86" s="35">
        <f t="shared" ref="AE86:AE160" si="8">SUM(Z86:AD86)</f>
        <v>0</v>
      </c>
      <c r="AF86" s="62">
        <f t="shared" ref="AF86:AF160" si="9">SUM(F86,R86,X86,Y86,AE86)</f>
        <v>0</v>
      </c>
    </row>
    <row r="87" spans="1:32" ht="18.75" customHeight="1" x14ac:dyDescent="0.25">
      <c r="A87" s="98"/>
      <c r="B87" s="33">
        <f t="shared" si="5"/>
        <v>68</v>
      </c>
      <c r="C87" s="72">
        <f>'GEN.AD - PAY'!C88</f>
        <v>0</v>
      </c>
      <c r="D87" s="72" t="e">
        <f>'GEN.AD - PAY'!D88</f>
        <v>#N/A</v>
      </c>
      <c r="E87" s="306">
        <f>'GEN.AD - PAY'!E88</f>
        <v>0</v>
      </c>
      <c r="F87" s="49">
        <f>'GEN.AD - PAY'!L88</f>
        <v>0</v>
      </c>
      <c r="G87" s="36">
        <f>ROUND('GEN.AD - PAY'!I88*0.09,2)</f>
        <v>0</v>
      </c>
      <c r="H87" s="88"/>
      <c r="I87" s="88"/>
      <c r="J87" s="88"/>
      <c r="K87" s="88"/>
      <c r="L87" s="88"/>
      <c r="M87" s="88"/>
      <c r="N87" s="88"/>
      <c r="O87" s="88"/>
      <c r="P87" s="88"/>
      <c r="Q87" s="88"/>
      <c r="R87" s="41">
        <f t="shared" si="6"/>
        <v>0</v>
      </c>
      <c r="S87" s="86"/>
      <c r="T87" s="87"/>
      <c r="U87" s="88"/>
      <c r="V87" s="88"/>
      <c r="W87" s="88"/>
      <c r="X87" s="38">
        <f t="shared" si="7"/>
        <v>0</v>
      </c>
      <c r="Y87" s="49">
        <f>MIN(ROUNDDOWN('GEN.AD - PAY'!I88*0.05/2,2),2500)</f>
        <v>0</v>
      </c>
      <c r="Z87" s="86"/>
      <c r="AA87" s="87"/>
      <c r="AB87" s="88"/>
      <c r="AC87" s="88"/>
      <c r="AD87" s="88"/>
      <c r="AE87" s="35">
        <f t="shared" si="8"/>
        <v>0</v>
      </c>
      <c r="AF87" s="62">
        <f t="shared" si="9"/>
        <v>0</v>
      </c>
    </row>
    <row r="88" spans="1:32" ht="18.75" customHeight="1" x14ac:dyDescent="0.25">
      <c r="A88" s="98"/>
      <c r="B88" s="33">
        <f t="shared" si="5"/>
        <v>69</v>
      </c>
      <c r="C88" s="72">
        <f>'GEN.AD - PAY'!C89</f>
        <v>0</v>
      </c>
      <c r="D88" s="72" t="e">
        <f>'GEN.AD - PAY'!D89</f>
        <v>#N/A</v>
      </c>
      <c r="E88" s="306">
        <f>'GEN.AD - PAY'!E89</f>
        <v>0</v>
      </c>
      <c r="F88" s="49">
        <f>'GEN.AD - PAY'!L89</f>
        <v>0</v>
      </c>
      <c r="G88" s="36">
        <f>ROUND('GEN.AD - PAY'!I89*0.09,2)</f>
        <v>0</v>
      </c>
      <c r="H88" s="88"/>
      <c r="I88" s="88"/>
      <c r="J88" s="88"/>
      <c r="K88" s="88"/>
      <c r="L88" s="88"/>
      <c r="M88" s="88"/>
      <c r="N88" s="88"/>
      <c r="O88" s="88"/>
      <c r="P88" s="88"/>
      <c r="Q88" s="88"/>
      <c r="R88" s="41">
        <f t="shared" si="6"/>
        <v>0</v>
      </c>
      <c r="S88" s="86"/>
      <c r="T88" s="87"/>
      <c r="U88" s="88"/>
      <c r="V88" s="88"/>
      <c r="W88" s="88"/>
      <c r="X88" s="38">
        <f t="shared" si="7"/>
        <v>0</v>
      </c>
      <c r="Y88" s="49">
        <f>MIN(ROUNDDOWN('GEN.AD - PAY'!I89*0.05/2,2),2500)</f>
        <v>0</v>
      </c>
      <c r="Z88" s="86"/>
      <c r="AA88" s="87"/>
      <c r="AB88" s="88"/>
      <c r="AC88" s="88"/>
      <c r="AD88" s="88"/>
      <c r="AE88" s="35">
        <f t="shared" si="8"/>
        <v>0</v>
      </c>
      <c r="AF88" s="62">
        <f t="shared" si="9"/>
        <v>0</v>
      </c>
    </row>
    <row r="89" spans="1:32" ht="18.75" customHeight="1" x14ac:dyDescent="0.25">
      <c r="A89" s="98"/>
      <c r="B89" s="33">
        <f t="shared" si="5"/>
        <v>70</v>
      </c>
      <c r="C89" s="72">
        <f>'GEN.AD - PAY'!C90</f>
        <v>0</v>
      </c>
      <c r="D89" s="72" t="e">
        <f>'GEN.AD - PAY'!D90</f>
        <v>#N/A</v>
      </c>
      <c r="E89" s="306">
        <f>'GEN.AD - PAY'!E90</f>
        <v>0</v>
      </c>
      <c r="F89" s="49">
        <f>'GEN.AD - PAY'!L90</f>
        <v>0</v>
      </c>
      <c r="G89" s="36">
        <f>ROUND('GEN.AD - PAY'!I90*0.09,2)</f>
        <v>0</v>
      </c>
      <c r="H89" s="88"/>
      <c r="I89" s="88"/>
      <c r="J89" s="88"/>
      <c r="K89" s="88"/>
      <c r="L89" s="88"/>
      <c r="M89" s="88"/>
      <c r="N89" s="88"/>
      <c r="O89" s="88"/>
      <c r="P89" s="88"/>
      <c r="Q89" s="88"/>
      <c r="R89" s="41">
        <f t="shared" si="6"/>
        <v>0</v>
      </c>
      <c r="S89" s="86"/>
      <c r="T89" s="87"/>
      <c r="U89" s="88"/>
      <c r="V89" s="88"/>
      <c r="W89" s="88"/>
      <c r="X89" s="38">
        <f t="shared" si="7"/>
        <v>0</v>
      </c>
      <c r="Y89" s="49">
        <f>MIN(ROUNDDOWN('GEN.AD - PAY'!I90*0.05/2,2),2500)</f>
        <v>0</v>
      </c>
      <c r="Z89" s="86"/>
      <c r="AA89" s="87"/>
      <c r="AB89" s="88"/>
      <c r="AC89" s="88"/>
      <c r="AD89" s="88"/>
      <c r="AE89" s="35">
        <f t="shared" si="8"/>
        <v>0</v>
      </c>
      <c r="AF89" s="62">
        <f t="shared" si="9"/>
        <v>0</v>
      </c>
    </row>
    <row r="90" spans="1:32" ht="18.75" customHeight="1" x14ac:dyDescent="0.25">
      <c r="A90" s="98"/>
      <c r="B90" s="33">
        <f t="shared" si="5"/>
        <v>71</v>
      </c>
      <c r="C90" s="72">
        <f>'GEN.AD - PAY'!C91</f>
        <v>0</v>
      </c>
      <c r="D90" s="72" t="e">
        <f>'GEN.AD - PAY'!D91</f>
        <v>#N/A</v>
      </c>
      <c r="E90" s="306">
        <f>'GEN.AD - PAY'!E91</f>
        <v>0</v>
      </c>
      <c r="F90" s="49">
        <f>'GEN.AD - PAY'!L91</f>
        <v>0</v>
      </c>
      <c r="G90" s="36">
        <f>ROUND('GEN.AD - PAY'!I91*0.09,2)</f>
        <v>0</v>
      </c>
      <c r="H90" s="88"/>
      <c r="I90" s="88"/>
      <c r="J90" s="88"/>
      <c r="K90" s="88"/>
      <c r="L90" s="88"/>
      <c r="M90" s="88"/>
      <c r="N90" s="88"/>
      <c r="O90" s="88"/>
      <c r="P90" s="88"/>
      <c r="Q90" s="88"/>
      <c r="R90" s="41">
        <f t="shared" si="6"/>
        <v>0</v>
      </c>
      <c r="S90" s="86"/>
      <c r="T90" s="87"/>
      <c r="U90" s="88"/>
      <c r="V90" s="88"/>
      <c r="W90" s="88"/>
      <c r="X90" s="38">
        <f t="shared" si="7"/>
        <v>0</v>
      </c>
      <c r="Y90" s="49">
        <f>MIN(ROUNDDOWN('GEN.AD - PAY'!I91*0.05/2,2),2500)</f>
        <v>0</v>
      </c>
      <c r="Z90" s="86"/>
      <c r="AA90" s="87"/>
      <c r="AB90" s="88"/>
      <c r="AC90" s="88"/>
      <c r="AD90" s="88"/>
      <c r="AE90" s="35">
        <f t="shared" si="8"/>
        <v>0</v>
      </c>
      <c r="AF90" s="62">
        <f t="shared" si="9"/>
        <v>0</v>
      </c>
    </row>
    <row r="91" spans="1:32" ht="18.75" customHeight="1" x14ac:dyDescent="0.25">
      <c r="A91" s="98"/>
      <c r="B91" s="33">
        <f t="shared" si="5"/>
        <v>72</v>
      </c>
      <c r="C91" s="72">
        <f>'GEN.AD - PAY'!C92</f>
        <v>0</v>
      </c>
      <c r="D91" s="72" t="e">
        <f>'GEN.AD - PAY'!D92</f>
        <v>#N/A</v>
      </c>
      <c r="E91" s="306">
        <f>'GEN.AD - PAY'!E92</f>
        <v>0</v>
      </c>
      <c r="F91" s="49">
        <f>'GEN.AD - PAY'!L92</f>
        <v>0</v>
      </c>
      <c r="G91" s="36">
        <f>ROUND('GEN.AD - PAY'!I92*0.09,2)</f>
        <v>0</v>
      </c>
      <c r="H91" s="88"/>
      <c r="I91" s="88"/>
      <c r="J91" s="88"/>
      <c r="K91" s="88"/>
      <c r="L91" s="88"/>
      <c r="M91" s="88"/>
      <c r="N91" s="88"/>
      <c r="O91" s="88"/>
      <c r="P91" s="88"/>
      <c r="Q91" s="88"/>
      <c r="R91" s="41">
        <f t="shared" si="6"/>
        <v>0</v>
      </c>
      <c r="S91" s="86"/>
      <c r="T91" s="87"/>
      <c r="U91" s="88"/>
      <c r="V91" s="88"/>
      <c r="W91" s="88"/>
      <c r="X91" s="38">
        <f t="shared" si="7"/>
        <v>0</v>
      </c>
      <c r="Y91" s="49">
        <f>MIN(ROUNDDOWN('GEN.AD - PAY'!I92*0.05/2,2),2500)</f>
        <v>0</v>
      </c>
      <c r="Z91" s="86"/>
      <c r="AA91" s="87"/>
      <c r="AB91" s="88"/>
      <c r="AC91" s="88"/>
      <c r="AD91" s="88"/>
      <c r="AE91" s="35">
        <f t="shared" si="8"/>
        <v>0</v>
      </c>
      <c r="AF91" s="62">
        <f t="shared" si="9"/>
        <v>0</v>
      </c>
    </row>
    <row r="92" spans="1:32" ht="18.75" customHeight="1" x14ac:dyDescent="0.25">
      <c r="A92" s="98"/>
      <c r="B92" s="33">
        <f t="shared" si="5"/>
        <v>73</v>
      </c>
      <c r="C92" s="72">
        <f>'GEN.AD - PAY'!C93</f>
        <v>0</v>
      </c>
      <c r="D92" s="72" t="e">
        <f>'GEN.AD - PAY'!D93</f>
        <v>#N/A</v>
      </c>
      <c r="E92" s="306">
        <f>'GEN.AD - PAY'!E93</f>
        <v>0</v>
      </c>
      <c r="F92" s="49">
        <f>'GEN.AD - PAY'!L93</f>
        <v>0</v>
      </c>
      <c r="G92" s="36">
        <f>ROUND('GEN.AD - PAY'!I93*0.09,2)</f>
        <v>0</v>
      </c>
      <c r="H92" s="88"/>
      <c r="I92" s="88"/>
      <c r="J92" s="88"/>
      <c r="K92" s="88"/>
      <c r="L92" s="88"/>
      <c r="M92" s="88"/>
      <c r="N92" s="88"/>
      <c r="O92" s="88"/>
      <c r="P92" s="88"/>
      <c r="Q92" s="88"/>
      <c r="R92" s="41">
        <f t="shared" si="6"/>
        <v>0</v>
      </c>
      <c r="S92" s="86"/>
      <c r="T92" s="87"/>
      <c r="U92" s="88"/>
      <c r="V92" s="88"/>
      <c r="W92" s="88"/>
      <c r="X92" s="38">
        <f t="shared" si="7"/>
        <v>0</v>
      </c>
      <c r="Y92" s="49">
        <f>MIN(ROUNDDOWN('GEN.AD - PAY'!I93*0.05/2,2),2500)</f>
        <v>0</v>
      </c>
      <c r="Z92" s="86"/>
      <c r="AA92" s="87"/>
      <c r="AB92" s="88"/>
      <c r="AC92" s="88"/>
      <c r="AD92" s="88"/>
      <c r="AE92" s="35">
        <f t="shared" si="8"/>
        <v>0</v>
      </c>
      <c r="AF92" s="62">
        <f t="shared" si="9"/>
        <v>0</v>
      </c>
    </row>
    <row r="93" spans="1:32" ht="18.75" customHeight="1" x14ac:dyDescent="0.25">
      <c r="A93" s="98"/>
      <c r="B93" s="33">
        <f t="shared" si="5"/>
        <v>74</v>
      </c>
      <c r="C93" s="72">
        <f>'GEN.AD - PAY'!C94</f>
        <v>0</v>
      </c>
      <c r="D93" s="72" t="e">
        <f>'GEN.AD - PAY'!D94</f>
        <v>#N/A</v>
      </c>
      <c r="E93" s="306">
        <f>'GEN.AD - PAY'!E94</f>
        <v>0</v>
      </c>
      <c r="F93" s="49">
        <f>'GEN.AD - PAY'!L94</f>
        <v>0</v>
      </c>
      <c r="G93" s="36">
        <f>ROUND('GEN.AD - PAY'!I94*0.09,2)</f>
        <v>0</v>
      </c>
      <c r="H93" s="88"/>
      <c r="I93" s="88"/>
      <c r="J93" s="88"/>
      <c r="K93" s="88"/>
      <c r="L93" s="88"/>
      <c r="M93" s="88"/>
      <c r="N93" s="88"/>
      <c r="O93" s="88"/>
      <c r="P93" s="88"/>
      <c r="Q93" s="88"/>
      <c r="R93" s="41">
        <f t="shared" si="6"/>
        <v>0</v>
      </c>
      <c r="S93" s="86"/>
      <c r="T93" s="87"/>
      <c r="U93" s="88"/>
      <c r="V93" s="88"/>
      <c r="W93" s="88"/>
      <c r="X93" s="38">
        <f t="shared" si="7"/>
        <v>0</v>
      </c>
      <c r="Y93" s="49">
        <f>MIN(ROUNDDOWN('GEN.AD - PAY'!I94*0.05/2,2),2500)</f>
        <v>0</v>
      </c>
      <c r="Z93" s="86"/>
      <c r="AA93" s="87"/>
      <c r="AB93" s="88"/>
      <c r="AC93" s="88"/>
      <c r="AD93" s="88"/>
      <c r="AE93" s="35">
        <f t="shared" si="8"/>
        <v>0</v>
      </c>
      <c r="AF93" s="62">
        <f t="shared" si="9"/>
        <v>0</v>
      </c>
    </row>
    <row r="94" spans="1:32" ht="18.75" customHeight="1" x14ac:dyDescent="0.25">
      <c r="A94" s="98"/>
      <c r="B94" s="33">
        <f t="shared" si="5"/>
        <v>75</v>
      </c>
      <c r="C94" s="72">
        <f>'GEN.AD - PAY'!C95</f>
        <v>0</v>
      </c>
      <c r="D94" s="72" t="e">
        <f>'GEN.AD - PAY'!D95</f>
        <v>#N/A</v>
      </c>
      <c r="E94" s="306">
        <f>'GEN.AD - PAY'!E95</f>
        <v>0</v>
      </c>
      <c r="F94" s="49">
        <f>'GEN.AD - PAY'!L95</f>
        <v>0</v>
      </c>
      <c r="G94" s="36">
        <f>ROUND('GEN.AD - PAY'!I95*0.09,2)</f>
        <v>0</v>
      </c>
      <c r="H94" s="88"/>
      <c r="I94" s="88"/>
      <c r="J94" s="88"/>
      <c r="K94" s="88"/>
      <c r="L94" s="88"/>
      <c r="M94" s="88"/>
      <c r="N94" s="88"/>
      <c r="O94" s="88"/>
      <c r="P94" s="88"/>
      <c r="Q94" s="88"/>
      <c r="R94" s="41">
        <f t="shared" si="6"/>
        <v>0</v>
      </c>
      <c r="S94" s="86"/>
      <c r="T94" s="87"/>
      <c r="U94" s="88"/>
      <c r="V94" s="88"/>
      <c r="W94" s="88"/>
      <c r="X94" s="38">
        <f t="shared" si="7"/>
        <v>0</v>
      </c>
      <c r="Y94" s="49">
        <f>MIN(ROUNDDOWN('GEN.AD - PAY'!I95*0.05/2,2),2500)</f>
        <v>0</v>
      </c>
      <c r="Z94" s="86"/>
      <c r="AA94" s="87"/>
      <c r="AB94" s="88"/>
      <c r="AC94" s="88"/>
      <c r="AD94" s="88"/>
      <c r="AE94" s="35">
        <f t="shared" si="8"/>
        <v>0</v>
      </c>
      <c r="AF94" s="62">
        <f t="shared" si="9"/>
        <v>0</v>
      </c>
    </row>
    <row r="95" spans="1:32" ht="18.75" customHeight="1" x14ac:dyDescent="0.25">
      <c r="A95" s="98"/>
      <c r="B95" s="33">
        <f t="shared" si="5"/>
        <v>76</v>
      </c>
      <c r="C95" s="72">
        <f>'GEN.AD - PAY'!C96</f>
        <v>0</v>
      </c>
      <c r="D95" s="72" t="e">
        <f>'GEN.AD - PAY'!D96</f>
        <v>#N/A</v>
      </c>
      <c r="E95" s="306">
        <f>'GEN.AD - PAY'!E96</f>
        <v>0</v>
      </c>
      <c r="F95" s="49">
        <f>'GEN.AD - PAY'!L96</f>
        <v>0</v>
      </c>
      <c r="G95" s="36">
        <f>ROUND('GEN.AD - PAY'!I96*0.09,2)</f>
        <v>0</v>
      </c>
      <c r="H95" s="88"/>
      <c r="I95" s="88"/>
      <c r="J95" s="88"/>
      <c r="K95" s="88"/>
      <c r="L95" s="88"/>
      <c r="M95" s="88"/>
      <c r="N95" s="88"/>
      <c r="O95" s="88"/>
      <c r="P95" s="88"/>
      <c r="Q95" s="88"/>
      <c r="R95" s="41">
        <f t="shared" si="6"/>
        <v>0</v>
      </c>
      <c r="S95" s="86"/>
      <c r="T95" s="87"/>
      <c r="U95" s="88"/>
      <c r="V95" s="88"/>
      <c r="W95" s="88"/>
      <c r="X95" s="38">
        <f t="shared" si="7"/>
        <v>0</v>
      </c>
      <c r="Y95" s="49">
        <f>MIN(ROUNDDOWN('GEN.AD - PAY'!I96*0.05/2,2),2500)</f>
        <v>0</v>
      </c>
      <c r="Z95" s="86"/>
      <c r="AA95" s="87"/>
      <c r="AB95" s="88"/>
      <c r="AC95" s="88"/>
      <c r="AD95" s="88"/>
      <c r="AE95" s="35">
        <f t="shared" si="8"/>
        <v>0</v>
      </c>
      <c r="AF95" s="62">
        <f t="shared" si="9"/>
        <v>0</v>
      </c>
    </row>
    <row r="96" spans="1:32" ht="18.75" customHeight="1" x14ac:dyDescent="0.25">
      <c r="A96" s="98"/>
      <c r="B96" s="33">
        <f t="shared" si="5"/>
        <v>77</v>
      </c>
      <c r="C96" s="72">
        <f>'GEN.AD - PAY'!C97</f>
        <v>0</v>
      </c>
      <c r="D96" s="72" t="e">
        <f>'GEN.AD - PAY'!D97</f>
        <v>#N/A</v>
      </c>
      <c r="E96" s="306">
        <f>'GEN.AD - PAY'!E97</f>
        <v>0</v>
      </c>
      <c r="F96" s="49">
        <f>'GEN.AD - PAY'!L97</f>
        <v>0</v>
      </c>
      <c r="G96" s="36">
        <f>ROUND('GEN.AD - PAY'!I97*0.09,2)</f>
        <v>0</v>
      </c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41">
        <f t="shared" si="6"/>
        <v>0</v>
      </c>
      <c r="S96" s="86"/>
      <c r="T96" s="87"/>
      <c r="U96" s="88"/>
      <c r="V96" s="88"/>
      <c r="W96" s="88"/>
      <c r="X96" s="38">
        <f t="shared" si="7"/>
        <v>0</v>
      </c>
      <c r="Y96" s="49">
        <f>MIN(ROUNDDOWN('GEN.AD - PAY'!I97*0.05/2,2),2500)</f>
        <v>0</v>
      </c>
      <c r="Z96" s="86"/>
      <c r="AA96" s="87"/>
      <c r="AB96" s="88"/>
      <c r="AC96" s="88"/>
      <c r="AD96" s="88"/>
      <c r="AE96" s="35">
        <f t="shared" si="8"/>
        <v>0</v>
      </c>
      <c r="AF96" s="62">
        <f t="shared" si="9"/>
        <v>0</v>
      </c>
    </row>
    <row r="97" spans="1:32" ht="18.75" customHeight="1" x14ac:dyDescent="0.25">
      <c r="A97" s="98"/>
      <c r="B97" s="33">
        <f t="shared" si="5"/>
        <v>78</v>
      </c>
      <c r="C97" s="72">
        <f>'GEN.AD - PAY'!C98</f>
        <v>0</v>
      </c>
      <c r="D97" s="72" t="e">
        <f>'GEN.AD - PAY'!D98</f>
        <v>#N/A</v>
      </c>
      <c r="E97" s="306">
        <f>'GEN.AD - PAY'!E98</f>
        <v>0</v>
      </c>
      <c r="F97" s="49">
        <f>'GEN.AD - PAY'!L98</f>
        <v>0</v>
      </c>
      <c r="G97" s="36">
        <f>ROUND('GEN.AD - PAY'!I98*0.09,2)</f>
        <v>0</v>
      </c>
      <c r="H97" s="88"/>
      <c r="I97" s="88"/>
      <c r="J97" s="88"/>
      <c r="K97" s="88"/>
      <c r="L97" s="88"/>
      <c r="M97" s="88"/>
      <c r="N97" s="88"/>
      <c r="O97" s="88"/>
      <c r="P97" s="88"/>
      <c r="Q97" s="88"/>
      <c r="R97" s="41">
        <f t="shared" si="6"/>
        <v>0</v>
      </c>
      <c r="S97" s="86"/>
      <c r="T97" s="87"/>
      <c r="U97" s="88"/>
      <c r="V97" s="88"/>
      <c r="W97" s="88"/>
      <c r="X97" s="38">
        <f t="shared" si="7"/>
        <v>0</v>
      </c>
      <c r="Y97" s="49">
        <f>MIN(ROUNDDOWN('GEN.AD - PAY'!I98*0.05/2,2),2500)</f>
        <v>0</v>
      </c>
      <c r="Z97" s="86"/>
      <c r="AA97" s="87"/>
      <c r="AB97" s="88"/>
      <c r="AC97" s="88"/>
      <c r="AD97" s="88"/>
      <c r="AE97" s="35">
        <f t="shared" si="8"/>
        <v>0</v>
      </c>
      <c r="AF97" s="62">
        <f t="shared" si="9"/>
        <v>0</v>
      </c>
    </row>
    <row r="98" spans="1:32" ht="18.75" customHeight="1" x14ac:dyDescent="0.25">
      <c r="A98" s="98"/>
      <c r="B98" s="33">
        <f t="shared" si="5"/>
        <v>79</v>
      </c>
      <c r="C98" s="72">
        <f>'GEN.AD - PAY'!C99</f>
        <v>0</v>
      </c>
      <c r="D98" s="72" t="e">
        <f>'GEN.AD - PAY'!D99</f>
        <v>#N/A</v>
      </c>
      <c r="E98" s="306">
        <f>'GEN.AD - PAY'!E99</f>
        <v>0</v>
      </c>
      <c r="F98" s="49">
        <f>'GEN.AD - PAY'!L99</f>
        <v>0</v>
      </c>
      <c r="G98" s="36">
        <f>ROUND('GEN.AD - PAY'!I99*0.09,2)</f>
        <v>0</v>
      </c>
      <c r="H98" s="88"/>
      <c r="I98" s="88"/>
      <c r="J98" s="88"/>
      <c r="K98" s="88"/>
      <c r="L98" s="88"/>
      <c r="M98" s="88"/>
      <c r="N98" s="88"/>
      <c r="O98" s="88"/>
      <c r="P98" s="88"/>
      <c r="Q98" s="88"/>
      <c r="R98" s="41">
        <f t="shared" si="6"/>
        <v>0</v>
      </c>
      <c r="S98" s="86"/>
      <c r="T98" s="87"/>
      <c r="U98" s="88"/>
      <c r="V98" s="88"/>
      <c r="W98" s="88"/>
      <c r="X98" s="38">
        <f t="shared" si="7"/>
        <v>0</v>
      </c>
      <c r="Y98" s="49">
        <f>MIN(ROUNDDOWN('GEN.AD - PAY'!I99*0.05/2,2),2500)</f>
        <v>0</v>
      </c>
      <c r="Z98" s="86"/>
      <c r="AA98" s="87"/>
      <c r="AB98" s="88"/>
      <c r="AC98" s="88"/>
      <c r="AD98" s="88"/>
      <c r="AE98" s="35">
        <f t="shared" si="8"/>
        <v>0</v>
      </c>
      <c r="AF98" s="62">
        <f t="shared" si="9"/>
        <v>0</v>
      </c>
    </row>
    <row r="99" spans="1:32" ht="18.75" customHeight="1" x14ac:dyDescent="0.25">
      <c r="A99" s="98"/>
      <c r="B99" s="33">
        <f t="shared" si="5"/>
        <v>80</v>
      </c>
      <c r="C99" s="72">
        <f>'GEN.AD - PAY'!C100</f>
        <v>0</v>
      </c>
      <c r="D99" s="72" t="e">
        <f>'GEN.AD - PAY'!D100</f>
        <v>#N/A</v>
      </c>
      <c r="E99" s="306">
        <f>'GEN.AD - PAY'!E100</f>
        <v>0</v>
      </c>
      <c r="F99" s="49">
        <f>'GEN.AD - PAY'!L100</f>
        <v>0</v>
      </c>
      <c r="G99" s="36">
        <f>ROUND('GEN.AD - PAY'!I100*0.09,2)</f>
        <v>0</v>
      </c>
      <c r="H99" s="88"/>
      <c r="I99" s="88"/>
      <c r="J99" s="88"/>
      <c r="K99" s="88"/>
      <c r="L99" s="88"/>
      <c r="M99" s="88"/>
      <c r="N99" s="88"/>
      <c r="O99" s="88"/>
      <c r="P99" s="88"/>
      <c r="Q99" s="88"/>
      <c r="R99" s="41">
        <f t="shared" si="6"/>
        <v>0</v>
      </c>
      <c r="S99" s="86"/>
      <c r="T99" s="87"/>
      <c r="U99" s="88"/>
      <c r="V99" s="88"/>
      <c r="W99" s="88"/>
      <c r="X99" s="38">
        <f t="shared" si="7"/>
        <v>0</v>
      </c>
      <c r="Y99" s="49">
        <f>MIN(ROUNDDOWN('GEN.AD - PAY'!I100*0.05/2,2),2500)</f>
        <v>0</v>
      </c>
      <c r="Z99" s="86"/>
      <c r="AA99" s="87"/>
      <c r="AB99" s="88"/>
      <c r="AC99" s="88"/>
      <c r="AD99" s="88"/>
      <c r="AE99" s="35">
        <f t="shared" si="8"/>
        <v>0</v>
      </c>
      <c r="AF99" s="62">
        <f t="shared" si="9"/>
        <v>0</v>
      </c>
    </row>
    <row r="100" spans="1:32" ht="18.75" customHeight="1" x14ac:dyDescent="0.25">
      <c r="A100" s="98"/>
      <c r="B100" s="33">
        <f t="shared" si="5"/>
        <v>81</v>
      </c>
      <c r="C100" s="72">
        <f>'GEN.AD - PAY'!C101</f>
        <v>0</v>
      </c>
      <c r="D100" s="72" t="e">
        <f>'GEN.AD - PAY'!D101</f>
        <v>#N/A</v>
      </c>
      <c r="E100" s="306">
        <f>'GEN.AD - PAY'!E101</f>
        <v>0</v>
      </c>
      <c r="F100" s="49">
        <f>'GEN.AD - PAY'!L101</f>
        <v>0</v>
      </c>
      <c r="G100" s="36">
        <f>ROUND('GEN.AD - PAY'!I101*0.09,2)</f>
        <v>0</v>
      </c>
      <c r="H100" s="88"/>
      <c r="I100" s="88"/>
      <c r="J100" s="88"/>
      <c r="K100" s="88"/>
      <c r="L100" s="88"/>
      <c r="M100" s="88"/>
      <c r="N100" s="88"/>
      <c r="O100" s="88"/>
      <c r="P100" s="88"/>
      <c r="Q100" s="88"/>
      <c r="R100" s="41">
        <f t="shared" si="6"/>
        <v>0</v>
      </c>
      <c r="S100" s="86"/>
      <c r="T100" s="87"/>
      <c r="U100" s="88"/>
      <c r="V100" s="88"/>
      <c r="W100" s="88"/>
      <c r="X100" s="38">
        <f t="shared" si="7"/>
        <v>0</v>
      </c>
      <c r="Y100" s="49">
        <f>MIN(ROUNDDOWN('GEN.AD - PAY'!I101*0.05/2,2),2500)</f>
        <v>0</v>
      </c>
      <c r="Z100" s="86"/>
      <c r="AA100" s="87"/>
      <c r="AB100" s="88"/>
      <c r="AC100" s="88"/>
      <c r="AD100" s="88"/>
      <c r="AE100" s="35">
        <f t="shared" si="8"/>
        <v>0</v>
      </c>
      <c r="AF100" s="62">
        <f t="shared" si="9"/>
        <v>0</v>
      </c>
    </row>
    <row r="101" spans="1:32" ht="18.75" customHeight="1" x14ac:dyDescent="0.25">
      <c r="A101" s="98"/>
      <c r="B101" s="33">
        <f t="shared" si="5"/>
        <v>82</v>
      </c>
      <c r="C101" s="72">
        <f>'GEN.AD - PAY'!C102</f>
        <v>0</v>
      </c>
      <c r="D101" s="72" t="e">
        <f>'GEN.AD - PAY'!D102</f>
        <v>#N/A</v>
      </c>
      <c r="E101" s="306">
        <f>'GEN.AD - PAY'!E102</f>
        <v>0</v>
      </c>
      <c r="F101" s="49">
        <f>'GEN.AD - PAY'!L102</f>
        <v>0</v>
      </c>
      <c r="G101" s="36">
        <f>ROUND('GEN.AD - PAY'!I102*0.09,2)</f>
        <v>0</v>
      </c>
      <c r="H101" s="88"/>
      <c r="I101" s="88"/>
      <c r="J101" s="88"/>
      <c r="K101" s="88"/>
      <c r="L101" s="88"/>
      <c r="M101" s="88"/>
      <c r="N101" s="88"/>
      <c r="O101" s="88"/>
      <c r="P101" s="88"/>
      <c r="Q101" s="88"/>
      <c r="R101" s="41">
        <f t="shared" si="6"/>
        <v>0</v>
      </c>
      <c r="S101" s="86"/>
      <c r="T101" s="87"/>
      <c r="U101" s="88"/>
      <c r="V101" s="88"/>
      <c r="W101" s="88"/>
      <c r="X101" s="38">
        <f t="shared" si="7"/>
        <v>0</v>
      </c>
      <c r="Y101" s="49">
        <f>MIN(ROUNDDOWN('GEN.AD - PAY'!I102*0.05/2,2),2500)</f>
        <v>0</v>
      </c>
      <c r="Z101" s="86"/>
      <c r="AA101" s="87"/>
      <c r="AB101" s="88"/>
      <c r="AC101" s="88"/>
      <c r="AD101" s="88"/>
      <c r="AE101" s="35">
        <f t="shared" si="8"/>
        <v>0</v>
      </c>
      <c r="AF101" s="62">
        <f t="shared" si="9"/>
        <v>0</v>
      </c>
    </row>
    <row r="102" spans="1:32" ht="18.75" customHeight="1" x14ac:dyDescent="0.25">
      <c r="A102" s="98"/>
      <c r="B102" s="33">
        <f t="shared" si="5"/>
        <v>83</v>
      </c>
      <c r="C102" s="72">
        <f>'GEN.AD - PAY'!C103</f>
        <v>0</v>
      </c>
      <c r="D102" s="72" t="e">
        <f>'GEN.AD - PAY'!D103</f>
        <v>#N/A</v>
      </c>
      <c r="E102" s="306">
        <f>'GEN.AD - PAY'!E103</f>
        <v>0</v>
      </c>
      <c r="F102" s="49">
        <f>'GEN.AD - PAY'!L103</f>
        <v>0</v>
      </c>
      <c r="G102" s="36">
        <f>ROUND('GEN.AD - PAY'!I103*0.09,2)</f>
        <v>0</v>
      </c>
      <c r="H102" s="88"/>
      <c r="I102" s="88"/>
      <c r="J102" s="88"/>
      <c r="K102" s="88"/>
      <c r="L102" s="88"/>
      <c r="M102" s="88"/>
      <c r="N102" s="88"/>
      <c r="O102" s="88"/>
      <c r="P102" s="88"/>
      <c r="Q102" s="88"/>
      <c r="R102" s="41">
        <f t="shared" si="6"/>
        <v>0</v>
      </c>
      <c r="S102" s="86"/>
      <c r="T102" s="87"/>
      <c r="U102" s="88"/>
      <c r="V102" s="88"/>
      <c r="W102" s="88"/>
      <c r="X102" s="38">
        <f t="shared" si="7"/>
        <v>0</v>
      </c>
      <c r="Y102" s="49">
        <f>MIN(ROUNDDOWN('GEN.AD - PAY'!I103*0.05/2,2),2500)</f>
        <v>0</v>
      </c>
      <c r="Z102" s="86"/>
      <c r="AA102" s="87"/>
      <c r="AB102" s="88"/>
      <c r="AC102" s="88"/>
      <c r="AD102" s="88"/>
      <c r="AE102" s="35">
        <f t="shared" si="8"/>
        <v>0</v>
      </c>
      <c r="AF102" s="62">
        <f t="shared" si="9"/>
        <v>0</v>
      </c>
    </row>
    <row r="103" spans="1:32" ht="18.75" customHeight="1" x14ac:dyDescent="0.25">
      <c r="A103" s="98"/>
      <c r="B103" s="33">
        <f t="shared" si="5"/>
        <v>84</v>
      </c>
      <c r="C103" s="72">
        <f>'GEN.AD - PAY'!C104</f>
        <v>0</v>
      </c>
      <c r="D103" s="72" t="e">
        <f>'GEN.AD - PAY'!D104</f>
        <v>#N/A</v>
      </c>
      <c r="E103" s="306">
        <f>'GEN.AD - PAY'!E104</f>
        <v>0</v>
      </c>
      <c r="F103" s="49">
        <f>'GEN.AD - PAY'!L104</f>
        <v>0</v>
      </c>
      <c r="G103" s="36">
        <f>ROUND('GEN.AD - PAY'!I104*0.09,2)</f>
        <v>0</v>
      </c>
      <c r="H103" s="88"/>
      <c r="I103" s="88"/>
      <c r="J103" s="88"/>
      <c r="K103" s="88"/>
      <c r="L103" s="88"/>
      <c r="M103" s="88"/>
      <c r="N103" s="88"/>
      <c r="O103" s="88"/>
      <c r="P103" s="88"/>
      <c r="Q103" s="88"/>
      <c r="R103" s="41">
        <f t="shared" si="6"/>
        <v>0</v>
      </c>
      <c r="S103" s="86"/>
      <c r="T103" s="87"/>
      <c r="U103" s="88"/>
      <c r="V103" s="88"/>
      <c r="W103" s="88"/>
      <c r="X103" s="38">
        <f t="shared" si="7"/>
        <v>0</v>
      </c>
      <c r="Y103" s="49">
        <f>MIN(ROUNDDOWN('GEN.AD - PAY'!I104*0.05/2,2),2500)</f>
        <v>0</v>
      </c>
      <c r="Z103" s="86"/>
      <c r="AA103" s="87"/>
      <c r="AB103" s="88"/>
      <c r="AC103" s="88"/>
      <c r="AD103" s="88"/>
      <c r="AE103" s="35">
        <f t="shared" si="8"/>
        <v>0</v>
      </c>
      <c r="AF103" s="62">
        <f t="shared" si="9"/>
        <v>0</v>
      </c>
    </row>
    <row r="104" spans="1:32" ht="18.75" customHeight="1" x14ac:dyDescent="0.25">
      <c r="A104" s="98"/>
      <c r="B104" s="33">
        <f t="shared" si="5"/>
        <v>85</v>
      </c>
      <c r="C104" s="72">
        <f>'GEN.AD - PAY'!C105</f>
        <v>0</v>
      </c>
      <c r="D104" s="72" t="e">
        <f>'GEN.AD - PAY'!D105</f>
        <v>#N/A</v>
      </c>
      <c r="E104" s="306">
        <f>'GEN.AD - PAY'!E105</f>
        <v>0</v>
      </c>
      <c r="F104" s="49">
        <f>'GEN.AD - PAY'!L105</f>
        <v>0</v>
      </c>
      <c r="G104" s="36">
        <f>ROUND('GEN.AD - PAY'!I105*0.09,2)</f>
        <v>0</v>
      </c>
      <c r="H104" s="88"/>
      <c r="I104" s="88"/>
      <c r="J104" s="88"/>
      <c r="K104" s="88"/>
      <c r="L104" s="88"/>
      <c r="M104" s="88"/>
      <c r="N104" s="88"/>
      <c r="O104" s="88"/>
      <c r="P104" s="88"/>
      <c r="Q104" s="88"/>
      <c r="R104" s="41">
        <f t="shared" si="6"/>
        <v>0</v>
      </c>
      <c r="S104" s="86"/>
      <c r="T104" s="87"/>
      <c r="U104" s="88"/>
      <c r="V104" s="88"/>
      <c r="W104" s="88"/>
      <c r="X104" s="38">
        <f t="shared" si="7"/>
        <v>0</v>
      </c>
      <c r="Y104" s="49">
        <f>MIN(ROUNDDOWN('GEN.AD - PAY'!I105*0.05/2,2),2500)</f>
        <v>0</v>
      </c>
      <c r="Z104" s="86"/>
      <c r="AA104" s="87"/>
      <c r="AB104" s="88"/>
      <c r="AC104" s="88"/>
      <c r="AD104" s="88"/>
      <c r="AE104" s="35">
        <f t="shared" si="8"/>
        <v>0</v>
      </c>
      <c r="AF104" s="62">
        <f t="shared" si="9"/>
        <v>0</v>
      </c>
    </row>
    <row r="105" spans="1:32" ht="18.75" customHeight="1" x14ac:dyDescent="0.25">
      <c r="A105" s="98"/>
      <c r="B105" s="33">
        <f t="shared" si="5"/>
        <v>86</v>
      </c>
      <c r="C105" s="72">
        <f>'GEN.AD - PAY'!C106</f>
        <v>0</v>
      </c>
      <c r="D105" s="72" t="e">
        <f>'GEN.AD - PAY'!D106</f>
        <v>#N/A</v>
      </c>
      <c r="E105" s="306">
        <f>'GEN.AD - PAY'!E106</f>
        <v>0</v>
      </c>
      <c r="F105" s="49">
        <f>'GEN.AD - PAY'!L106</f>
        <v>0</v>
      </c>
      <c r="G105" s="36">
        <f>ROUND('GEN.AD - PAY'!I106*0.09,2)</f>
        <v>0</v>
      </c>
      <c r="H105" s="88"/>
      <c r="I105" s="88"/>
      <c r="J105" s="88"/>
      <c r="K105" s="88"/>
      <c r="L105" s="88"/>
      <c r="M105" s="88"/>
      <c r="N105" s="88"/>
      <c r="O105" s="88"/>
      <c r="P105" s="88"/>
      <c r="Q105" s="88"/>
      <c r="R105" s="41">
        <f t="shared" si="6"/>
        <v>0</v>
      </c>
      <c r="S105" s="86"/>
      <c r="T105" s="87"/>
      <c r="U105" s="88"/>
      <c r="V105" s="88"/>
      <c r="W105" s="88"/>
      <c r="X105" s="38">
        <f t="shared" si="7"/>
        <v>0</v>
      </c>
      <c r="Y105" s="49">
        <f>MIN(ROUNDDOWN('GEN.AD - PAY'!I106*0.05/2,2),2500)</f>
        <v>0</v>
      </c>
      <c r="Z105" s="86"/>
      <c r="AA105" s="87"/>
      <c r="AB105" s="88"/>
      <c r="AC105" s="88"/>
      <c r="AD105" s="88"/>
      <c r="AE105" s="35">
        <f t="shared" si="8"/>
        <v>0</v>
      </c>
      <c r="AF105" s="62">
        <f t="shared" si="9"/>
        <v>0</v>
      </c>
    </row>
    <row r="106" spans="1:32" ht="18.75" customHeight="1" x14ac:dyDescent="0.25">
      <c r="A106" s="98"/>
      <c r="B106" s="33">
        <f t="shared" si="5"/>
        <v>87</v>
      </c>
      <c r="C106" s="72">
        <f>'GEN.AD - PAY'!C107</f>
        <v>0</v>
      </c>
      <c r="D106" s="72" t="e">
        <f>'GEN.AD - PAY'!D107</f>
        <v>#N/A</v>
      </c>
      <c r="E106" s="306">
        <f>'GEN.AD - PAY'!E107</f>
        <v>0</v>
      </c>
      <c r="F106" s="49">
        <f>'GEN.AD - PAY'!L107</f>
        <v>0</v>
      </c>
      <c r="G106" s="36">
        <f>ROUND('GEN.AD - PAY'!I107*0.09,2)</f>
        <v>0</v>
      </c>
      <c r="H106" s="88"/>
      <c r="I106" s="88"/>
      <c r="J106" s="88"/>
      <c r="K106" s="88"/>
      <c r="L106" s="88"/>
      <c r="M106" s="88"/>
      <c r="N106" s="88"/>
      <c r="O106" s="88"/>
      <c r="P106" s="88"/>
      <c r="Q106" s="88"/>
      <c r="R106" s="41">
        <f t="shared" si="6"/>
        <v>0</v>
      </c>
      <c r="S106" s="86"/>
      <c r="T106" s="87"/>
      <c r="U106" s="88"/>
      <c r="V106" s="88"/>
      <c r="W106" s="88"/>
      <c r="X106" s="38">
        <f t="shared" si="7"/>
        <v>0</v>
      </c>
      <c r="Y106" s="49">
        <f>MIN(ROUNDDOWN('GEN.AD - PAY'!I107*0.05/2,2),2500)</f>
        <v>0</v>
      </c>
      <c r="Z106" s="86"/>
      <c r="AA106" s="87"/>
      <c r="AB106" s="88"/>
      <c r="AC106" s="88"/>
      <c r="AD106" s="88"/>
      <c r="AE106" s="35">
        <f t="shared" si="8"/>
        <v>0</v>
      </c>
      <c r="AF106" s="62">
        <f t="shared" si="9"/>
        <v>0</v>
      </c>
    </row>
    <row r="107" spans="1:32" ht="18.75" customHeight="1" x14ac:dyDescent="0.25">
      <c r="A107" s="98"/>
      <c r="B107" s="33">
        <f t="shared" si="5"/>
        <v>88</v>
      </c>
      <c r="C107" s="72">
        <f>'GEN.AD - PAY'!C108</f>
        <v>0</v>
      </c>
      <c r="D107" s="72" t="e">
        <f>'GEN.AD - PAY'!D108</f>
        <v>#N/A</v>
      </c>
      <c r="E107" s="306">
        <f>'GEN.AD - PAY'!E108</f>
        <v>0</v>
      </c>
      <c r="F107" s="49">
        <f>'GEN.AD - PAY'!L108</f>
        <v>0</v>
      </c>
      <c r="G107" s="36">
        <f>ROUND('GEN.AD - PAY'!I108*0.09,2)</f>
        <v>0</v>
      </c>
      <c r="H107" s="88"/>
      <c r="I107" s="88"/>
      <c r="J107" s="88"/>
      <c r="K107" s="88"/>
      <c r="L107" s="88"/>
      <c r="M107" s="88"/>
      <c r="N107" s="88"/>
      <c r="O107" s="88"/>
      <c r="P107" s="88"/>
      <c r="Q107" s="88"/>
      <c r="R107" s="41">
        <f t="shared" si="6"/>
        <v>0</v>
      </c>
      <c r="S107" s="86"/>
      <c r="T107" s="87"/>
      <c r="U107" s="88"/>
      <c r="V107" s="88"/>
      <c r="W107" s="88"/>
      <c r="X107" s="38">
        <f t="shared" si="7"/>
        <v>0</v>
      </c>
      <c r="Y107" s="49">
        <f>MIN(ROUNDDOWN('GEN.AD - PAY'!I108*0.05/2,2),2500)</f>
        <v>0</v>
      </c>
      <c r="Z107" s="86"/>
      <c r="AA107" s="87"/>
      <c r="AB107" s="88"/>
      <c r="AC107" s="88"/>
      <c r="AD107" s="88"/>
      <c r="AE107" s="35">
        <f t="shared" si="8"/>
        <v>0</v>
      </c>
      <c r="AF107" s="62">
        <f t="shared" si="9"/>
        <v>0</v>
      </c>
    </row>
    <row r="108" spans="1:32" ht="18.75" customHeight="1" x14ac:dyDescent="0.25">
      <c r="A108" s="98"/>
      <c r="B108" s="33">
        <f t="shared" si="5"/>
        <v>89</v>
      </c>
      <c r="C108" s="72">
        <f>'GEN.AD - PAY'!C109</f>
        <v>0</v>
      </c>
      <c r="D108" s="72" t="e">
        <f>'GEN.AD - PAY'!D109</f>
        <v>#N/A</v>
      </c>
      <c r="E108" s="306">
        <f>'GEN.AD - PAY'!E109</f>
        <v>0</v>
      </c>
      <c r="F108" s="49">
        <f>'GEN.AD - PAY'!L109</f>
        <v>0</v>
      </c>
      <c r="G108" s="36">
        <f>ROUND('GEN.AD - PAY'!I109*0.09,2)</f>
        <v>0</v>
      </c>
      <c r="H108" s="88"/>
      <c r="I108" s="88"/>
      <c r="J108" s="88"/>
      <c r="K108" s="88"/>
      <c r="L108" s="88"/>
      <c r="M108" s="88"/>
      <c r="N108" s="88"/>
      <c r="O108" s="88"/>
      <c r="P108" s="88"/>
      <c r="Q108" s="88"/>
      <c r="R108" s="41">
        <f t="shared" si="6"/>
        <v>0</v>
      </c>
      <c r="S108" s="86"/>
      <c r="T108" s="87"/>
      <c r="U108" s="88"/>
      <c r="V108" s="88"/>
      <c r="W108" s="88"/>
      <c r="X108" s="38">
        <f t="shared" si="7"/>
        <v>0</v>
      </c>
      <c r="Y108" s="49">
        <f>MIN(ROUNDDOWN('GEN.AD - PAY'!I109*0.05/2,2),2500)</f>
        <v>0</v>
      </c>
      <c r="Z108" s="86"/>
      <c r="AA108" s="87"/>
      <c r="AB108" s="88"/>
      <c r="AC108" s="88"/>
      <c r="AD108" s="88"/>
      <c r="AE108" s="35">
        <f t="shared" si="8"/>
        <v>0</v>
      </c>
      <c r="AF108" s="62">
        <f t="shared" si="9"/>
        <v>0</v>
      </c>
    </row>
    <row r="109" spans="1:32" ht="18.75" customHeight="1" x14ac:dyDescent="0.25">
      <c r="A109" s="98"/>
      <c r="B109" s="33">
        <f t="shared" si="5"/>
        <v>90</v>
      </c>
      <c r="C109" s="72">
        <f>'GEN.AD - PAY'!C110</f>
        <v>0</v>
      </c>
      <c r="D109" s="72" t="e">
        <f>'GEN.AD - PAY'!D110</f>
        <v>#N/A</v>
      </c>
      <c r="E109" s="306">
        <f>'GEN.AD - PAY'!E110</f>
        <v>0</v>
      </c>
      <c r="F109" s="49">
        <f>'GEN.AD - PAY'!L110</f>
        <v>0</v>
      </c>
      <c r="G109" s="36">
        <f>ROUND('GEN.AD - PAY'!I110*0.09,2)</f>
        <v>0</v>
      </c>
      <c r="H109" s="88"/>
      <c r="I109" s="88"/>
      <c r="J109" s="88"/>
      <c r="K109" s="88"/>
      <c r="L109" s="88"/>
      <c r="M109" s="88"/>
      <c r="N109" s="88"/>
      <c r="O109" s="88"/>
      <c r="P109" s="88"/>
      <c r="Q109" s="88"/>
      <c r="R109" s="41">
        <f t="shared" si="6"/>
        <v>0</v>
      </c>
      <c r="S109" s="86"/>
      <c r="T109" s="87"/>
      <c r="U109" s="88"/>
      <c r="V109" s="88"/>
      <c r="W109" s="88"/>
      <c r="X109" s="38">
        <f t="shared" si="7"/>
        <v>0</v>
      </c>
      <c r="Y109" s="49">
        <f>MIN(ROUNDDOWN('GEN.AD - PAY'!I110*0.05/2,2),2500)</f>
        <v>0</v>
      </c>
      <c r="Z109" s="86"/>
      <c r="AA109" s="87"/>
      <c r="AB109" s="88"/>
      <c r="AC109" s="88"/>
      <c r="AD109" s="88"/>
      <c r="AE109" s="35">
        <f t="shared" si="8"/>
        <v>0</v>
      </c>
      <c r="AF109" s="62">
        <f t="shared" si="9"/>
        <v>0</v>
      </c>
    </row>
    <row r="110" spans="1:32" ht="18.75" customHeight="1" x14ac:dyDescent="0.25">
      <c r="A110" s="98"/>
      <c r="B110" s="33">
        <f t="shared" si="5"/>
        <v>91</v>
      </c>
      <c r="C110" s="72">
        <f>'GEN.AD - PAY'!C111</f>
        <v>0</v>
      </c>
      <c r="D110" s="72" t="e">
        <f>'GEN.AD - PAY'!D111</f>
        <v>#N/A</v>
      </c>
      <c r="E110" s="306">
        <f>'GEN.AD - PAY'!E111</f>
        <v>0</v>
      </c>
      <c r="F110" s="49">
        <f>'GEN.AD - PAY'!L111</f>
        <v>0</v>
      </c>
      <c r="G110" s="36">
        <f>ROUND('GEN.AD - PAY'!I111*0.09,2)</f>
        <v>0</v>
      </c>
      <c r="H110" s="88"/>
      <c r="I110" s="88"/>
      <c r="J110" s="88"/>
      <c r="K110" s="88"/>
      <c r="L110" s="88"/>
      <c r="M110" s="88"/>
      <c r="N110" s="88"/>
      <c r="O110" s="88"/>
      <c r="P110" s="88"/>
      <c r="Q110" s="88"/>
      <c r="R110" s="41">
        <f t="shared" si="6"/>
        <v>0</v>
      </c>
      <c r="S110" s="86"/>
      <c r="T110" s="87"/>
      <c r="U110" s="88"/>
      <c r="V110" s="88"/>
      <c r="W110" s="88"/>
      <c r="X110" s="38">
        <f t="shared" si="7"/>
        <v>0</v>
      </c>
      <c r="Y110" s="49">
        <f>MIN(ROUNDDOWN('GEN.AD - PAY'!I111*0.05/2,2),2500)</f>
        <v>0</v>
      </c>
      <c r="Z110" s="86"/>
      <c r="AA110" s="87"/>
      <c r="AB110" s="88"/>
      <c r="AC110" s="88"/>
      <c r="AD110" s="88"/>
      <c r="AE110" s="35">
        <f t="shared" si="8"/>
        <v>0</v>
      </c>
      <c r="AF110" s="62">
        <f t="shared" si="9"/>
        <v>0</v>
      </c>
    </row>
    <row r="111" spans="1:32" ht="18.75" customHeight="1" x14ac:dyDescent="0.25">
      <c r="A111" s="98"/>
      <c r="B111" s="33">
        <f t="shared" si="5"/>
        <v>92</v>
      </c>
      <c r="C111" s="72">
        <f>'GEN.AD - PAY'!C112</f>
        <v>0</v>
      </c>
      <c r="D111" s="72" t="e">
        <f>'GEN.AD - PAY'!D112</f>
        <v>#N/A</v>
      </c>
      <c r="E111" s="306">
        <f>'GEN.AD - PAY'!E112</f>
        <v>0</v>
      </c>
      <c r="F111" s="49">
        <f>'GEN.AD - PAY'!L112</f>
        <v>0</v>
      </c>
      <c r="G111" s="36">
        <f>ROUND('GEN.AD - PAY'!I112*0.09,2)</f>
        <v>0</v>
      </c>
      <c r="H111" s="88"/>
      <c r="I111" s="88"/>
      <c r="J111" s="88"/>
      <c r="K111" s="88"/>
      <c r="L111" s="88"/>
      <c r="M111" s="88"/>
      <c r="N111" s="88"/>
      <c r="O111" s="88"/>
      <c r="P111" s="88"/>
      <c r="Q111" s="88"/>
      <c r="R111" s="41">
        <f t="shared" si="6"/>
        <v>0</v>
      </c>
      <c r="S111" s="86"/>
      <c r="T111" s="87"/>
      <c r="U111" s="88"/>
      <c r="V111" s="88"/>
      <c r="W111" s="88"/>
      <c r="X111" s="38">
        <f t="shared" si="7"/>
        <v>0</v>
      </c>
      <c r="Y111" s="49">
        <f>MIN(ROUNDDOWN('GEN.AD - PAY'!I112*0.05/2,2),2500)</f>
        <v>0</v>
      </c>
      <c r="Z111" s="86"/>
      <c r="AA111" s="87"/>
      <c r="AB111" s="88"/>
      <c r="AC111" s="88"/>
      <c r="AD111" s="88"/>
      <c r="AE111" s="35">
        <f t="shared" si="8"/>
        <v>0</v>
      </c>
      <c r="AF111" s="62">
        <f t="shared" si="9"/>
        <v>0</v>
      </c>
    </row>
    <row r="112" spans="1:32" ht="18.75" customHeight="1" x14ac:dyDescent="0.25">
      <c r="A112" s="98"/>
      <c r="B112" s="33">
        <f t="shared" si="5"/>
        <v>93</v>
      </c>
      <c r="C112" s="72">
        <f>'GEN.AD - PAY'!C113</f>
        <v>0</v>
      </c>
      <c r="D112" s="72" t="e">
        <f>'GEN.AD - PAY'!D113</f>
        <v>#N/A</v>
      </c>
      <c r="E112" s="306">
        <f>'GEN.AD - PAY'!E113</f>
        <v>0</v>
      </c>
      <c r="F112" s="49">
        <f>'GEN.AD - PAY'!L113</f>
        <v>0</v>
      </c>
      <c r="G112" s="36">
        <f>ROUND('GEN.AD - PAY'!I113*0.09,2)</f>
        <v>0</v>
      </c>
      <c r="H112" s="88"/>
      <c r="I112" s="88"/>
      <c r="J112" s="88"/>
      <c r="K112" s="88"/>
      <c r="L112" s="88"/>
      <c r="M112" s="88"/>
      <c r="N112" s="88"/>
      <c r="O112" s="88"/>
      <c r="P112" s="88"/>
      <c r="Q112" s="88"/>
      <c r="R112" s="41">
        <f t="shared" si="6"/>
        <v>0</v>
      </c>
      <c r="S112" s="86"/>
      <c r="T112" s="87"/>
      <c r="U112" s="88"/>
      <c r="V112" s="88"/>
      <c r="W112" s="88"/>
      <c r="X112" s="38">
        <f t="shared" si="7"/>
        <v>0</v>
      </c>
      <c r="Y112" s="49">
        <f>MIN(ROUNDDOWN('GEN.AD - PAY'!I113*0.05/2,2),2500)</f>
        <v>0</v>
      </c>
      <c r="Z112" s="86"/>
      <c r="AA112" s="87"/>
      <c r="AB112" s="88"/>
      <c r="AC112" s="88"/>
      <c r="AD112" s="88"/>
      <c r="AE112" s="35">
        <f t="shared" si="8"/>
        <v>0</v>
      </c>
      <c r="AF112" s="62">
        <f t="shared" si="9"/>
        <v>0</v>
      </c>
    </row>
    <row r="113" spans="1:32" ht="18.75" customHeight="1" x14ac:dyDescent="0.25">
      <c r="A113" s="98"/>
      <c r="B113" s="33">
        <f t="shared" ref="B113:B159" si="10">+B65+1</f>
        <v>47</v>
      </c>
      <c r="C113" s="72">
        <f>'GEN.AD - PAY'!C114</f>
        <v>0</v>
      </c>
      <c r="D113" s="72" t="e">
        <f>'GEN.AD - PAY'!D114</f>
        <v>#N/A</v>
      </c>
      <c r="E113" s="306">
        <f>'GEN.AD - PAY'!E114</f>
        <v>0</v>
      </c>
      <c r="F113" s="49">
        <f>'GEN.AD - PAY'!L114</f>
        <v>0</v>
      </c>
      <c r="G113" s="36">
        <f>ROUND('GEN.AD - PAY'!I114*0.09,2)</f>
        <v>0</v>
      </c>
      <c r="H113" s="88"/>
      <c r="I113" s="88"/>
      <c r="J113" s="88"/>
      <c r="K113" s="88"/>
      <c r="L113" s="88"/>
      <c r="M113" s="88"/>
      <c r="N113" s="88"/>
      <c r="O113" s="88"/>
      <c r="P113" s="88"/>
      <c r="Q113" s="88"/>
      <c r="R113" s="41">
        <f t="shared" ref="R113:R159" si="11">SUM(G113:Q113)</f>
        <v>0</v>
      </c>
      <c r="S113" s="86"/>
      <c r="T113" s="87"/>
      <c r="U113" s="88"/>
      <c r="V113" s="88"/>
      <c r="W113" s="88"/>
      <c r="X113" s="38">
        <f t="shared" ref="X113:X159" si="12">SUM(S113:W113)</f>
        <v>0</v>
      </c>
      <c r="Y113" s="49">
        <f>MIN(ROUNDDOWN('GEN.AD - PAY'!I114*0.05/2,2),2500)</f>
        <v>0</v>
      </c>
      <c r="Z113" s="86"/>
      <c r="AA113" s="87"/>
      <c r="AB113" s="88"/>
      <c r="AC113" s="88"/>
      <c r="AD113" s="88"/>
      <c r="AE113" s="35">
        <f t="shared" ref="AE113:AE159" si="13">SUM(Z113:AD113)</f>
        <v>0</v>
      </c>
      <c r="AF113" s="62">
        <f t="shared" ref="AF113:AF159" si="14">SUM(F113,R113,X113,Y113,AE113)</f>
        <v>0</v>
      </c>
    </row>
    <row r="114" spans="1:32" ht="18.75" customHeight="1" x14ac:dyDescent="0.25">
      <c r="A114" s="98"/>
      <c r="B114" s="33">
        <f t="shared" si="10"/>
        <v>48</v>
      </c>
      <c r="C114" s="72">
        <f>'GEN.AD - PAY'!C115</f>
        <v>0</v>
      </c>
      <c r="D114" s="72" t="e">
        <f>'GEN.AD - PAY'!D115</f>
        <v>#N/A</v>
      </c>
      <c r="E114" s="306">
        <f>'GEN.AD - PAY'!E115</f>
        <v>0</v>
      </c>
      <c r="F114" s="49">
        <f>'GEN.AD - PAY'!L115</f>
        <v>0</v>
      </c>
      <c r="G114" s="36">
        <f>ROUND('GEN.AD - PAY'!I115*0.09,2)</f>
        <v>0</v>
      </c>
      <c r="H114" s="88"/>
      <c r="I114" s="88"/>
      <c r="J114" s="88"/>
      <c r="K114" s="88"/>
      <c r="L114" s="88"/>
      <c r="M114" s="88"/>
      <c r="N114" s="88"/>
      <c r="O114" s="88"/>
      <c r="P114" s="88"/>
      <c r="Q114" s="88"/>
      <c r="R114" s="41">
        <f t="shared" si="11"/>
        <v>0</v>
      </c>
      <c r="S114" s="86"/>
      <c r="T114" s="87"/>
      <c r="U114" s="88"/>
      <c r="V114" s="88"/>
      <c r="W114" s="88"/>
      <c r="X114" s="38">
        <f t="shared" si="12"/>
        <v>0</v>
      </c>
      <c r="Y114" s="49">
        <f>MIN(ROUNDDOWN('GEN.AD - PAY'!I115*0.05/2,2),2500)</f>
        <v>0</v>
      </c>
      <c r="Z114" s="86"/>
      <c r="AA114" s="87"/>
      <c r="AB114" s="88"/>
      <c r="AC114" s="88"/>
      <c r="AD114" s="88"/>
      <c r="AE114" s="35">
        <f t="shared" si="13"/>
        <v>0</v>
      </c>
      <c r="AF114" s="62">
        <f t="shared" si="14"/>
        <v>0</v>
      </c>
    </row>
    <row r="115" spans="1:32" ht="18.75" customHeight="1" x14ac:dyDescent="0.25">
      <c r="A115" s="98"/>
      <c r="B115" s="33">
        <f t="shared" si="10"/>
        <v>49</v>
      </c>
      <c r="C115" s="72">
        <f>'GEN.AD - PAY'!C116</f>
        <v>0</v>
      </c>
      <c r="D115" s="72" t="e">
        <f>'GEN.AD - PAY'!D116</f>
        <v>#N/A</v>
      </c>
      <c r="E115" s="306">
        <f>'GEN.AD - PAY'!E116</f>
        <v>0</v>
      </c>
      <c r="F115" s="49">
        <f>'GEN.AD - PAY'!L116</f>
        <v>0</v>
      </c>
      <c r="G115" s="36">
        <f>ROUND('GEN.AD - PAY'!I116*0.09,2)</f>
        <v>0</v>
      </c>
      <c r="H115" s="88"/>
      <c r="I115" s="88"/>
      <c r="J115" s="88"/>
      <c r="K115" s="88"/>
      <c r="L115" s="88"/>
      <c r="M115" s="88"/>
      <c r="N115" s="88"/>
      <c r="O115" s="88"/>
      <c r="P115" s="88"/>
      <c r="Q115" s="88"/>
      <c r="R115" s="41">
        <f t="shared" si="11"/>
        <v>0</v>
      </c>
      <c r="S115" s="86"/>
      <c r="T115" s="87"/>
      <c r="U115" s="88"/>
      <c r="V115" s="88"/>
      <c r="W115" s="88"/>
      <c r="X115" s="38">
        <f t="shared" si="12"/>
        <v>0</v>
      </c>
      <c r="Y115" s="49">
        <f>MIN(ROUNDDOWN('GEN.AD - PAY'!I116*0.05/2,2),2500)</f>
        <v>0</v>
      </c>
      <c r="Z115" s="86"/>
      <c r="AA115" s="87"/>
      <c r="AB115" s="88"/>
      <c r="AC115" s="88"/>
      <c r="AD115" s="88"/>
      <c r="AE115" s="35">
        <f t="shared" si="13"/>
        <v>0</v>
      </c>
      <c r="AF115" s="62">
        <f t="shared" si="14"/>
        <v>0</v>
      </c>
    </row>
    <row r="116" spans="1:32" ht="18.75" customHeight="1" x14ac:dyDescent="0.25">
      <c r="A116" s="98"/>
      <c r="B116" s="33">
        <f t="shared" si="10"/>
        <v>50</v>
      </c>
      <c r="C116" s="72">
        <f>'GEN.AD - PAY'!C117</f>
        <v>0</v>
      </c>
      <c r="D116" s="72" t="e">
        <f>'GEN.AD - PAY'!D117</f>
        <v>#N/A</v>
      </c>
      <c r="E116" s="306">
        <f>'GEN.AD - PAY'!E117</f>
        <v>0</v>
      </c>
      <c r="F116" s="49">
        <f>'GEN.AD - PAY'!L117</f>
        <v>0</v>
      </c>
      <c r="G116" s="36">
        <f>ROUND('GEN.AD - PAY'!I117*0.09,2)</f>
        <v>0</v>
      </c>
      <c r="H116" s="88"/>
      <c r="I116" s="88"/>
      <c r="J116" s="88"/>
      <c r="K116" s="88"/>
      <c r="L116" s="88"/>
      <c r="M116" s="88"/>
      <c r="N116" s="88"/>
      <c r="O116" s="88"/>
      <c r="P116" s="88"/>
      <c r="Q116" s="88"/>
      <c r="R116" s="41">
        <f t="shared" si="11"/>
        <v>0</v>
      </c>
      <c r="S116" s="86"/>
      <c r="T116" s="87"/>
      <c r="U116" s="88"/>
      <c r="V116" s="88"/>
      <c r="W116" s="88"/>
      <c r="X116" s="38">
        <f t="shared" si="12"/>
        <v>0</v>
      </c>
      <c r="Y116" s="49">
        <f>MIN(ROUNDDOWN('GEN.AD - PAY'!I117*0.05/2,2),2500)</f>
        <v>0</v>
      </c>
      <c r="Z116" s="86"/>
      <c r="AA116" s="87"/>
      <c r="AB116" s="88"/>
      <c r="AC116" s="88"/>
      <c r="AD116" s="88"/>
      <c r="AE116" s="35">
        <f t="shared" si="13"/>
        <v>0</v>
      </c>
      <c r="AF116" s="62">
        <f t="shared" si="14"/>
        <v>0</v>
      </c>
    </row>
    <row r="117" spans="1:32" ht="18.75" customHeight="1" x14ac:dyDescent="0.25">
      <c r="A117" s="98"/>
      <c r="B117" s="33">
        <f t="shared" si="10"/>
        <v>51</v>
      </c>
      <c r="C117" s="72">
        <f>'GEN.AD - PAY'!C118</f>
        <v>0</v>
      </c>
      <c r="D117" s="72" t="e">
        <f>'GEN.AD - PAY'!D118</f>
        <v>#N/A</v>
      </c>
      <c r="E117" s="306">
        <f>'GEN.AD - PAY'!E118</f>
        <v>0</v>
      </c>
      <c r="F117" s="49">
        <f>'GEN.AD - PAY'!L118</f>
        <v>0</v>
      </c>
      <c r="G117" s="36">
        <f>ROUND('GEN.AD - PAY'!I118*0.09,2)</f>
        <v>0</v>
      </c>
      <c r="H117" s="88"/>
      <c r="I117" s="88"/>
      <c r="J117" s="88"/>
      <c r="K117" s="88"/>
      <c r="L117" s="88"/>
      <c r="M117" s="88"/>
      <c r="N117" s="88"/>
      <c r="O117" s="88"/>
      <c r="P117" s="88"/>
      <c r="Q117" s="88"/>
      <c r="R117" s="41">
        <f t="shared" si="11"/>
        <v>0</v>
      </c>
      <c r="S117" s="86"/>
      <c r="T117" s="87"/>
      <c r="U117" s="88"/>
      <c r="V117" s="88"/>
      <c r="W117" s="88"/>
      <c r="X117" s="38">
        <f t="shared" si="12"/>
        <v>0</v>
      </c>
      <c r="Y117" s="49">
        <f>MIN(ROUNDDOWN('GEN.AD - PAY'!I118*0.05/2,2),2500)</f>
        <v>0</v>
      </c>
      <c r="Z117" s="86"/>
      <c r="AA117" s="87"/>
      <c r="AB117" s="88"/>
      <c r="AC117" s="88"/>
      <c r="AD117" s="88"/>
      <c r="AE117" s="35">
        <f t="shared" si="13"/>
        <v>0</v>
      </c>
      <c r="AF117" s="62">
        <f t="shared" si="14"/>
        <v>0</v>
      </c>
    </row>
    <row r="118" spans="1:32" ht="18.75" customHeight="1" x14ac:dyDescent="0.25">
      <c r="A118" s="98"/>
      <c r="B118" s="33">
        <f t="shared" si="10"/>
        <v>52</v>
      </c>
      <c r="C118" s="72">
        <f>'GEN.AD - PAY'!C119</f>
        <v>0</v>
      </c>
      <c r="D118" s="72" t="e">
        <f>'GEN.AD - PAY'!D119</f>
        <v>#N/A</v>
      </c>
      <c r="E118" s="306">
        <f>'GEN.AD - PAY'!E119</f>
        <v>0</v>
      </c>
      <c r="F118" s="49">
        <f>'GEN.AD - PAY'!L119</f>
        <v>0</v>
      </c>
      <c r="G118" s="36">
        <f>ROUND('GEN.AD - PAY'!I119*0.09,2)</f>
        <v>0</v>
      </c>
      <c r="H118" s="88"/>
      <c r="I118" s="88"/>
      <c r="J118" s="88"/>
      <c r="K118" s="88"/>
      <c r="L118" s="88"/>
      <c r="M118" s="88"/>
      <c r="N118" s="88"/>
      <c r="O118" s="88"/>
      <c r="P118" s="88"/>
      <c r="Q118" s="88"/>
      <c r="R118" s="41">
        <f t="shared" si="11"/>
        <v>0</v>
      </c>
      <c r="S118" s="86"/>
      <c r="T118" s="87"/>
      <c r="U118" s="88"/>
      <c r="V118" s="88"/>
      <c r="W118" s="88"/>
      <c r="X118" s="38">
        <f t="shared" si="12"/>
        <v>0</v>
      </c>
      <c r="Y118" s="49">
        <f>MIN(ROUNDDOWN('GEN.AD - PAY'!I119*0.05/2,2),2500)</f>
        <v>0</v>
      </c>
      <c r="Z118" s="86"/>
      <c r="AA118" s="87"/>
      <c r="AB118" s="88"/>
      <c r="AC118" s="88"/>
      <c r="AD118" s="88"/>
      <c r="AE118" s="35">
        <f t="shared" si="13"/>
        <v>0</v>
      </c>
      <c r="AF118" s="62">
        <f t="shared" si="14"/>
        <v>0</v>
      </c>
    </row>
    <row r="119" spans="1:32" ht="18.75" customHeight="1" x14ac:dyDescent="0.25">
      <c r="A119" s="98"/>
      <c r="B119" s="33">
        <f t="shared" si="10"/>
        <v>53</v>
      </c>
      <c r="C119" s="72">
        <f>'GEN.AD - PAY'!C120</f>
        <v>0</v>
      </c>
      <c r="D119" s="72" t="e">
        <f>'GEN.AD - PAY'!D120</f>
        <v>#N/A</v>
      </c>
      <c r="E119" s="306">
        <f>'GEN.AD - PAY'!E120</f>
        <v>0</v>
      </c>
      <c r="F119" s="49">
        <f>'GEN.AD - PAY'!L120</f>
        <v>0</v>
      </c>
      <c r="G119" s="36">
        <f>ROUND('GEN.AD - PAY'!I120*0.09,2)</f>
        <v>0</v>
      </c>
      <c r="H119" s="88"/>
      <c r="I119" s="88"/>
      <c r="J119" s="88"/>
      <c r="K119" s="88"/>
      <c r="L119" s="88"/>
      <c r="M119" s="88"/>
      <c r="N119" s="88"/>
      <c r="O119" s="88"/>
      <c r="P119" s="88"/>
      <c r="Q119" s="88"/>
      <c r="R119" s="41">
        <f t="shared" si="11"/>
        <v>0</v>
      </c>
      <c r="S119" s="86"/>
      <c r="T119" s="87"/>
      <c r="U119" s="88"/>
      <c r="V119" s="88"/>
      <c r="W119" s="88"/>
      <c r="X119" s="38">
        <f t="shared" si="12"/>
        <v>0</v>
      </c>
      <c r="Y119" s="49">
        <f>MIN(ROUNDDOWN('GEN.AD - PAY'!I120*0.05/2,2),2500)</f>
        <v>0</v>
      </c>
      <c r="Z119" s="86"/>
      <c r="AA119" s="87"/>
      <c r="AB119" s="88"/>
      <c r="AC119" s="88"/>
      <c r="AD119" s="88"/>
      <c r="AE119" s="35">
        <f t="shared" si="13"/>
        <v>0</v>
      </c>
      <c r="AF119" s="62">
        <f t="shared" si="14"/>
        <v>0</v>
      </c>
    </row>
    <row r="120" spans="1:32" ht="18.75" customHeight="1" x14ac:dyDescent="0.25">
      <c r="A120" s="98"/>
      <c r="B120" s="33">
        <f t="shared" si="10"/>
        <v>54</v>
      </c>
      <c r="C120" s="72">
        <f>'GEN.AD - PAY'!C121</f>
        <v>0</v>
      </c>
      <c r="D120" s="72" t="e">
        <f>'GEN.AD - PAY'!D121</f>
        <v>#N/A</v>
      </c>
      <c r="E120" s="306">
        <f>'GEN.AD - PAY'!E121</f>
        <v>0</v>
      </c>
      <c r="F120" s="49">
        <f>'GEN.AD - PAY'!L121</f>
        <v>0</v>
      </c>
      <c r="G120" s="36">
        <f>ROUND('GEN.AD - PAY'!I121*0.09,2)</f>
        <v>0</v>
      </c>
      <c r="H120" s="88"/>
      <c r="I120" s="88"/>
      <c r="J120" s="88"/>
      <c r="K120" s="88"/>
      <c r="L120" s="88"/>
      <c r="M120" s="88"/>
      <c r="N120" s="88"/>
      <c r="O120" s="88"/>
      <c r="P120" s="88"/>
      <c r="Q120" s="88"/>
      <c r="R120" s="41">
        <f t="shared" si="11"/>
        <v>0</v>
      </c>
      <c r="S120" s="86"/>
      <c r="T120" s="87"/>
      <c r="U120" s="88"/>
      <c r="V120" s="88"/>
      <c r="W120" s="88"/>
      <c r="X120" s="38">
        <f t="shared" si="12"/>
        <v>0</v>
      </c>
      <c r="Y120" s="49">
        <f>MIN(ROUNDDOWN('GEN.AD - PAY'!I121*0.05/2,2),2500)</f>
        <v>0</v>
      </c>
      <c r="Z120" s="86"/>
      <c r="AA120" s="87"/>
      <c r="AB120" s="88"/>
      <c r="AC120" s="88"/>
      <c r="AD120" s="88"/>
      <c r="AE120" s="35">
        <f t="shared" si="13"/>
        <v>0</v>
      </c>
      <c r="AF120" s="62">
        <f t="shared" si="14"/>
        <v>0</v>
      </c>
    </row>
    <row r="121" spans="1:32" ht="18.75" customHeight="1" x14ac:dyDescent="0.25">
      <c r="A121" s="98"/>
      <c r="B121" s="33">
        <f t="shared" si="10"/>
        <v>55</v>
      </c>
      <c r="C121" s="72">
        <f>'GEN.AD - PAY'!C122</f>
        <v>0</v>
      </c>
      <c r="D121" s="72" t="e">
        <f>'GEN.AD - PAY'!D122</f>
        <v>#N/A</v>
      </c>
      <c r="E121" s="306">
        <f>'GEN.AD - PAY'!E122</f>
        <v>0</v>
      </c>
      <c r="F121" s="49">
        <f>'GEN.AD - PAY'!L122</f>
        <v>0</v>
      </c>
      <c r="G121" s="36">
        <f>ROUND('GEN.AD - PAY'!I122*0.09,2)</f>
        <v>0</v>
      </c>
      <c r="H121" s="88"/>
      <c r="I121" s="88"/>
      <c r="J121" s="88"/>
      <c r="K121" s="88"/>
      <c r="L121" s="88"/>
      <c r="M121" s="88"/>
      <c r="N121" s="88"/>
      <c r="O121" s="88"/>
      <c r="P121" s="88"/>
      <c r="Q121" s="88"/>
      <c r="R121" s="41">
        <f t="shared" si="11"/>
        <v>0</v>
      </c>
      <c r="S121" s="86"/>
      <c r="T121" s="87"/>
      <c r="U121" s="88"/>
      <c r="V121" s="88"/>
      <c r="W121" s="88"/>
      <c r="X121" s="38">
        <f t="shared" si="12"/>
        <v>0</v>
      </c>
      <c r="Y121" s="49">
        <f>MIN(ROUNDDOWN('GEN.AD - PAY'!I122*0.05/2,2),2500)</f>
        <v>0</v>
      </c>
      <c r="Z121" s="86"/>
      <c r="AA121" s="87"/>
      <c r="AB121" s="88"/>
      <c r="AC121" s="88"/>
      <c r="AD121" s="88"/>
      <c r="AE121" s="35">
        <f t="shared" si="13"/>
        <v>0</v>
      </c>
      <c r="AF121" s="62">
        <f t="shared" si="14"/>
        <v>0</v>
      </c>
    </row>
    <row r="122" spans="1:32" ht="18.75" customHeight="1" x14ac:dyDescent="0.25">
      <c r="A122" s="98"/>
      <c r="B122" s="33">
        <f t="shared" si="10"/>
        <v>56</v>
      </c>
      <c r="C122" s="72">
        <f>'GEN.AD - PAY'!C123</f>
        <v>0</v>
      </c>
      <c r="D122" s="72" t="e">
        <f>'GEN.AD - PAY'!D123</f>
        <v>#N/A</v>
      </c>
      <c r="E122" s="306">
        <f>'GEN.AD - PAY'!E123</f>
        <v>0</v>
      </c>
      <c r="F122" s="49">
        <f>'GEN.AD - PAY'!L123</f>
        <v>0</v>
      </c>
      <c r="G122" s="36">
        <f>ROUND('GEN.AD - PAY'!I123*0.09,2)</f>
        <v>0</v>
      </c>
      <c r="H122" s="88"/>
      <c r="I122" s="88"/>
      <c r="J122" s="88"/>
      <c r="K122" s="88"/>
      <c r="L122" s="88"/>
      <c r="M122" s="88"/>
      <c r="N122" s="88"/>
      <c r="O122" s="88"/>
      <c r="P122" s="88"/>
      <c r="Q122" s="88"/>
      <c r="R122" s="41">
        <f t="shared" si="11"/>
        <v>0</v>
      </c>
      <c r="S122" s="86"/>
      <c r="T122" s="87"/>
      <c r="U122" s="88"/>
      <c r="V122" s="88"/>
      <c r="W122" s="88"/>
      <c r="X122" s="38">
        <f t="shared" si="12"/>
        <v>0</v>
      </c>
      <c r="Y122" s="49">
        <f>MIN(ROUNDDOWN('GEN.AD - PAY'!I123*0.05/2,2),2500)</f>
        <v>0</v>
      </c>
      <c r="Z122" s="86"/>
      <c r="AA122" s="87"/>
      <c r="AB122" s="88"/>
      <c r="AC122" s="88"/>
      <c r="AD122" s="88"/>
      <c r="AE122" s="35">
        <f t="shared" si="13"/>
        <v>0</v>
      </c>
      <c r="AF122" s="62">
        <f t="shared" si="14"/>
        <v>0</v>
      </c>
    </row>
    <row r="123" spans="1:32" ht="18.75" customHeight="1" x14ac:dyDescent="0.25">
      <c r="A123" s="98"/>
      <c r="B123" s="33">
        <f t="shared" si="10"/>
        <v>57</v>
      </c>
      <c r="C123" s="72">
        <f>'GEN.AD - PAY'!C124</f>
        <v>0</v>
      </c>
      <c r="D123" s="72" t="e">
        <f>'GEN.AD - PAY'!D124</f>
        <v>#N/A</v>
      </c>
      <c r="E123" s="306">
        <f>'GEN.AD - PAY'!E124</f>
        <v>0</v>
      </c>
      <c r="F123" s="49">
        <f>'GEN.AD - PAY'!L124</f>
        <v>0</v>
      </c>
      <c r="G123" s="36">
        <f>ROUND('GEN.AD - PAY'!I124*0.09,2)</f>
        <v>0</v>
      </c>
      <c r="H123" s="88"/>
      <c r="I123" s="88"/>
      <c r="J123" s="88"/>
      <c r="K123" s="88"/>
      <c r="L123" s="88"/>
      <c r="M123" s="88"/>
      <c r="N123" s="88"/>
      <c r="O123" s="88"/>
      <c r="P123" s="88"/>
      <c r="Q123" s="88"/>
      <c r="R123" s="41">
        <f t="shared" si="11"/>
        <v>0</v>
      </c>
      <c r="S123" s="86"/>
      <c r="T123" s="87"/>
      <c r="U123" s="88"/>
      <c r="V123" s="88"/>
      <c r="W123" s="88"/>
      <c r="X123" s="38">
        <f t="shared" si="12"/>
        <v>0</v>
      </c>
      <c r="Y123" s="49">
        <f>MIN(ROUNDDOWN('GEN.AD - PAY'!I124*0.05/2,2),2500)</f>
        <v>0</v>
      </c>
      <c r="Z123" s="86"/>
      <c r="AA123" s="87"/>
      <c r="AB123" s="88"/>
      <c r="AC123" s="88"/>
      <c r="AD123" s="88"/>
      <c r="AE123" s="35">
        <f t="shared" si="13"/>
        <v>0</v>
      </c>
      <c r="AF123" s="62">
        <f t="shared" si="14"/>
        <v>0</v>
      </c>
    </row>
    <row r="124" spans="1:32" ht="18.75" customHeight="1" x14ac:dyDescent="0.25">
      <c r="A124" s="98"/>
      <c r="B124" s="33">
        <f t="shared" si="10"/>
        <v>58</v>
      </c>
      <c r="C124" s="72">
        <f>'GEN.AD - PAY'!C125</f>
        <v>0</v>
      </c>
      <c r="D124" s="72" t="e">
        <f>'GEN.AD - PAY'!D125</f>
        <v>#N/A</v>
      </c>
      <c r="E124" s="306">
        <f>'GEN.AD - PAY'!E125</f>
        <v>0</v>
      </c>
      <c r="F124" s="49">
        <f>'GEN.AD - PAY'!L125</f>
        <v>0</v>
      </c>
      <c r="G124" s="36">
        <f>ROUND('GEN.AD - PAY'!I125*0.09,2)</f>
        <v>0</v>
      </c>
      <c r="H124" s="88"/>
      <c r="I124" s="88"/>
      <c r="J124" s="88"/>
      <c r="K124" s="88"/>
      <c r="L124" s="88"/>
      <c r="M124" s="88"/>
      <c r="N124" s="88"/>
      <c r="O124" s="88"/>
      <c r="P124" s="88"/>
      <c r="Q124" s="88"/>
      <c r="R124" s="41">
        <f t="shared" si="11"/>
        <v>0</v>
      </c>
      <c r="S124" s="86"/>
      <c r="T124" s="87"/>
      <c r="U124" s="88"/>
      <c r="V124" s="88"/>
      <c r="W124" s="88"/>
      <c r="X124" s="38">
        <f t="shared" si="12"/>
        <v>0</v>
      </c>
      <c r="Y124" s="49">
        <f>MIN(ROUNDDOWN('GEN.AD - PAY'!I125*0.05/2,2),2500)</f>
        <v>0</v>
      </c>
      <c r="Z124" s="86"/>
      <c r="AA124" s="87"/>
      <c r="AB124" s="88"/>
      <c r="AC124" s="88"/>
      <c r="AD124" s="88"/>
      <c r="AE124" s="35">
        <f t="shared" si="13"/>
        <v>0</v>
      </c>
      <c r="AF124" s="62">
        <f t="shared" si="14"/>
        <v>0</v>
      </c>
    </row>
    <row r="125" spans="1:32" ht="18.75" customHeight="1" x14ac:dyDescent="0.25">
      <c r="A125" s="98"/>
      <c r="B125" s="33">
        <f t="shared" si="10"/>
        <v>59</v>
      </c>
      <c r="C125" s="72">
        <f>'GEN.AD - PAY'!C126</f>
        <v>0</v>
      </c>
      <c r="D125" s="72" t="e">
        <f>'GEN.AD - PAY'!D126</f>
        <v>#N/A</v>
      </c>
      <c r="E125" s="306">
        <f>'GEN.AD - PAY'!E126</f>
        <v>0</v>
      </c>
      <c r="F125" s="49">
        <f>'GEN.AD - PAY'!L126</f>
        <v>0</v>
      </c>
      <c r="G125" s="36">
        <f>ROUND('GEN.AD - PAY'!I126*0.09,2)</f>
        <v>0</v>
      </c>
      <c r="H125" s="88"/>
      <c r="I125" s="88"/>
      <c r="J125" s="88"/>
      <c r="K125" s="88"/>
      <c r="L125" s="88"/>
      <c r="M125" s="88"/>
      <c r="N125" s="88"/>
      <c r="O125" s="88"/>
      <c r="P125" s="88"/>
      <c r="Q125" s="88"/>
      <c r="R125" s="41">
        <f t="shared" si="11"/>
        <v>0</v>
      </c>
      <c r="S125" s="86"/>
      <c r="T125" s="87"/>
      <c r="U125" s="88"/>
      <c r="V125" s="88"/>
      <c r="W125" s="88"/>
      <c r="X125" s="38">
        <f t="shared" si="12"/>
        <v>0</v>
      </c>
      <c r="Y125" s="49">
        <f>MIN(ROUNDDOWN('GEN.AD - PAY'!I126*0.05/2,2),2500)</f>
        <v>0</v>
      </c>
      <c r="Z125" s="86"/>
      <c r="AA125" s="87"/>
      <c r="AB125" s="88"/>
      <c r="AC125" s="88"/>
      <c r="AD125" s="88"/>
      <c r="AE125" s="35">
        <f t="shared" si="13"/>
        <v>0</v>
      </c>
      <c r="AF125" s="62">
        <f t="shared" si="14"/>
        <v>0</v>
      </c>
    </row>
    <row r="126" spans="1:32" ht="18.75" customHeight="1" x14ac:dyDescent="0.25">
      <c r="A126" s="98"/>
      <c r="B126" s="33">
        <f t="shared" si="10"/>
        <v>60</v>
      </c>
      <c r="C126" s="72">
        <f>'GEN.AD - PAY'!C127</f>
        <v>0</v>
      </c>
      <c r="D126" s="72" t="e">
        <f>'GEN.AD - PAY'!D127</f>
        <v>#N/A</v>
      </c>
      <c r="E126" s="306">
        <f>'GEN.AD - PAY'!E127</f>
        <v>0</v>
      </c>
      <c r="F126" s="49">
        <f>'GEN.AD - PAY'!L127</f>
        <v>0</v>
      </c>
      <c r="G126" s="36">
        <f>ROUND('GEN.AD - PAY'!I127*0.09,2)</f>
        <v>0</v>
      </c>
      <c r="H126" s="88"/>
      <c r="I126" s="88"/>
      <c r="J126" s="88"/>
      <c r="K126" s="88"/>
      <c r="L126" s="88"/>
      <c r="M126" s="88"/>
      <c r="N126" s="88"/>
      <c r="O126" s="88"/>
      <c r="P126" s="88"/>
      <c r="Q126" s="88"/>
      <c r="R126" s="41">
        <f t="shared" si="11"/>
        <v>0</v>
      </c>
      <c r="S126" s="86"/>
      <c r="T126" s="87"/>
      <c r="U126" s="88"/>
      <c r="V126" s="88"/>
      <c r="W126" s="88"/>
      <c r="X126" s="38">
        <f t="shared" si="12"/>
        <v>0</v>
      </c>
      <c r="Y126" s="49">
        <f>MIN(ROUNDDOWN('GEN.AD - PAY'!I127*0.05/2,2),2500)</f>
        <v>0</v>
      </c>
      <c r="Z126" s="86"/>
      <c r="AA126" s="87"/>
      <c r="AB126" s="88"/>
      <c r="AC126" s="88"/>
      <c r="AD126" s="88"/>
      <c r="AE126" s="35">
        <f t="shared" si="13"/>
        <v>0</v>
      </c>
      <c r="AF126" s="62">
        <f t="shared" si="14"/>
        <v>0</v>
      </c>
    </row>
    <row r="127" spans="1:32" ht="18.75" customHeight="1" x14ac:dyDescent="0.25">
      <c r="A127" s="98"/>
      <c r="B127" s="33">
        <f t="shared" si="10"/>
        <v>61</v>
      </c>
      <c r="C127" s="72">
        <f>'GEN.AD - PAY'!C128</f>
        <v>0</v>
      </c>
      <c r="D127" s="72" t="e">
        <f>'GEN.AD - PAY'!D128</f>
        <v>#N/A</v>
      </c>
      <c r="E127" s="306">
        <f>'GEN.AD - PAY'!E128</f>
        <v>0</v>
      </c>
      <c r="F127" s="49">
        <f>'GEN.AD - PAY'!L128</f>
        <v>0</v>
      </c>
      <c r="G127" s="36">
        <f>ROUND('GEN.AD - PAY'!I128*0.09,2)</f>
        <v>0</v>
      </c>
      <c r="H127" s="88"/>
      <c r="I127" s="88"/>
      <c r="J127" s="88"/>
      <c r="K127" s="88"/>
      <c r="L127" s="88"/>
      <c r="M127" s="88"/>
      <c r="N127" s="88"/>
      <c r="O127" s="88"/>
      <c r="P127" s="88"/>
      <c r="Q127" s="88"/>
      <c r="R127" s="41">
        <f t="shared" si="11"/>
        <v>0</v>
      </c>
      <c r="S127" s="86"/>
      <c r="T127" s="87"/>
      <c r="U127" s="88"/>
      <c r="V127" s="88"/>
      <c r="W127" s="88"/>
      <c r="X127" s="38">
        <f t="shared" si="12"/>
        <v>0</v>
      </c>
      <c r="Y127" s="49">
        <f>MIN(ROUNDDOWN('GEN.AD - PAY'!I128*0.05/2,2),2500)</f>
        <v>0</v>
      </c>
      <c r="Z127" s="86"/>
      <c r="AA127" s="87"/>
      <c r="AB127" s="88"/>
      <c r="AC127" s="88"/>
      <c r="AD127" s="88"/>
      <c r="AE127" s="35">
        <f t="shared" si="13"/>
        <v>0</v>
      </c>
      <c r="AF127" s="62">
        <f t="shared" si="14"/>
        <v>0</v>
      </c>
    </row>
    <row r="128" spans="1:32" ht="18.75" customHeight="1" x14ac:dyDescent="0.25">
      <c r="A128" s="98"/>
      <c r="B128" s="33">
        <f t="shared" si="10"/>
        <v>62</v>
      </c>
      <c r="C128" s="72">
        <f>'GEN.AD - PAY'!C129</f>
        <v>0</v>
      </c>
      <c r="D128" s="72" t="e">
        <f>'GEN.AD - PAY'!D129</f>
        <v>#N/A</v>
      </c>
      <c r="E128" s="306">
        <f>'GEN.AD - PAY'!E129</f>
        <v>0</v>
      </c>
      <c r="F128" s="49">
        <f>'GEN.AD - PAY'!L129</f>
        <v>0</v>
      </c>
      <c r="G128" s="36">
        <f>ROUND('GEN.AD - PAY'!I129*0.09,2)</f>
        <v>0</v>
      </c>
      <c r="H128" s="88"/>
      <c r="I128" s="88"/>
      <c r="J128" s="88"/>
      <c r="K128" s="88"/>
      <c r="L128" s="88"/>
      <c r="M128" s="88"/>
      <c r="N128" s="88"/>
      <c r="O128" s="88"/>
      <c r="P128" s="88"/>
      <c r="Q128" s="88"/>
      <c r="R128" s="41">
        <f t="shared" si="11"/>
        <v>0</v>
      </c>
      <c r="S128" s="86"/>
      <c r="T128" s="87"/>
      <c r="U128" s="88"/>
      <c r="V128" s="88"/>
      <c r="W128" s="88"/>
      <c r="X128" s="38">
        <f t="shared" si="12"/>
        <v>0</v>
      </c>
      <c r="Y128" s="49">
        <f>MIN(ROUNDDOWN('GEN.AD - PAY'!I129*0.05/2,2),2500)</f>
        <v>0</v>
      </c>
      <c r="Z128" s="86"/>
      <c r="AA128" s="87"/>
      <c r="AB128" s="88"/>
      <c r="AC128" s="88"/>
      <c r="AD128" s="88"/>
      <c r="AE128" s="35">
        <f t="shared" si="13"/>
        <v>0</v>
      </c>
      <c r="AF128" s="62">
        <f t="shared" si="14"/>
        <v>0</v>
      </c>
    </row>
    <row r="129" spans="1:32" ht="18.75" customHeight="1" x14ac:dyDescent="0.25">
      <c r="A129" s="98"/>
      <c r="B129" s="33">
        <f t="shared" si="10"/>
        <v>63</v>
      </c>
      <c r="C129" s="72">
        <f>'GEN.AD - PAY'!C130</f>
        <v>0</v>
      </c>
      <c r="D129" s="72" t="e">
        <f>'GEN.AD - PAY'!D130</f>
        <v>#N/A</v>
      </c>
      <c r="E129" s="306">
        <f>'GEN.AD - PAY'!E130</f>
        <v>0</v>
      </c>
      <c r="F129" s="49">
        <f>'GEN.AD - PAY'!L130</f>
        <v>0</v>
      </c>
      <c r="G129" s="36">
        <f>ROUND('GEN.AD - PAY'!I130*0.09,2)</f>
        <v>0</v>
      </c>
      <c r="H129" s="88"/>
      <c r="I129" s="88"/>
      <c r="J129" s="88"/>
      <c r="K129" s="88"/>
      <c r="L129" s="88"/>
      <c r="M129" s="88"/>
      <c r="N129" s="88"/>
      <c r="O129" s="88"/>
      <c r="P129" s="88"/>
      <c r="Q129" s="88"/>
      <c r="R129" s="41">
        <f t="shared" si="11"/>
        <v>0</v>
      </c>
      <c r="S129" s="86"/>
      <c r="T129" s="87"/>
      <c r="U129" s="88"/>
      <c r="V129" s="88"/>
      <c r="W129" s="88"/>
      <c r="X129" s="38">
        <f t="shared" si="12"/>
        <v>0</v>
      </c>
      <c r="Y129" s="49">
        <f>MIN(ROUNDDOWN('GEN.AD - PAY'!I130*0.05/2,2),2500)</f>
        <v>0</v>
      </c>
      <c r="Z129" s="86"/>
      <c r="AA129" s="87"/>
      <c r="AB129" s="88"/>
      <c r="AC129" s="88"/>
      <c r="AD129" s="88"/>
      <c r="AE129" s="35">
        <f t="shared" si="13"/>
        <v>0</v>
      </c>
      <c r="AF129" s="62">
        <f t="shared" si="14"/>
        <v>0</v>
      </c>
    </row>
    <row r="130" spans="1:32" ht="18.75" customHeight="1" x14ac:dyDescent="0.25">
      <c r="A130" s="98"/>
      <c r="B130" s="33">
        <f t="shared" si="10"/>
        <v>64</v>
      </c>
      <c r="C130" s="72">
        <f>'GEN.AD - PAY'!C131</f>
        <v>0</v>
      </c>
      <c r="D130" s="72" t="e">
        <f>'GEN.AD - PAY'!D131</f>
        <v>#N/A</v>
      </c>
      <c r="E130" s="306">
        <f>'GEN.AD - PAY'!E131</f>
        <v>0</v>
      </c>
      <c r="F130" s="49">
        <f>'GEN.AD - PAY'!L131</f>
        <v>0</v>
      </c>
      <c r="G130" s="36">
        <f>ROUND('GEN.AD - PAY'!I131*0.09,2)</f>
        <v>0</v>
      </c>
      <c r="H130" s="88"/>
      <c r="I130" s="88"/>
      <c r="J130" s="88"/>
      <c r="K130" s="88"/>
      <c r="L130" s="88"/>
      <c r="M130" s="88"/>
      <c r="N130" s="88"/>
      <c r="O130" s="88"/>
      <c r="P130" s="88"/>
      <c r="Q130" s="88"/>
      <c r="R130" s="41">
        <f t="shared" si="11"/>
        <v>0</v>
      </c>
      <c r="S130" s="86"/>
      <c r="T130" s="87"/>
      <c r="U130" s="88"/>
      <c r="V130" s="88"/>
      <c r="W130" s="88"/>
      <c r="X130" s="38">
        <f t="shared" si="12"/>
        <v>0</v>
      </c>
      <c r="Y130" s="49">
        <f>MIN(ROUNDDOWN('GEN.AD - PAY'!I131*0.05/2,2),2500)</f>
        <v>0</v>
      </c>
      <c r="Z130" s="86"/>
      <c r="AA130" s="87"/>
      <c r="AB130" s="88"/>
      <c r="AC130" s="88"/>
      <c r="AD130" s="88"/>
      <c r="AE130" s="35">
        <f t="shared" si="13"/>
        <v>0</v>
      </c>
      <c r="AF130" s="62">
        <f t="shared" si="14"/>
        <v>0</v>
      </c>
    </row>
    <row r="131" spans="1:32" ht="18.75" customHeight="1" x14ac:dyDescent="0.25">
      <c r="A131" s="98"/>
      <c r="B131" s="33">
        <f t="shared" si="10"/>
        <v>65</v>
      </c>
      <c r="C131" s="72">
        <f>'GEN.AD - PAY'!C132</f>
        <v>0</v>
      </c>
      <c r="D131" s="72" t="e">
        <f>'GEN.AD - PAY'!D132</f>
        <v>#N/A</v>
      </c>
      <c r="E131" s="306">
        <f>'GEN.AD - PAY'!E132</f>
        <v>0</v>
      </c>
      <c r="F131" s="49">
        <f>'GEN.AD - PAY'!L132</f>
        <v>0</v>
      </c>
      <c r="G131" s="36">
        <f>ROUND('GEN.AD - PAY'!I132*0.09,2)</f>
        <v>0</v>
      </c>
      <c r="H131" s="88"/>
      <c r="I131" s="88"/>
      <c r="J131" s="88"/>
      <c r="K131" s="88"/>
      <c r="L131" s="88"/>
      <c r="M131" s="88"/>
      <c r="N131" s="88"/>
      <c r="O131" s="88"/>
      <c r="P131" s="88"/>
      <c r="Q131" s="88"/>
      <c r="R131" s="41">
        <f t="shared" si="11"/>
        <v>0</v>
      </c>
      <c r="S131" s="86"/>
      <c r="T131" s="87"/>
      <c r="U131" s="88"/>
      <c r="V131" s="88"/>
      <c r="W131" s="88"/>
      <c r="X131" s="38">
        <f t="shared" si="12"/>
        <v>0</v>
      </c>
      <c r="Y131" s="49">
        <f>MIN(ROUNDDOWN('GEN.AD - PAY'!I132*0.05/2,2),2500)</f>
        <v>0</v>
      </c>
      <c r="Z131" s="86"/>
      <c r="AA131" s="87"/>
      <c r="AB131" s="88"/>
      <c r="AC131" s="88"/>
      <c r="AD131" s="88"/>
      <c r="AE131" s="35">
        <f t="shared" si="13"/>
        <v>0</v>
      </c>
      <c r="AF131" s="62">
        <f t="shared" si="14"/>
        <v>0</v>
      </c>
    </row>
    <row r="132" spans="1:32" ht="18.75" customHeight="1" x14ac:dyDescent="0.25">
      <c r="A132" s="98"/>
      <c r="B132" s="33">
        <f t="shared" si="10"/>
        <v>66</v>
      </c>
      <c r="C132" s="72">
        <f>'GEN.AD - PAY'!C133</f>
        <v>0</v>
      </c>
      <c r="D132" s="72" t="e">
        <f>'GEN.AD - PAY'!D133</f>
        <v>#N/A</v>
      </c>
      <c r="E132" s="306">
        <f>'GEN.AD - PAY'!E133</f>
        <v>0</v>
      </c>
      <c r="F132" s="49">
        <f>'GEN.AD - PAY'!L133</f>
        <v>0</v>
      </c>
      <c r="G132" s="36">
        <f>ROUND('GEN.AD - PAY'!I133*0.09,2)</f>
        <v>0</v>
      </c>
      <c r="H132" s="88"/>
      <c r="I132" s="88"/>
      <c r="J132" s="88"/>
      <c r="K132" s="88"/>
      <c r="L132" s="88"/>
      <c r="M132" s="88"/>
      <c r="N132" s="88"/>
      <c r="O132" s="88"/>
      <c r="P132" s="88"/>
      <c r="Q132" s="88"/>
      <c r="R132" s="41">
        <f t="shared" si="11"/>
        <v>0</v>
      </c>
      <c r="S132" s="86"/>
      <c r="T132" s="87"/>
      <c r="U132" s="88"/>
      <c r="V132" s="88"/>
      <c r="W132" s="88"/>
      <c r="X132" s="38">
        <f t="shared" si="12"/>
        <v>0</v>
      </c>
      <c r="Y132" s="49">
        <f>MIN(ROUNDDOWN('GEN.AD - PAY'!I133*0.05/2,2),2500)</f>
        <v>0</v>
      </c>
      <c r="Z132" s="86"/>
      <c r="AA132" s="87"/>
      <c r="AB132" s="88"/>
      <c r="AC132" s="88"/>
      <c r="AD132" s="88"/>
      <c r="AE132" s="35">
        <f t="shared" si="13"/>
        <v>0</v>
      </c>
      <c r="AF132" s="62">
        <f t="shared" si="14"/>
        <v>0</v>
      </c>
    </row>
    <row r="133" spans="1:32" ht="18.75" customHeight="1" x14ac:dyDescent="0.25">
      <c r="A133" s="98"/>
      <c r="B133" s="33">
        <f t="shared" si="10"/>
        <v>67</v>
      </c>
      <c r="C133" s="72">
        <f>'GEN.AD - PAY'!C134</f>
        <v>0</v>
      </c>
      <c r="D133" s="72" t="e">
        <f>'GEN.AD - PAY'!D134</f>
        <v>#N/A</v>
      </c>
      <c r="E133" s="306">
        <f>'GEN.AD - PAY'!E134</f>
        <v>0</v>
      </c>
      <c r="F133" s="49">
        <f>'GEN.AD - PAY'!L134</f>
        <v>0</v>
      </c>
      <c r="G133" s="36">
        <f>ROUND('GEN.AD - PAY'!I134*0.09,2)</f>
        <v>0</v>
      </c>
      <c r="H133" s="88"/>
      <c r="I133" s="88"/>
      <c r="J133" s="88"/>
      <c r="K133" s="88"/>
      <c r="L133" s="88"/>
      <c r="M133" s="88"/>
      <c r="N133" s="88"/>
      <c r="O133" s="88"/>
      <c r="P133" s="88"/>
      <c r="Q133" s="88"/>
      <c r="R133" s="41">
        <f t="shared" si="11"/>
        <v>0</v>
      </c>
      <c r="S133" s="86"/>
      <c r="T133" s="87"/>
      <c r="U133" s="88"/>
      <c r="V133" s="88"/>
      <c r="W133" s="88"/>
      <c r="X133" s="38">
        <f t="shared" si="12"/>
        <v>0</v>
      </c>
      <c r="Y133" s="49">
        <f>MIN(ROUNDDOWN('GEN.AD - PAY'!I134*0.05/2,2),2500)</f>
        <v>0</v>
      </c>
      <c r="Z133" s="86"/>
      <c r="AA133" s="87"/>
      <c r="AB133" s="88"/>
      <c r="AC133" s="88"/>
      <c r="AD133" s="88"/>
      <c r="AE133" s="35">
        <f t="shared" si="13"/>
        <v>0</v>
      </c>
      <c r="AF133" s="62">
        <f t="shared" si="14"/>
        <v>0</v>
      </c>
    </row>
    <row r="134" spans="1:32" ht="18.75" customHeight="1" x14ac:dyDescent="0.25">
      <c r="A134" s="98"/>
      <c r="B134" s="33">
        <f t="shared" si="10"/>
        <v>68</v>
      </c>
      <c r="C134" s="72">
        <f>'GEN.AD - PAY'!C135</f>
        <v>0</v>
      </c>
      <c r="D134" s="72" t="e">
        <f>'GEN.AD - PAY'!D135</f>
        <v>#N/A</v>
      </c>
      <c r="E134" s="306">
        <f>'GEN.AD - PAY'!E135</f>
        <v>0</v>
      </c>
      <c r="F134" s="49">
        <f>'GEN.AD - PAY'!L135</f>
        <v>0</v>
      </c>
      <c r="G134" s="36">
        <f>ROUND('GEN.AD - PAY'!I135*0.09,2)</f>
        <v>0</v>
      </c>
      <c r="H134" s="88"/>
      <c r="I134" s="88"/>
      <c r="J134" s="88"/>
      <c r="K134" s="88"/>
      <c r="L134" s="88"/>
      <c r="M134" s="88"/>
      <c r="N134" s="88"/>
      <c r="O134" s="88"/>
      <c r="P134" s="88"/>
      <c r="Q134" s="88"/>
      <c r="R134" s="41">
        <f t="shared" si="11"/>
        <v>0</v>
      </c>
      <c r="S134" s="86"/>
      <c r="T134" s="87"/>
      <c r="U134" s="88"/>
      <c r="V134" s="88"/>
      <c r="W134" s="88"/>
      <c r="X134" s="38">
        <f t="shared" si="12"/>
        <v>0</v>
      </c>
      <c r="Y134" s="49">
        <f>MIN(ROUNDDOWN('GEN.AD - PAY'!I135*0.05/2,2),2500)</f>
        <v>0</v>
      </c>
      <c r="Z134" s="86"/>
      <c r="AA134" s="87"/>
      <c r="AB134" s="88"/>
      <c r="AC134" s="88"/>
      <c r="AD134" s="88"/>
      <c r="AE134" s="35">
        <f t="shared" si="13"/>
        <v>0</v>
      </c>
      <c r="AF134" s="62">
        <f t="shared" si="14"/>
        <v>0</v>
      </c>
    </row>
    <row r="135" spans="1:32" ht="18.75" customHeight="1" x14ac:dyDescent="0.25">
      <c r="A135" s="98"/>
      <c r="B135" s="33">
        <f t="shared" si="10"/>
        <v>69</v>
      </c>
      <c r="C135" s="72">
        <f>'GEN.AD - PAY'!C136</f>
        <v>0</v>
      </c>
      <c r="D135" s="72" t="e">
        <f>'GEN.AD - PAY'!D136</f>
        <v>#N/A</v>
      </c>
      <c r="E135" s="306">
        <f>'GEN.AD - PAY'!E136</f>
        <v>0</v>
      </c>
      <c r="F135" s="49">
        <f>'GEN.AD - PAY'!L136</f>
        <v>0</v>
      </c>
      <c r="G135" s="36">
        <f>ROUND('GEN.AD - PAY'!I136*0.09,2)</f>
        <v>0</v>
      </c>
      <c r="H135" s="88"/>
      <c r="I135" s="88"/>
      <c r="J135" s="88"/>
      <c r="K135" s="88"/>
      <c r="L135" s="88"/>
      <c r="M135" s="88"/>
      <c r="N135" s="88"/>
      <c r="O135" s="88"/>
      <c r="P135" s="88"/>
      <c r="Q135" s="88"/>
      <c r="R135" s="41">
        <f t="shared" si="11"/>
        <v>0</v>
      </c>
      <c r="S135" s="86"/>
      <c r="T135" s="87"/>
      <c r="U135" s="88"/>
      <c r="V135" s="88"/>
      <c r="W135" s="88"/>
      <c r="X135" s="38">
        <f t="shared" si="12"/>
        <v>0</v>
      </c>
      <c r="Y135" s="49">
        <f>MIN(ROUNDDOWN('GEN.AD - PAY'!I136*0.05/2,2),2500)</f>
        <v>0</v>
      </c>
      <c r="Z135" s="86"/>
      <c r="AA135" s="87"/>
      <c r="AB135" s="88"/>
      <c r="AC135" s="88"/>
      <c r="AD135" s="88"/>
      <c r="AE135" s="35">
        <f t="shared" si="13"/>
        <v>0</v>
      </c>
      <c r="AF135" s="62">
        <f t="shared" si="14"/>
        <v>0</v>
      </c>
    </row>
    <row r="136" spans="1:32" ht="18.75" customHeight="1" x14ac:dyDescent="0.25">
      <c r="A136" s="98"/>
      <c r="B136" s="33">
        <f t="shared" si="10"/>
        <v>70</v>
      </c>
      <c r="C136" s="72">
        <f>'GEN.AD - PAY'!C137</f>
        <v>0</v>
      </c>
      <c r="D136" s="72" t="e">
        <f>'GEN.AD - PAY'!D137</f>
        <v>#N/A</v>
      </c>
      <c r="E136" s="306">
        <f>'GEN.AD - PAY'!E137</f>
        <v>0</v>
      </c>
      <c r="F136" s="49">
        <f>'GEN.AD - PAY'!L137</f>
        <v>0</v>
      </c>
      <c r="G136" s="36">
        <f>ROUND('GEN.AD - PAY'!I137*0.09,2)</f>
        <v>0</v>
      </c>
      <c r="H136" s="88"/>
      <c r="I136" s="88"/>
      <c r="J136" s="88"/>
      <c r="K136" s="88"/>
      <c r="L136" s="88"/>
      <c r="M136" s="88"/>
      <c r="N136" s="88"/>
      <c r="O136" s="88"/>
      <c r="P136" s="88"/>
      <c r="Q136" s="88"/>
      <c r="R136" s="41">
        <f t="shared" si="11"/>
        <v>0</v>
      </c>
      <c r="S136" s="86"/>
      <c r="T136" s="87"/>
      <c r="U136" s="88"/>
      <c r="V136" s="88"/>
      <c r="W136" s="88"/>
      <c r="X136" s="38">
        <f t="shared" si="12"/>
        <v>0</v>
      </c>
      <c r="Y136" s="49">
        <f>MIN(ROUNDDOWN('GEN.AD - PAY'!I137*0.05/2,2),2500)</f>
        <v>0</v>
      </c>
      <c r="Z136" s="86"/>
      <c r="AA136" s="87"/>
      <c r="AB136" s="88"/>
      <c r="AC136" s="88"/>
      <c r="AD136" s="88"/>
      <c r="AE136" s="35">
        <f t="shared" si="13"/>
        <v>0</v>
      </c>
      <c r="AF136" s="62">
        <f t="shared" si="14"/>
        <v>0</v>
      </c>
    </row>
    <row r="137" spans="1:32" ht="18.75" customHeight="1" x14ac:dyDescent="0.25">
      <c r="A137" s="98"/>
      <c r="B137" s="33">
        <f t="shared" si="10"/>
        <v>71</v>
      </c>
      <c r="C137" s="72">
        <f>'GEN.AD - PAY'!C138</f>
        <v>0</v>
      </c>
      <c r="D137" s="72" t="e">
        <f>'GEN.AD - PAY'!D138</f>
        <v>#N/A</v>
      </c>
      <c r="E137" s="306">
        <f>'GEN.AD - PAY'!E138</f>
        <v>0</v>
      </c>
      <c r="F137" s="49">
        <f>'GEN.AD - PAY'!L138</f>
        <v>0</v>
      </c>
      <c r="G137" s="36">
        <f>ROUND('GEN.AD - PAY'!I138*0.09,2)</f>
        <v>0</v>
      </c>
      <c r="H137" s="88"/>
      <c r="I137" s="88"/>
      <c r="J137" s="88"/>
      <c r="K137" s="88"/>
      <c r="L137" s="88"/>
      <c r="M137" s="88"/>
      <c r="N137" s="88"/>
      <c r="O137" s="88"/>
      <c r="P137" s="88"/>
      <c r="Q137" s="88"/>
      <c r="R137" s="41">
        <f t="shared" si="11"/>
        <v>0</v>
      </c>
      <c r="S137" s="86"/>
      <c r="T137" s="87"/>
      <c r="U137" s="88"/>
      <c r="V137" s="88"/>
      <c r="W137" s="88"/>
      <c r="X137" s="38">
        <f t="shared" si="12"/>
        <v>0</v>
      </c>
      <c r="Y137" s="49">
        <f>MIN(ROUNDDOWN('GEN.AD - PAY'!I138*0.05/2,2),2500)</f>
        <v>0</v>
      </c>
      <c r="Z137" s="86"/>
      <c r="AA137" s="87"/>
      <c r="AB137" s="88"/>
      <c r="AC137" s="88"/>
      <c r="AD137" s="88"/>
      <c r="AE137" s="35">
        <f t="shared" si="13"/>
        <v>0</v>
      </c>
      <c r="AF137" s="62">
        <f t="shared" si="14"/>
        <v>0</v>
      </c>
    </row>
    <row r="138" spans="1:32" ht="18.75" customHeight="1" x14ac:dyDescent="0.25">
      <c r="A138" s="98"/>
      <c r="B138" s="33">
        <f t="shared" si="10"/>
        <v>72</v>
      </c>
      <c r="C138" s="72">
        <f>'GEN.AD - PAY'!C139</f>
        <v>0</v>
      </c>
      <c r="D138" s="72" t="e">
        <f>'GEN.AD - PAY'!D139</f>
        <v>#N/A</v>
      </c>
      <c r="E138" s="306">
        <f>'GEN.AD - PAY'!E139</f>
        <v>0</v>
      </c>
      <c r="F138" s="49">
        <f>'GEN.AD - PAY'!L139</f>
        <v>0</v>
      </c>
      <c r="G138" s="36">
        <f>ROUND('GEN.AD - PAY'!I139*0.09,2)</f>
        <v>0</v>
      </c>
      <c r="H138" s="88"/>
      <c r="I138" s="88"/>
      <c r="J138" s="88"/>
      <c r="K138" s="88"/>
      <c r="L138" s="88"/>
      <c r="M138" s="88"/>
      <c r="N138" s="88"/>
      <c r="O138" s="88"/>
      <c r="P138" s="88"/>
      <c r="Q138" s="88"/>
      <c r="R138" s="41">
        <f t="shared" si="11"/>
        <v>0</v>
      </c>
      <c r="S138" s="86"/>
      <c r="T138" s="87"/>
      <c r="U138" s="88"/>
      <c r="V138" s="88"/>
      <c r="W138" s="88"/>
      <c r="X138" s="38">
        <f t="shared" si="12"/>
        <v>0</v>
      </c>
      <c r="Y138" s="49">
        <f>MIN(ROUNDDOWN('GEN.AD - PAY'!I139*0.05/2,2),2500)</f>
        <v>0</v>
      </c>
      <c r="Z138" s="86"/>
      <c r="AA138" s="87"/>
      <c r="AB138" s="88"/>
      <c r="AC138" s="88"/>
      <c r="AD138" s="88"/>
      <c r="AE138" s="35">
        <f t="shared" si="13"/>
        <v>0</v>
      </c>
      <c r="AF138" s="62">
        <f t="shared" si="14"/>
        <v>0</v>
      </c>
    </row>
    <row r="139" spans="1:32" ht="18.75" customHeight="1" x14ac:dyDescent="0.25">
      <c r="A139" s="98"/>
      <c r="B139" s="33">
        <f t="shared" si="10"/>
        <v>73</v>
      </c>
      <c r="C139" s="72">
        <f>'GEN.AD - PAY'!C140</f>
        <v>0</v>
      </c>
      <c r="D139" s="72" t="e">
        <f>'GEN.AD - PAY'!D140</f>
        <v>#N/A</v>
      </c>
      <c r="E139" s="306">
        <f>'GEN.AD - PAY'!E140</f>
        <v>0</v>
      </c>
      <c r="F139" s="49">
        <f>'GEN.AD - PAY'!L140</f>
        <v>0</v>
      </c>
      <c r="G139" s="36">
        <f>ROUND('GEN.AD - PAY'!I140*0.09,2)</f>
        <v>0</v>
      </c>
      <c r="H139" s="88"/>
      <c r="I139" s="88"/>
      <c r="J139" s="88"/>
      <c r="K139" s="88"/>
      <c r="L139" s="88"/>
      <c r="M139" s="88"/>
      <c r="N139" s="88"/>
      <c r="O139" s="88"/>
      <c r="P139" s="88"/>
      <c r="Q139" s="88"/>
      <c r="R139" s="41">
        <f t="shared" si="11"/>
        <v>0</v>
      </c>
      <c r="S139" s="86"/>
      <c r="T139" s="87"/>
      <c r="U139" s="88"/>
      <c r="V139" s="88"/>
      <c r="W139" s="88"/>
      <c r="X139" s="38">
        <f t="shared" si="12"/>
        <v>0</v>
      </c>
      <c r="Y139" s="49">
        <f>MIN(ROUNDDOWN('GEN.AD - PAY'!I140*0.05/2,2),2500)</f>
        <v>0</v>
      </c>
      <c r="Z139" s="86"/>
      <c r="AA139" s="87"/>
      <c r="AB139" s="88"/>
      <c r="AC139" s="88"/>
      <c r="AD139" s="88"/>
      <c r="AE139" s="35">
        <f t="shared" si="13"/>
        <v>0</v>
      </c>
      <c r="AF139" s="62">
        <f t="shared" si="14"/>
        <v>0</v>
      </c>
    </row>
    <row r="140" spans="1:32" ht="18.75" customHeight="1" x14ac:dyDescent="0.25">
      <c r="A140" s="98"/>
      <c r="B140" s="33">
        <f t="shared" si="10"/>
        <v>74</v>
      </c>
      <c r="C140" s="72">
        <f>'GEN.AD - PAY'!C141</f>
        <v>0</v>
      </c>
      <c r="D140" s="72" t="e">
        <f>'GEN.AD - PAY'!D141</f>
        <v>#N/A</v>
      </c>
      <c r="E140" s="306">
        <f>'GEN.AD - PAY'!E141</f>
        <v>0</v>
      </c>
      <c r="F140" s="49">
        <f>'GEN.AD - PAY'!L141</f>
        <v>0</v>
      </c>
      <c r="G140" s="36">
        <f>ROUND('GEN.AD - PAY'!I141*0.09,2)</f>
        <v>0</v>
      </c>
      <c r="H140" s="88"/>
      <c r="I140" s="88"/>
      <c r="J140" s="88"/>
      <c r="K140" s="88"/>
      <c r="L140" s="88"/>
      <c r="M140" s="88"/>
      <c r="N140" s="88"/>
      <c r="O140" s="88"/>
      <c r="P140" s="88"/>
      <c r="Q140" s="88"/>
      <c r="R140" s="41">
        <f t="shared" si="11"/>
        <v>0</v>
      </c>
      <c r="S140" s="86"/>
      <c r="T140" s="87"/>
      <c r="U140" s="88"/>
      <c r="V140" s="88"/>
      <c r="W140" s="88"/>
      <c r="X140" s="38">
        <f t="shared" si="12"/>
        <v>0</v>
      </c>
      <c r="Y140" s="49">
        <f>MIN(ROUNDDOWN('GEN.AD - PAY'!I141*0.05/2,2),2500)</f>
        <v>0</v>
      </c>
      <c r="Z140" s="86"/>
      <c r="AA140" s="87"/>
      <c r="AB140" s="88"/>
      <c r="AC140" s="88"/>
      <c r="AD140" s="88"/>
      <c r="AE140" s="35">
        <f t="shared" si="13"/>
        <v>0</v>
      </c>
      <c r="AF140" s="62">
        <f t="shared" si="14"/>
        <v>0</v>
      </c>
    </row>
    <row r="141" spans="1:32" ht="18.75" customHeight="1" x14ac:dyDescent="0.25">
      <c r="A141" s="98"/>
      <c r="B141" s="33">
        <f t="shared" si="10"/>
        <v>75</v>
      </c>
      <c r="C141" s="72">
        <f>'GEN.AD - PAY'!C142</f>
        <v>0</v>
      </c>
      <c r="D141" s="72" t="e">
        <f>'GEN.AD - PAY'!D142</f>
        <v>#N/A</v>
      </c>
      <c r="E141" s="306">
        <f>'GEN.AD - PAY'!E142</f>
        <v>0</v>
      </c>
      <c r="F141" s="49">
        <f>'GEN.AD - PAY'!L142</f>
        <v>0</v>
      </c>
      <c r="G141" s="36">
        <f>ROUND('GEN.AD - PAY'!I142*0.09,2)</f>
        <v>0</v>
      </c>
      <c r="H141" s="88"/>
      <c r="I141" s="88"/>
      <c r="J141" s="88"/>
      <c r="K141" s="88"/>
      <c r="L141" s="88"/>
      <c r="M141" s="88"/>
      <c r="N141" s="88"/>
      <c r="O141" s="88"/>
      <c r="P141" s="88"/>
      <c r="Q141" s="88"/>
      <c r="R141" s="41">
        <f t="shared" si="11"/>
        <v>0</v>
      </c>
      <c r="S141" s="86"/>
      <c r="T141" s="87"/>
      <c r="U141" s="88"/>
      <c r="V141" s="88"/>
      <c r="W141" s="88"/>
      <c r="X141" s="38">
        <f t="shared" si="12"/>
        <v>0</v>
      </c>
      <c r="Y141" s="49">
        <f>MIN(ROUNDDOWN('GEN.AD - PAY'!I142*0.05/2,2),2500)</f>
        <v>0</v>
      </c>
      <c r="Z141" s="86"/>
      <c r="AA141" s="87"/>
      <c r="AB141" s="88"/>
      <c r="AC141" s="88"/>
      <c r="AD141" s="88"/>
      <c r="AE141" s="35">
        <f t="shared" si="13"/>
        <v>0</v>
      </c>
      <c r="AF141" s="62">
        <f t="shared" si="14"/>
        <v>0</v>
      </c>
    </row>
    <row r="142" spans="1:32" ht="18.75" customHeight="1" x14ac:dyDescent="0.25">
      <c r="A142" s="98"/>
      <c r="B142" s="33">
        <f t="shared" si="10"/>
        <v>76</v>
      </c>
      <c r="C142" s="72">
        <f>'GEN.AD - PAY'!C143</f>
        <v>0</v>
      </c>
      <c r="D142" s="72" t="e">
        <f>'GEN.AD - PAY'!D143</f>
        <v>#N/A</v>
      </c>
      <c r="E142" s="306">
        <f>'GEN.AD - PAY'!E143</f>
        <v>0</v>
      </c>
      <c r="F142" s="49">
        <f>'GEN.AD - PAY'!L143</f>
        <v>0</v>
      </c>
      <c r="G142" s="36">
        <f>ROUND('GEN.AD - PAY'!I143*0.09,2)</f>
        <v>0</v>
      </c>
      <c r="H142" s="88"/>
      <c r="I142" s="88"/>
      <c r="J142" s="88"/>
      <c r="K142" s="88"/>
      <c r="L142" s="88"/>
      <c r="M142" s="88"/>
      <c r="N142" s="88"/>
      <c r="O142" s="88"/>
      <c r="P142" s="88"/>
      <c r="Q142" s="88"/>
      <c r="R142" s="41">
        <f t="shared" si="11"/>
        <v>0</v>
      </c>
      <c r="S142" s="86"/>
      <c r="T142" s="87"/>
      <c r="U142" s="88"/>
      <c r="V142" s="88"/>
      <c r="W142" s="88"/>
      <c r="X142" s="38">
        <f t="shared" si="12"/>
        <v>0</v>
      </c>
      <c r="Y142" s="49">
        <f>MIN(ROUNDDOWN('GEN.AD - PAY'!I143*0.05/2,2),2500)</f>
        <v>0</v>
      </c>
      <c r="Z142" s="86"/>
      <c r="AA142" s="87"/>
      <c r="AB142" s="88"/>
      <c r="AC142" s="88"/>
      <c r="AD142" s="88"/>
      <c r="AE142" s="35">
        <f t="shared" si="13"/>
        <v>0</v>
      </c>
      <c r="AF142" s="62">
        <f t="shared" si="14"/>
        <v>0</v>
      </c>
    </row>
    <row r="143" spans="1:32" ht="18.75" customHeight="1" x14ac:dyDescent="0.25">
      <c r="A143" s="98"/>
      <c r="B143" s="33">
        <f t="shared" si="10"/>
        <v>77</v>
      </c>
      <c r="C143" s="72">
        <f>'GEN.AD - PAY'!C144</f>
        <v>0</v>
      </c>
      <c r="D143" s="72" t="e">
        <f>'GEN.AD - PAY'!D144</f>
        <v>#N/A</v>
      </c>
      <c r="E143" s="306">
        <f>'GEN.AD - PAY'!E144</f>
        <v>0</v>
      </c>
      <c r="F143" s="49">
        <f>'GEN.AD - PAY'!L144</f>
        <v>0</v>
      </c>
      <c r="G143" s="36">
        <f>ROUND('GEN.AD - PAY'!I144*0.09,2)</f>
        <v>0</v>
      </c>
      <c r="H143" s="88"/>
      <c r="I143" s="88"/>
      <c r="J143" s="88"/>
      <c r="K143" s="88"/>
      <c r="L143" s="88"/>
      <c r="M143" s="88"/>
      <c r="N143" s="88"/>
      <c r="O143" s="88"/>
      <c r="P143" s="88"/>
      <c r="Q143" s="88"/>
      <c r="R143" s="41">
        <f t="shared" si="11"/>
        <v>0</v>
      </c>
      <c r="S143" s="86"/>
      <c r="T143" s="87"/>
      <c r="U143" s="88"/>
      <c r="V143" s="88"/>
      <c r="W143" s="88"/>
      <c r="X143" s="38">
        <f t="shared" si="12"/>
        <v>0</v>
      </c>
      <c r="Y143" s="49">
        <f>MIN(ROUNDDOWN('GEN.AD - PAY'!I144*0.05/2,2),2500)</f>
        <v>0</v>
      </c>
      <c r="Z143" s="86"/>
      <c r="AA143" s="87"/>
      <c r="AB143" s="88"/>
      <c r="AC143" s="88"/>
      <c r="AD143" s="88"/>
      <c r="AE143" s="35">
        <f t="shared" si="13"/>
        <v>0</v>
      </c>
      <c r="AF143" s="62">
        <f t="shared" si="14"/>
        <v>0</v>
      </c>
    </row>
    <row r="144" spans="1:32" ht="18.75" customHeight="1" x14ac:dyDescent="0.25">
      <c r="A144" s="98"/>
      <c r="B144" s="33">
        <f t="shared" si="10"/>
        <v>78</v>
      </c>
      <c r="C144" s="72">
        <f>'GEN.AD - PAY'!C145</f>
        <v>0</v>
      </c>
      <c r="D144" s="72" t="e">
        <f>'GEN.AD - PAY'!D145</f>
        <v>#N/A</v>
      </c>
      <c r="E144" s="306">
        <f>'GEN.AD - PAY'!E145</f>
        <v>0</v>
      </c>
      <c r="F144" s="49">
        <f>'GEN.AD - PAY'!L145</f>
        <v>0</v>
      </c>
      <c r="G144" s="36">
        <f>ROUND('GEN.AD - PAY'!I145*0.09,2)</f>
        <v>0</v>
      </c>
      <c r="H144" s="88"/>
      <c r="I144" s="88"/>
      <c r="J144" s="88"/>
      <c r="K144" s="88"/>
      <c r="L144" s="88"/>
      <c r="M144" s="88"/>
      <c r="N144" s="88"/>
      <c r="O144" s="88"/>
      <c r="P144" s="88"/>
      <c r="Q144" s="88"/>
      <c r="R144" s="41">
        <f t="shared" si="11"/>
        <v>0</v>
      </c>
      <c r="S144" s="86"/>
      <c r="T144" s="87"/>
      <c r="U144" s="88"/>
      <c r="V144" s="88"/>
      <c r="W144" s="88"/>
      <c r="X144" s="38">
        <f t="shared" si="12"/>
        <v>0</v>
      </c>
      <c r="Y144" s="49">
        <f>MIN(ROUNDDOWN('GEN.AD - PAY'!I145*0.05/2,2),2500)</f>
        <v>0</v>
      </c>
      <c r="Z144" s="86"/>
      <c r="AA144" s="87"/>
      <c r="AB144" s="88"/>
      <c r="AC144" s="88"/>
      <c r="AD144" s="88"/>
      <c r="AE144" s="35">
        <f t="shared" si="13"/>
        <v>0</v>
      </c>
      <c r="AF144" s="62">
        <f t="shared" si="14"/>
        <v>0</v>
      </c>
    </row>
    <row r="145" spans="1:32" ht="18.75" customHeight="1" x14ac:dyDescent="0.25">
      <c r="A145" s="98"/>
      <c r="B145" s="33">
        <f t="shared" si="10"/>
        <v>79</v>
      </c>
      <c r="C145" s="72">
        <f>'GEN.AD - PAY'!C146</f>
        <v>0</v>
      </c>
      <c r="D145" s="72" t="e">
        <f>'GEN.AD - PAY'!D146</f>
        <v>#N/A</v>
      </c>
      <c r="E145" s="306">
        <f>'GEN.AD - PAY'!E146</f>
        <v>0</v>
      </c>
      <c r="F145" s="49">
        <f>'GEN.AD - PAY'!L146</f>
        <v>0</v>
      </c>
      <c r="G145" s="36">
        <f>ROUND('GEN.AD - PAY'!I146*0.09,2)</f>
        <v>0</v>
      </c>
      <c r="H145" s="88"/>
      <c r="I145" s="88"/>
      <c r="J145" s="88"/>
      <c r="K145" s="88"/>
      <c r="L145" s="88"/>
      <c r="M145" s="88"/>
      <c r="N145" s="88"/>
      <c r="O145" s="88"/>
      <c r="P145" s="88"/>
      <c r="Q145" s="88"/>
      <c r="R145" s="41">
        <f t="shared" si="11"/>
        <v>0</v>
      </c>
      <c r="S145" s="86"/>
      <c r="T145" s="87"/>
      <c r="U145" s="88"/>
      <c r="V145" s="88"/>
      <c r="W145" s="88"/>
      <c r="X145" s="38">
        <f t="shared" si="12"/>
        <v>0</v>
      </c>
      <c r="Y145" s="49">
        <f>MIN(ROUNDDOWN('GEN.AD - PAY'!I146*0.05/2,2),2500)</f>
        <v>0</v>
      </c>
      <c r="Z145" s="86"/>
      <c r="AA145" s="87"/>
      <c r="AB145" s="88"/>
      <c r="AC145" s="88"/>
      <c r="AD145" s="88"/>
      <c r="AE145" s="35">
        <f t="shared" si="13"/>
        <v>0</v>
      </c>
      <c r="AF145" s="62">
        <f t="shared" si="14"/>
        <v>0</v>
      </c>
    </row>
    <row r="146" spans="1:32" ht="18.75" customHeight="1" x14ac:dyDescent="0.25">
      <c r="A146" s="98"/>
      <c r="B146" s="33">
        <f t="shared" si="10"/>
        <v>80</v>
      </c>
      <c r="C146" s="72">
        <f>'GEN.AD - PAY'!C147</f>
        <v>0</v>
      </c>
      <c r="D146" s="72" t="e">
        <f>'GEN.AD - PAY'!D147</f>
        <v>#N/A</v>
      </c>
      <c r="E146" s="306">
        <f>'GEN.AD - PAY'!E147</f>
        <v>0</v>
      </c>
      <c r="F146" s="49">
        <f>'GEN.AD - PAY'!L147</f>
        <v>0</v>
      </c>
      <c r="G146" s="36">
        <f>ROUND('GEN.AD - PAY'!I147*0.09,2)</f>
        <v>0</v>
      </c>
      <c r="H146" s="88"/>
      <c r="I146" s="88"/>
      <c r="J146" s="88"/>
      <c r="K146" s="88"/>
      <c r="L146" s="88"/>
      <c r="M146" s="88"/>
      <c r="N146" s="88"/>
      <c r="O146" s="88"/>
      <c r="P146" s="88"/>
      <c r="Q146" s="88"/>
      <c r="R146" s="41">
        <f t="shared" si="11"/>
        <v>0</v>
      </c>
      <c r="S146" s="86"/>
      <c r="T146" s="87"/>
      <c r="U146" s="88"/>
      <c r="V146" s="88"/>
      <c r="W146" s="88"/>
      <c r="X146" s="38">
        <f t="shared" si="12"/>
        <v>0</v>
      </c>
      <c r="Y146" s="49">
        <f>MIN(ROUNDDOWN('GEN.AD - PAY'!I147*0.05/2,2),2500)</f>
        <v>0</v>
      </c>
      <c r="Z146" s="86"/>
      <c r="AA146" s="87"/>
      <c r="AB146" s="88"/>
      <c r="AC146" s="88"/>
      <c r="AD146" s="88"/>
      <c r="AE146" s="35">
        <f t="shared" si="13"/>
        <v>0</v>
      </c>
      <c r="AF146" s="62">
        <f t="shared" si="14"/>
        <v>0</v>
      </c>
    </row>
    <row r="147" spans="1:32" ht="18.75" customHeight="1" x14ac:dyDescent="0.25">
      <c r="A147" s="98"/>
      <c r="B147" s="33">
        <f t="shared" si="10"/>
        <v>81</v>
      </c>
      <c r="C147" s="72">
        <f>'GEN.AD - PAY'!C148</f>
        <v>0</v>
      </c>
      <c r="D147" s="72" t="e">
        <f>'GEN.AD - PAY'!D148</f>
        <v>#N/A</v>
      </c>
      <c r="E147" s="306">
        <f>'GEN.AD - PAY'!E148</f>
        <v>0</v>
      </c>
      <c r="F147" s="49">
        <f>'GEN.AD - PAY'!L148</f>
        <v>0</v>
      </c>
      <c r="G147" s="36">
        <f>ROUND('GEN.AD - PAY'!I148*0.09,2)</f>
        <v>0</v>
      </c>
      <c r="H147" s="88"/>
      <c r="I147" s="88"/>
      <c r="J147" s="88"/>
      <c r="K147" s="88"/>
      <c r="L147" s="88"/>
      <c r="M147" s="88"/>
      <c r="N147" s="88"/>
      <c r="O147" s="88"/>
      <c r="P147" s="88"/>
      <c r="Q147" s="88"/>
      <c r="R147" s="41">
        <f t="shared" si="11"/>
        <v>0</v>
      </c>
      <c r="S147" s="86"/>
      <c r="T147" s="87"/>
      <c r="U147" s="88"/>
      <c r="V147" s="88"/>
      <c r="W147" s="88"/>
      <c r="X147" s="38">
        <f t="shared" si="12"/>
        <v>0</v>
      </c>
      <c r="Y147" s="49">
        <f>MIN(ROUNDDOWN('GEN.AD - PAY'!I148*0.05/2,2),2500)</f>
        <v>0</v>
      </c>
      <c r="Z147" s="86"/>
      <c r="AA147" s="87"/>
      <c r="AB147" s="88"/>
      <c r="AC147" s="88"/>
      <c r="AD147" s="88"/>
      <c r="AE147" s="35">
        <f t="shared" si="13"/>
        <v>0</v>
      </c>
      <c r="AF147" s="62">
        <f t="shared" si="14"/>
        <v>0</v>
      </c>
    </row>
    <row r="148" spans="1:32" ht="18.75" customHeight="1" x14ac:dyDescent="0.25">
      <c r="A148" s="98"/>
      <c r="B148" s="33">
        <f t="shared" si="10"/>
        <v>82</v>
      </c>
      <c r="C148" s="72">
        <f>'GEN.AD - PAY'!C149</f>
        <v>0</v>
      </c>
      <c r="D148" s="72" t="e">
        <f>'GEN.AD - PAY'!D149</f>
        <v>#N/A</v>
      </c>
      <c r="E148" s="306">
        <f>'GEN.AD - PAY'!E149</f>
        <v>0</v>
      </c>
      <c r="F148" s="49">
        <f>'GEN.AD - PAY'!L149</f>
        <v>0</v>
      </c>
      <c r="G148" s="36">
        <f>ROUND('GEN.AD - PAY'!I149*0.09,2)</f>
        <v>0</v>
      </c>
      <c r="H148" s="88"/>
      <c r="I148" s="88"/>
      <c r="J148" s="88"/>
      <c r="K148" s="88"/>
      <c r="L148" s="88"/>
      <c r="M148" s="88"/>
      <c r="N148" s="88"/>
      <c r="O148" s="88"/>
      <c r="P148" s="88"/>
      <c r="Q148" s="88"/>
      <c r="R148" s="41">
        <f t="shared" si="11"/>
        <v>0</v>
      </c>
      <c r="S148" s="86"/>
      <c r="T148" s="87"/>
      <c r="U148" s="88"/>
      <c r="V148" s="88"/>
      <c r="W148" s="88"/>
      <c r="X148" s="38">
        <f t="shared" si="12"/>
        <v>0</v>
      </c>
      <c r="Y148" s="49">
        <f>MIN(ROUNDDOWN('GEN.AD - PAY'!I149*0.05/2,2),2500)</f>
        <v>0</v>
      </c>
      <c r="Z148" s="86"/>
      <c r="AA148" s="87"/>
      <c r="AB148" s="88"/>
      <c r="AC148" s="88"/>
      <c r="AD148" s="88"/>
      <c r="AE148" s="35">
        <f t="shared" si="13"/>
        <v>0</v>
      </c>
      <c r="AF148" s="62">
        <f t="shared" si="14"/>
        <v>0</v>
      </c>
    </row>
    <row r="149" spans="1:32" ht="18.75" customHeight="1" x14ac:dyDescent="0.25">
      <c r="A149" s="98"/>
      <c r="B149" s="33">
        <f t="shared" si="10"/>
        <v>83</v>
      </c>
      <c r="C149" s="72">
        <f>'GEN.AD - PAY'!C150</f>
        <v>0</v>
      </c>
      <c r="D149" s="72" t="e">
        <f>'GEN.AD - PAY'!D150</f>
        <v>#N/A</v>
      </c>
      <c r="E149" s="306">
        <f>'GEN.AD - PAY'!E150</f>
        <v>0</v>
      </c>
      <c r="F149" s="49">
        <f>'GEN.AD - PAY'!L150</f>
        <v>0</v>
      </c>
      <c r="G149" s="36">
        <f>ROUND('GEN.AD - PAY'!I150*0.09,2)</f>
        <v>0</v>
      </c>
      <c r="H149" s="88"/>
      <c r="I149" s="88"/>
      <c r="J149" s="88"/>
      <c r="K149" s="88"/>
      <c r="L149" s="88"/>
      <c r="M149" s="88"/>
      <c r="N149" s="88"/>
      <c r="O149" s="88"/>
      <c r="P149" s="88"/>
      <c r="Q149" s="88"/>
      <c r="R149" s="41">
        <f t="shared" si="11"/>
        <v>0</v>
      </c>
      <c r="S149" s="86"/>
      <c r="T149" s="87"/>
      <c r="U149" s="88"/>
      <c r="V149" s="88"/>
      <c r="W149" s="88"/>
      <c r="X149" s="38">
        <f t="shared" si="12"/>
        <v>0</v>
      </c>
      <c r="Y149" s="49">
        <f>MIN(ROUNDDOWN('GEN.AD - PAY'!I150*0.05/2,2),2500)</f>
        <v>0</v>
      </c>
      <c r="Z149" s="86"/>
      <c r="AA149" s="87"/>
      <c r="AB149" s="88"/>
      <c r="AC149" s="88"/>
      <c r="AD149" s="88"/>
      <c r="AE149" s="35">
        <f t="shared" si="13"/>
        <v>0</v>
      </c>
      <c r="AF149" s="62">
        <f t="shared" si="14"/>
        <v>0</v>
      </c>
    </row>
    <row r="150" spans="1:32" ht="18.75" customHeight="1" x14ac:dyDescent="0.25">
      <c r="A150" s="98"/>
      <c r="B150" s="33">
        <f t="shared" si="10"/>
        <v>84</v>
      </c>
      <c r="C150" s="72">
        <f>'GEN.AD - PAY'!C151</f>
        <v>0</v>
      </c>
      <c r="D150" s="72" t="e">
        <f>'GEN.AD - PAY'!D151</f>
        <v>#N/A</v>
      </c>
      <c r="E150" s="306">
        <f>'GEN.AD - PAY'!E151</f>
        <v>0</v>
      </c>
      <c r="F150" s="49">
        <f>'GEN.AD - PAY'!L151</f>
        <v>0</v>
      </c>
      <c r="G150" s="36">
        <f>ROUND('GEN.AD - PAY'!I151*0.09,2)</f>
        <v>0</v>
      </c>
      <c r="H150" s="88"/>
      <c r="I150" s="88"/>
      <c r="J150" s="88"/>
      <c r="K150" s="88"/>
      <c r="L150" s="88"/>
      <c r="M150" s="88"/>
      <c r="N150" s="88"/>
      <c r="O150" s="88"/>
      <c r="P150" s="88"/>
      <c r="Q150" s="88"/>
      <c r="R150" s="41">
        <f t="shared" si="11"/>
        <v>0</v>
      </c>
      <c r="S150" s="86"/>
      <c r="T150" s="87"/>
      <c r="U150" s="88"/>
      <c r="V150" s="88"/>
      <c r="W150" s="88"/>
      <c r="X150" s="38">
        <f t="shared" si="12"/>
        <v>0</v>
      </c>
      <c r="Y150" s="49">
        <f>MIN(ROUNDDOWN('GEN.AD - PAY'!I151*0.05/2,2),2500)</f>
        <v>0</v>
      </c>
      <c r="Z150" s="86"/>
      <c r="AA150" s="87"/>
      <c r="AB150" s="88"/>
      <c r="AC150" s="88"/>
      <c r="AD150" s="88"/>
      <c r="AE150" s="35">
        <f t="shared" si="13"/>
        <v>0</v>
      </c>
      <c r="AF150" s="62">
        <f t="shared" si="14"/>
        <v>0</v>
      </c>
    </row>
    <row r="151" spans="1:32" ht="18.75" customHeight="1" x14ac:dyDescent="0.25">
      <c r="A151" s="98"/>
      <c r="B151" s="33">
        <f t="shared" si="10"/>
        <v>85</v>
      </c>
      <c r="C151" s="72">
        <f>'GEN.AD - PAY'!C152</f>
        <v>0</v>
      </c>
      <c r="D151" s="72" t="e">
        <f>'GEN.AD - PAY'!D152</f>
        <v>#N/A</v>
      </c>
      <c r="E151" s="306">
        <f>'GEN.AD - PAY'!E152</f>
        <v>0</v>
      </c>
      <c r="F151" s="49">
        <f>'GEN.AD - PAY'!L152</f>
        <v>0</v>
      </c>
      <c r="G151" s="36">
        <f>ROUND('GEN.AD - PAY'!I152*0.09,2)</f>
        <v>0</v>
      </c>
      <c r="H151" s="88"/>
      <c r="I151" s="88"/>
      <c r="J151" s="88"/>
      <c r="K151" s="88"/>
      <c r="L151" s="88"/>
      <c r="M151" s="88"/>
      <c r="N151" s="88"/>
      <c r="O151" s="88"/>
      <c r="P151" s="88"/>
      <c r="Q151" s="88"/>
      <c r="R151" s="41">
        <f t="shared" si="11"/>
        <v>0</v>
      </c>
      <c r="S151" s="86"/>
      <c r="T151" s="87"/>
      <c r="U151" s="88"/>
      <c r="V151" s="88"/>
      <c r="W151" s="88"/>
      <c r="X151" s="38">
        <f t="shared" si="12"/>
        <v>0</v>
      </c>
      <c r="Y151" s="49">
        <f>MIN(ROUNDDOWN('GEN.AD - PAY'!I152*0.05/2,2),2500)</f>
        <v>0</v>
      </c>
      <c r="Z151" s="86"/>
      <c r="AA151" s="87"/>
      <c r="AB151" s="88"/>
      <c r="AC151" s="88"/>
      <c r="AD151" s="88"/>
      <c r="AE151" s="35">
        <f t="shared" si="13"/>
        <v>0</v>
      </c>
      <c r="AF151" s="62">
        <f t="shared" si="14"/>
        <v>0</v>
      </c>
    </row>
    <row r="152" spans="1:32" ht="18.75" customHeight="1" x14ac:dyDescent="0.25">
      <c r="A152" s="98"/>
      <c r="B152" s="33">
        <f t="shared" si="10"/>
        <v>86</v>
      </c>
      <c r="C152" s="72">
        <f>'GEN.AD - PAY'!C153</f>
        <v>0</v>
      </c>
      <c r="D152" s="72" t="e">
        <f>'GEN.AD - PAY'!D153</f>
        <v>#N/A</v>
      </c>
      <c r="E152" s="306">
        <f>'GEN.AD - PAY'!E153</f>
        <v>0</v>
      </c>
      <c r="F152" s="49">
        <f>'GEN.AD - PAY'!L153</f>
        <v>0</v>
      </c>
      <c r="G152" s="36">
        <f>ROUND('GEN.AD - PAY'!I153*0.09,2)</f>
        <v>0</v>
      </c>
      <c r="H152" s="88"/>
      <c r="I152" s="88"/>
      <c r="J152" s="88"/>
      <c r="K152" s="88"/>
      <c r="L152" s="88"/>
      <c r="M152" s="88"/>
      <c r="N152" s="88"/>
      <c r="O152" s="88"/>
      <c r="P152" s="88"/>
      <c r="Q152" s="88"/>
      <c r="R152" s="41">
        <f t="shared" si="11"/>
        <v>0</v>
      </c>
      <c r="S152" s="86"/>
      <c r="T152" s="87"/>
      <c r="U152" s="88"/>
      <c r="V152" s="88"/>
      <c r="W152" s="88"/>
      <c r="X152" s="38">
        <f t="shared" si="12"/>
        <v>0</v>
      </c>
      <c r="Y152" s="49">
        <f>MIN(ROUNDDOWN('GEN.AD - PAY'!I153*0.05/2,2),2500)</f>
        <v>0</v>
      </c>
      <c r="Z152" s="86"/>
      <c r="AA152" s="87"/>
      <c r="AB152" s="88"/>
      <c r="AC152" s="88"/>
      <c r="AD152" s="88"/>
      <c r="AE152" s="35">
        <f t="shared" si="13"/>
        <v>0</v>
      </c>
      <c r="AF152" s="62">
        <f t="shared" si="14"/>
        <v>0</v>
      </c>
    </row>
    <row r="153" spans="1:32" ht="18.75" customHeight="1" x14ac:dyDescent="0.25">
      <c r="A153" s="98"/>
      <c r="B153" s="33">
        <f t="shared" si="10"/>
        <v>87</v>
      </c>
      <c r="C153" s="72">
        <f>'GEN.AD - PAY'!C154</f>
        <v>0</v>
      </c>
      <c r="D153" s="72" t="e">
        <f>'GEN.AD - PAY'!D154</f>
        <v>#N/A</v>
      </c>
      <c r="E153" s="306">
        <f>'GEN.AD - PAY'!E154</f>
        <v>0</v>
      </c>
      <c r="F153" s="49">
        <f>'GEN.AD - PAY'!L154</f>
        <v>0</v>
      </c>
      <c r="G153" s="36">
        <f>ROUND('GEN.AD - PAY'!I154*0.09,2)</f>
        <v>0</v>
      </c>
      <c r="H153" s="88"/>
      <c r="I153" s="88"/>
      <c r="J153" s="88"/>
      <c r="K153" s="88"/>
      <c r="L153" s="88"/>
      <c r="M153" s="88"/>
      <c r="N153" s="88"/>
      <c r="O153" s="88"/>
      <c r="P153" s="88"/>
      <c r="Q153" s="88"/>
      <c r="R153" s="41">
        <f t="shared" si="11"/>
        <v>0</v>
      </c>
      <c r="S153" s="86"/>
      <c r="T153" s="87"/>
      <c r="U153" s="88"/>
      <c r="V153" s="88"/>
      <c r="W153" s="88"/>
      <c r="X153" s="38">
        <f t="shared" si="12"/>
        <v>0</v>
      </c>
      <c r="Y153" s="49">
        <f>MIN(ROUNDDOWN('GEN.AD - PAY'!I154*0.05/2,2),2500)</f>
        <v>0</v>
      </c>
      <c r="Z153" s="86"/>
      <c r="AA153" s="87"/>
      <c r="AB153" s="88"/>
      <c r="AC153" s="88"/>
      <c r="AD153" s="88"/>
      <c r="AE153" s="35">
        <f t="shared" si="13"/>
        <v>0</v>
      </c>
      <c r="AF153" s="62">
        <f t="shared" si="14"/>
        <v>0</v>
      </c>
    </row>
    <row r="154" spans="1:32" ht="18.75" customHeight="1" x14ac:dyDescent="0.25">
      <c r="A154" s="98"/>
      <c r="B154" s="33">
        <f t="shared" si="10"/>
        <v>88</v>
      </c>
      <c r="C154" s="72">
        <f>'GEN.AD - PAY'!C155</f>
        <v>0</v>
      </c>
      <c r="D154" s="72" t="e">
        <f>'GEN.AD - PAY'!D155</f>
        <v>#N/A</v>
      </c>
      <c r="E154" s="306">
        <f>'GEN.AD - PAY'!E155</f>
        <v>0</v>
      </c>
      <c r="F154" s="49">
        <f>'GEN.AD - PAY'!L155</f>
        <v>0</v>
      </c>
      <c r="G154" s="36">
        <f>ROUND('GEN.AD - PAY'!I155*0.09,2)</f>
        <v>0</v>
      </c>
      <c r="H154" s="88"/>
      <c r="I154" s="88"/>
      <c r="J154" s="88"/>
      <c r="K154" s="88"/>
      <c r="L154" s="88"/>
      <c r="M154" s="88"/>
      <c r="N154" s="88"/>
      <c r="O154" s="88"/>
      <c r="P154" s="88"/>
      <c r="Q154" s="88"/>
      <c r="R154" s="41">
        <f t="shared" si="11"/>
        <v>0</v>
      </c>
      <c r="S154" s="86"/>
      <c r="T154" s="87"/>
      <c r="U154" s="88"/>
      <c r="V154" s="88"/>
      <c r="W154" s="88"/>
      <c r="X154" s="38">
        <f t="shared" si="12"/>
        <v>0</v>
      </c>
      <c r="Y154" s="49">
        <f>MIN(ROUNDDOWN('GEN.AD - PAY'!I155*0.05/2,2),2500)</f>
        <v>0</v>
      </c>
      <c r="Z154" s="86"/>
      <c r="AA154" s="87"/>
      <c r="AB154" s="88"/>
      <c r="AC154" s="88"/>
      <c r="AD154" s="88"/>
      <c r="AE154" s="35">
        <f t="shared" si="13"/>
        <v>0</v>
      </c>
      <c r="AF154" s="62">
        <f t="shared" si="14"/>
        <v>0</v>
      </c>
    </row>
    <row r="155" spans="1:32" ht="18.75" customHeight="1" x14ac:dyDescent="0.25">
      <c r="A155" s="98"/>
      <c r="B155" s="33">
        <f t="shared" si="10"/>
        <v>89</v>
      </c>
      <c r="C155" s="72">
        <f>'GEN.AD - PAY'!C156</f>
        <v>0</v>
      </c>
      <c r="D155" s="72" t="e">
        <f>'GEN.AD - PAY'!D156</f>
        <v>#N/A</v>
      </c>
      <c r="E155" s="306">
        <f>'GEN.AD - PAY'!E156</f>
        <v>0</v>
      </c>
      <c r="F155" s="49">
        <f>'GEN.AD - PAY'!L156</f>
        <v>0</v>
      </c>
      <c r="G155" s="36">
        <f>ROUND('GEN.AD - PAY'!I156*0.09,2)</f>
        <v>0</v>
      </c>
      <c r="H155" s="88"/>
      <c r="I155" s="88"/>
      <c r="J155" s="88"/>
      <c r="K155" s="88"/>
      <c r="L155" s="88"/>
      <c r="M155" s="88"/>
      <c r="N155" s="88"/>
      <c r="O155" s="88"/>
      <c r="P155" s="88"/>
      <c r="Q155" s="88"/>
      <c r="R155" s="41">
        <f t="shared" si="11"/>
        <v>0</v>
      </c>
      <c r="S155" s="86"/>
      <c r="T155" s="87"/>
      <c r="U155" s="88"/>
      <c r="V155" s="88"/>
      <c r="W155" s="88"/>
      <c r="X155" s="38">
        <f t="shared" si="12"/>
        <v>0</v>
      </c>
      <c r="Y155" s="49">
        <f>MIN(ROUNDDOWN('GEN.AD - PAY'!I156*0.05/2,2),2500)</f>
        <v>0</v>
      </c>
      <c r="Z155" s="86"/>
      <c r="AA155" s="87"/>
      <c r="AB155" s="88"/>
      <c r="AC155" s="88"/>
      <c r="AD155" s="88"/>
      <c r="AE155" s="35">
        <f t="shared" si="13"/>
        <v>0</v>
      </c>
      <c r="AF155" s="62">
        <f t="shared" si="14"/>
        <v>0</v>
      </c>
    </row>
    <row r="156" spans="1:32" ht="18.75" customHeight="1" x14ac:dyDescent="0.25">
      <c r="A156" s="98"/>
      <c r="B156" s="33">
        <f t="shared" si="10"/>
        <v>90</v>
      </c>
      <c r="C156" s="72">
        <f>'GEN.AD - PAY'!C157</f>
        <v>0</v>
      </c>
      <c r="D156" s="72" t="e">
        <f>'GEN.AD - PAY'!D157</f>
        <v>#N/A</v>
      </c>
      <c r="E156" s="306">
        <f>'GEN.AD - PAY'!E157</f>
        <v>0</v>
      </c>
      <c r="F156" s="49">
        <f>'GEN.AD - PAY'!L157</f>
        <v>0</v>
      </c>
      <c r="G156" s="36">
        <f>ROUND('GEN.AD - PAY'!I157*0.09,2)</f>
        <v>0</v>
      </c>
      <c r="H156" s="88"/>
      <c r="I156" s="88"/>
      <c r="J156" s="88"/>
      <c r="K156" s="88"/>
      <c r="L156" s="88"/>
      <c r="M156" s="88"/>
      <c r="N156" s="88"/>
      <c r="O156" s="88"/>
      <c r="P156" s="88"/>
      <c r="Q156" s="88"/>
      <c r="R156" s="41">
        <f t="shared" si="11"/>
        <v>0</v>
      </c>
      <c r="S156" s="86"/>
      <c r="T156" s="87"/>
      <c r="U156" s="88"/>
      <c r="V156" s="88"/>
      <c r="W156" s="88"/>
      <c r="X156" s="38">
        <f t="shared" si="12"/>
        <v>0</v>
      </c>
      <c r="Y156" s="49">
        <f>MIN(ROUNDDOWN('GEN.AD - PAY'!I157*0.05/2,2),2500)</f>
        <v>0</v>
      </c>
      <c r="Z156" s="86"/>
      <c r="AA156" s="87"/>
      <c r="AB156" s="88"/>
      <c r="AC156" s="88"/>
      <c r="AD156" s="88"/>
      <c r="AE156" s="35">
        <f t="shared" si="13"/>
        <v>0</v>
      </c>
      <c r="AF156" s="62">
        <f t="shared" si="14"/>
        <v>0</v>
      </c>
    </row>
    <row r="157" spans="1:32" ht="18.75" customHeight="1" x14ac:dyDescent="0.25">
      <c r="A157" s="98"/>
      <c r="B157" s="33">
        <f t="shared" si="10"/>
        <v>91</v>
      </c>
      <c r="C157" s="72">
        <f>'GEN.AD - PAY'!C158</f>
        <v>0</v>
      </c>
      <c r="D157" s="72" t="e">
        <f>'GEN.AD - PAY'!D158</f>
        <v>#N/A</v>
      </c>
      <c r="E157" s="306">
        <f>'GEN.AD - PAY'!E158</f>
        <v>0</v>
      </c>
      <c r="F157" s="49">
        <f>'GEN.AD - PAY'!L158</f>
        <v>0</v>
      </c>
      <c r="G157" s="36">
        <f>ROUND('GEN.AD - PAY'!I158*0.09,2)</f>
        <v>0</v>
      </c>
      <c r="H157" s="88"/>
      <c r="I157" s="88"/>
      <c r="J157" s="88"/>
      <c r="K157" s="88"/>
      <c r="L157" s="88"/>
      <c r="M157" s="88"/>
      <c r="N157" s="88"/>
      <c r="O157" s="88"/>
      <c r="P157" s="88"/>
      <c r="Q157" s="88"/>
      <c r="R157" s="41">
        <f t="shared" si="11"/>
        <v>0</v>
      </c>
      <c r="S157" s="86"/>
      <c r="T157" s="87"/>
      <c r="U157" s="88"/>
      <c r="V157" s="88"/>
      <c r="W157" s="88"/>
      <c r="X157" s="38">
        <f t="shared" si="12"/>
        <v>0</v>
      </c>
      <c r="Y157" s="49">
        <f>MIN(ROUNDDOWN('GEN.AD - PAY'!I158*0.05/2,2),2500)</f>
        <v>0</v>
      </c>
      <c r="Z157" s="86"/>
      <c r="AA157" s="87"/>
      <c r="AB157" s="88"/>
      <c r="AC157" s="88"/>
      <c r="AD157" s="88"/>
      <c r="AE157" s="35">
        <f t="shared" si="13"/>
        <v>0</v>
      </c>
      <c r="AF157" s="62">
        <f t="shared" si="14"/>
        <v>0</v>
      </c>
    </row>
    <row r="158" spans="1:32" ht="18.75" customHeight="1" x14ac:dyDescent="0.25">
      <c r="A158" s="98"/>
      <c r="B158" s="33">
        <f t="shared" si="10"/>
        <v>92</v>
      </c>
      <c r="C158" s="72">
        <f>'GEN.AD - PAY'!C159</f>
        <v>0</v>
      </c>
      <c r="D158" s="72" t="e">
        <f>'GEN.AD - PAY'!D159</f>
        <v>#N/A</v>
      </c>
      <c r="E158" s="306">
        <f>'GEN.AD - PAY'!E159</f>
        <v>0</v>
      </c>
      <c r="F158" s="49">
        <f>'GEN.AD - PAY'!L159</f>
        <v>0</v>
      </c>
      <c r="G158" s="36">
        <f>ROUND('GEN.AD - PAY'!I159*0.09,2)</f>
        <v>0</v>
      </c>
      <c r="H158" s="88"/>
      <c r="I158" s="88"/>
      <c r="J158" s="88"/>
      <c r="K158" s="88"/>
      <c r="L158" s="88"/>
      <c r="M158" s="88"/>
      <c r="N158" s="88"/>
      <c r="O158" s="88"/>
      <c r="P158" s="88"/>
      <c r="Q158" s="88"/>
      <c r="R158" s="41">
        <f t="shared" si="11"/>
        <v>0</v>
      </c>
      <c r="S158" s="86"/>
      <c r="T158" s="87"/>
      <c r="U158" s="88"/>
      <c r="V158" s="88"/>
      <c r="W158" s="88"/>
      <c r="X158" s="38">
        <f t="shared" si="12"/>
        <v>0</v>
      </c>
      <c r="Y158" s="49">
        <f>MIN(ROUNDDOWN('GEN.AD - PAY'!I159*0.05/2,2),2500)</f>
        <v>0</v>
      </c>
      <c r="Z158" s="86"/>
      <c r="AA158" s="87"/>
      <c r="AB158" s="88"/>
      <c r="AC158" s="88"/>
      <c r="AD158" s="88"/>
      <c r="AE158" s="35">
        <f t="shared" si="13"/>
        <v>0</v>
      </c>
      <c r="AF158" s="62">
        <f t="shared" si="14"/>
        <v>0</v>
      </c>
    </row>
    <row r="159" spans="1:32" ht="18.75" customHeight="1" x14ac:dyDescent="0.25">
      <c r="A159" s="98"/>
      <c r="B159" s="33">
        <f t="shared" si="10"/>
        <v>93</v>
      </c>
      <c r="C159" s="72">
        <f>'GEN.AD - PAY'!C160</f>
        <v>0</v>
      </c>
      <c r="D159" s="72" t="e">
        <f>'GEN.AD - PAY'!D160</f>
        <v>#N/A</v>
      </c>
      <c r="E159" s="306">
        <f>'GEN.AD - PAY'!E160</f>
        <v>0</v>
      </c>
      <c r="F159" s="49">
        <f>'GEN.AD - PAY'!L160</f>
        <v>0</v>
      </c>
      <c r="G159" s="36">
        <f>ROUND('GEN.AD - PAY'!I160*0.09,2)</f>
        <v>0</v>
      </c>
      <c r="H159" s="88"/>
      <c r="I159" s="88"/>
      <c r="J159" s="88"/>
      <c r="K159" s="88"/>
      <c r="L159" s="88"/>
      <c r="M159" s="88"/>
      <c r="N159" s="88"/>
      <c r="O159" s="88"/>
      <c r="P159" s="88"/>
      <c r="Q159" s="88"/>
      <c r="R159" s="41">
        <f t="shared" si="11"/>
        <v>0</v>
      </c>
      <c r="S159" s="86"/>
      <c r="T159" s="87"/>
      <c r="U159" s="88"/>
      <c r="V159" s="88"/>
      <c r="W159" s="88"/>
      <c r="X159" s="38">
        <f t="shared" si="12"/>
        <v>0</v>
      </c>
      <c r="Y159" s="49">
        <f>MIN(ROUNDDOWN('GEN.AD - PAY'!I160*0.05/2,2),2500)</f>
        <v>0</v>
      </c>
      <c r="Z159" s="86"/>
      <c r="AA159" s="87"/>
      <c r="AB159" s="88"/>
      <c r="AC159" s="88"/>
      <c r="AD159" s="88"/>
      <c r="AE159" s="35">
        <f t="shared" si="13"/>
        <v>0</v>
      </c>
      <c r="AF159" s="62">
        <f t="shared" si="14"/>
        <v>0</v>
      </c>
    </row>
    <row r="160" spans="1:32" ht="18.75" customHeight="1" x14ac:dyDescent="0.25">
      <c r="A160" s="98"/>
      <c r="B160" s="33">
        <f>+B112+1</f>
        <v>94</v>
      </c>
      <c r="C160" s="72">
        <f>'GEN.AD - PAY'!C161</f>
        <v>0</v>
      </c>
      <c r="D160" s="72" t="e">
        <f>'GEN.AD - PAY'!D161</f>
        <v>#N/A</v>
      </c>
      <c r="E160" s="306">
        <f>'GEN.AD - PAY'!E161</f>
        <v>0</v>
      </c>
      <c r="F160" s="49">
        <f>'GEN.AD - PAY'!L161</f>
        <v>0</v>
      </c>
      <c r="G160" s="36">
        <f>ROUND('GEN.AD - PAY'!I161*0.09,2)</f>
        <v>0</v>
      </c>
      <c r="H160" s="88"/>
      <c r="I160" s="88"/>
      <c r="J160" s="88"/>
      <c r="K160" s="88"/>
      <c r="L160" s="88"/>
      <c r="M160" s="88"/>
      <c r="N160" s="88"/>
      <c r="O160" s="88"/>
      <c r="P160" s="88"/>
      <c r="Q160" s="88"/>
      <c r="R160" s="41">
        <f t="shared" si="6"/>
        <v>0</v>
      </c>
      <c r="S160" s="86"/>
      <c r="T160" s="87"/>
      <c r="U160" s="88"/>
      <c r="V160" s="88"/>
      <c r="W160" s="88"/>
      <c r="X160" s="38">
        <f t="shared" si="7"/>
        <v>0</v>
      </c>
      <c r="Y160" s="49">
        <f>MIN(ROUNDDOWN('GEN.AD - PAY'!I161*0.05/2,2),2500)</f>
        <v>0</v>
      </c>
      <c r="Z160" s="86"/>
      <c r="AA160" s="87"/>
      <c r="AB160" s="88"/>
      <c r="AC160" s="88"/>
      <c r="AD160" s="88"/>
      <c r="AE160" s="35">
        <f t="shared" si="8"/>
        <v>0</v>
      </c>
      <c r="AF160" s="62">
        <f t="shared" si="9"/>
        <v>0</v>
      </c>
    </row>
    <row r="161" spans="1:32" ht="18.75" customHeight="1" x14ac:dyDescent="0.25">
      <c r="A161" s="98"/>
      <c r="B161" s="33"/>
      <c r="C161" s="64"/>
      <c r="D161" s="64"/>
      <c r="E161" s="63"/>
      <c r="F161" s="70"/>
      <c r="G161" s="65"/>
      <c r="H161" s="91"/>
      <c r="I161" s="91"/>
      <c r="J161" s="91"/>
      <c r="K161" s="91"/>
      <c r="L161" s="91"/>
      <c r="M161" s="91"/>
      <c r="N161" s="91"/>
      <c r="O161" s="91"/>
      <c r="P161" s="91"/>
      <c r="Q161" s="91"/>
      <c r="R161" s="71"/>
      <c r="S161" s="89"/>
      <c r="T161" s="90"/>
      <c r="U161" s="91"/>
      <c r="V161" s="91"/>
      <c r="W161" s="91"/>
      <c r="X161" s="69"/>
      <c r="Y161" s="70"/>
      <c r="Z161" s="89"/>
      <c r="AA161" s="90"/>
      <c r="AB161" s="91"/>
      <c r="AC161" s="91"/>
      <c r="AD161" s="91"/>
      <c r="AE161" s="67"/>
      <c r="AF161" s="62">
        <f>SUM(F161,R161,X161,Y161,AE161)</f>
        <v>0</v>
      </c>
    </row>
    <row r="162" spans="1:32" ht="18.75" customHeight="1" thickBot="1" x14ac:dyDescent="0.3">
      <c r="A162" s="98"/>
      <c r="B162" s="16"/>
      <c r="C162" s="16"/>
      <c r="D162" s="16"/>
      <c r="E162" s="324"/>
      <c r="F162" s="81">
        <f t="shared" ref="F162:AF162" si="15">SUM(F20:F161)</f>
        <v>0</v>
      </c>
      <c r="G162" s="73">
        <f t="shared" si="15"/>
        <v>0</v>
      </c>
      <c r="H162" s="94">
        <f t="shared" si="15"/>
        <v>0</v>
      </c>
      <c r="I162" s="94">
        <f t="shared" si="15"/>
        <v>0</v>
      </c>
      <c r="J162" s="94">
        <f t="shared" si="15"/>
        <v>0</v>
      </c>
      <c r="K162" s="94">
        <f t="shared" si="15"/>
        <v>0</v>
      </c>
      <c r="L162" s="94">
        <f t="shared" si="15"/>
        <v>0</v>
      </c>
      <c r="M162" s="94">
        <f t="shared" si="15"/>
        <v>0</v>
      </c>
      <c r="N162" s="94">
        <f t="shared" si="15"/>
        <v>0</v>
      </c>
      <c r="O162" s="94">
        <f t="shared" si="15"/>
        <v>0</v>
      </c>
      <c r="P162" s="94">
        <f t="shared" si="15"/>
        <v>0</v>
      </c>
      <c r="Q162" s="94">
        <f t="shared" si="15"/>
        <v>0</v>
      </c>
      <c r="R162" s="74">
        <f t="shared" si="15"/>
        <v>0</v>
      </c>
      <c r="S162" s="95">
        <f t="shared" si="15"/>
        <v>0</v>
      </c>
      <c r="T162" s="96">
        <f t="shared" si="15"/>
        <v>0</v>
      </c>
      <c r="U162" s="96">
        <f t="shared" si="15"/>
        <v>0</v>
      </c>
      <c r="V162" s="94">
        <f t="shared" si="15"/>
        <v>0</v>
      </c>
      <c r="W162" s="94">
        <f t="shared" si="15"/>
        <v>0</v>
      </c>
      <c r="X162" s="80">
        <f t="shared" si="15"/>
        <v>0</v>
      </c>
      <c r="Y162" s="81">
        <f t="shared" si="15"/>
        <v>0</v>
      </c>
      <c r="Z162" s="95">
        <f t="shared" si="15"/>
        <v>0</v>
      </c>
      <c r="AA162" s="96">
        <f t="shared" si="15"/>
        <v>0</v>
      </c>
      <c r="AB162" s="94">
        <f t="shared" si="15"/>
        <v>0</v>
      </c>
      <c r="AC162" s="94">
        <f t="shared" si="15"/>
        <v>0</v>
      </c>
      <c r="AD162" s="94">
        <f t="shared" si="15"/>
        <v>0</v>
      </c>
      <c r="AE162" s="80">
        <f t="shared" si="15"/>
        <v>0</v>
      </c>
      <c r="AF162" s="81">
        <f t="shared" si="15"/>
        <v>0</v>
      </c>
    </row>
    <row r="163" spans="1:32" x14ac:dyDescent="0.25">
      <c r="F163" s="75">
        <f>F162-'GEN.AD - PAY'!L163</f>
        <v>0</v>
      </c>
      <c r="R163" s="75">
        <f>R162-'GEN.AD - PAY'!M163</f>
        <v>0</v>
      </c>
      <c r="X163" s="75">
        <f>X162-'GEN.AD - PAY'!N163</f>
        <v>0</v>
      </c>
      <c r="Y163" s="75">
        <f>Y162-'GEN.AD - PAY'!O163</f>
        <v>0</v>
      </c>
      <c r="AE163" s="75">
        <f>AE162-'GEN.AD - PAY'!P163</f>
        <v>0</v>
      </c>
      <c r="AF163" s="75">
        <f>AF162-'GEN.AD - PAY'!Q163</f>
        <v>0</v>
      </c>
    </row>
    <row r="164" spans="1:32" x14ac:dyDescent="0.25">
      <c r="AF164" s="75"/>
    </row>
    <row r="165" spans="1:32" x14ac:dyDescent="0.25">
      <c r="C165" s="820" t="s">
        <v>47</v>
      </c>
      <c r="D165" s="820"/>
    </row>
    <row r="166" spans="1:32" x14ac:dyDescent="0.25">
      <c r="C166" s="827" t="s">
        <v>93</v>
      </c>
      <c r="D166" s="827"/>
    </row>
    <row r="168" spans="1:32" x14ac:dyDescent="0.25">
      <c r="C168" s="32"/>
    </row>
  </sheetData>
  <mergeCells count="48">
    <mergeCell ref="B12:C12"/>
    <mergeCell ref="AD17:AD18"/>
    <mergeCell ref="AE17:AE18"/>
    <mergeCell ref="G16:R16"/>
    <mergeCell ref="S16:X16"/>
    <mergeCell ref="AF16:AF18"/>
    <mergeCell ref="G17:G18"/>
    <mergeCell ref="T17:T18"/>
    <mergeCell ref="C16:C18"/>
    <mergeCell ref="D16:D18"/>
    <mergeCell ref="E16:E18"/>
    <mergeCell ref="B3:AF3"/>
    <mergeCell ref="B4:AF4"/>
    <mergeCell ref="B5:AF5"/>
    <mergeCell ref="B6:AF6"/>
    <mergeCell ref="B8:AF8"/>
    <mergeCell ref="B9:AF9"/>
    <mergeCell ref="B10:AF10"/>
    <mergeCell ref="B16:B18"/>
    <mergeCell ref="Y16:Y18"/>
    <mergeCell ref="U17:U18"/>
    <mergeCell ref="V17:V18"/>
    <mergeCell ref="W17:W18"/>
    <mergeCell ref="D11:D13"/>
    <mergeCell ref="K17:K18"/>
    <mergeCell ref="L17:L18"/>
    <mergeCell ref="J17:J18"/>
    <mergeCell ref="R17:R18"/>
    <mergeCell ref="Q17:Q18"/>
    <mergeCell ref="I17:I18"/>
    <mergeCell ref="AD12:AF12"/>
    <mergeCell ref="B14:Z14"/>
    <mergeCell ref="AE2:AF2"/>
    <mergeCell ref="C166:D166"/>
    <mergeCell ref="C165:D165"/>
    <mergeCell ref="H17:H18"/>
    <mergeCell ref="P17:P18"/>
    <mergeCell ref="M17:M18"/>
    <mergeCell ref="Z16:AE16"/>
    <mergeCell ref="Z17:Z18"/>
    <mergeCell ref="AA17:AA18"/>
    <mergeCell ref="AB17:AB18"/>
    <mergeCell ref="AC17:AC18"/>
    <mergeCell ref="N17:N18"/>
    <mergeCell ref="O17:O18"/>
    <mergeCell ref="X17:X18"/>
    <mergeCell ref="S17:S18"/>
    <mergeCell ref="F16:F18"/>
  </mergeCells>
  <printOptions horizontalCentered="1"/>
  <pageMargins left="0.39370078740157483" right="0.39370078740157483" top="0.39370078740157483" bottom="0.39370078740157483" header="0" footer="0.19685039370078741"/>
  <pageSetup paperSize="14" scale="32" fitToHeight="0" orientation="landscape" r:id="rId1"/>
  <headerFooter alignWithMargins="0">
    <oddHeader>&amp;R&amp;16
Sheet &amp;"Times New Roman,Bold"&amp;U&amp;P&amp;"Times New Roman,Regular"&amp;U of &amp;"Times New Roman,Bold"&amp;U&amp;N&amp;"Times New Roman,Regular"&amp;U Sheet/s</oddHead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FFC000"/>
    <pageSetUpPr fitToPage="1"/>
  </sheetPr>
  <dimension ref="B2:O28"/>
  <sheetViews>
    <sheetView workbookViewId="0">
      <selection activeCell="C8" sqref="C8:C16"/>
    </sheetView>
  </sheetViews>
  <sheetFormatPr defaultRowHeight="15.75" x14ac:dyDescent="0.25"/>
  <cols>
    <col min="1" max="2" width="9" style="4"/>
    <col min="3" max="3" width="31.625" style="4" bestFit="1" customWidth="1"/>
    <col min="4" max="4" width="21.75" style="4" bestFit="1" customWidth="1"/>
    <col min="5" max="5" width="12.375" style="57" bestFit="1" customWidth="1"/>
    <col min="6" max="14" width="12.375" style="4" bestFit="1" customWidth="1"/>
    <col min="15" max="15" width="10.375" style="4" bestFit="1" customWidth="1"/>
    <col min="16" max="16384" width="9" style="4"/>
  </cols>
  <sheetData>
    <row r="2" spans="2:15" ht="27.75" customHeight="1" thickBot="1" x14ac:dyDescent="0.3">
      <c r="B2" s="785" t="s">
        <v>156</v>
      </c>
      <c r="C2" s="785"/>
      <c r="D2" s="785"/>
      <c r="E2" s="785"/>
      <c r="F2" s="785"/>
      <c r="G2" s="785"/>
      <c r="H2" s="785"/>
      <c r="I2" s="785"/>
      <c r="J2" s="785"/>
      <c r="K2" s="785"/>
      <c r="L2" s="785"/>
      <c r="M2" s="785"/>
      <c r="N2" s="785"/>
    </row>
    <row r="3" spans="2:15" ht="27.75" customHeight="1" thickBot="1" x14ac:dyDescent="0.3">
      <c r="B3" s="917" t="s">
        <v>108</v>
      </c>
      <c r="C3" s="917"/>
      <c r="D3" s="917"/>
      <c r="E3" s="917"/>
      <c r="F3" s="917"/>
      <c r="G3" s="917"/>
      <c r="H3" s="917"/>
      <c r="I3" s="917"/>
      <c r="J3" s="917"/>
      <c r="K3" s="917"/>
      <c r="L3" s="917"/>
      <c r="M3" s="917"/>
      <c r="N3" s="917"/>
    </row>
    <row r="4" spans="2:15" ht="15.75" customHeight="1" x14ac:dyDescent="0.25">
      <c r="B4" s="802" t="s">
        <v>6</v>
      </c>
      <c r="C4" s="806" t="s">
        <v>1</v>
      </c>
      <c r="D4" s="806" t="s">
        <v>2</v>
      </c>
      <c r="E4" s="780" t="s">
        <v>14</v>
      </c>
      <c r="F4" s="780" t="s">
        <v>54</v>
      </c>
      <c r="G4" s="802" t="s">
        <v>157</v>
      </c>
      <c r="H4" s="809" t="s">
        <v>153</v>
      </c>
      <c r="I4" s="810"/>
      <c r="J4" s="810"/>
      <c r="K4" s="810"/>
      <c r="L4" s="810"/>
      <c r="M4" s="810"/>
      <c r="N4" s="811"/>
    </row>
    <row r="5" spans="2:15" ht="16.5" thickBot="1" x14ac:dyDescent="0.3">
      <c r="B5" s="803"/>
      <c r="C5" s="807"/>
      <c r="D5" s="807"/>
      <c r="E5" s="781"/>
      <c r="F5" s="781"/>
      <c r="G5" s="803"/>
      <c r="H5" s="812"/>
      <c r="I5" s="813"/>
      <c r="J5" s="813"/>
      <c r="K5" s="813"/>
      <c r="L5" s="813"/>
      <c r="M5" s="813"/>
      <c r="N5" s="814"/>
    </row>
    <row r="6" spans="2:15" ht="16.5" thickBot="1" x14ac:dyDescent="0.3">
      <c r="B6" s="803"/>
      <c r="C6" s="807"/>
      <c r="D6" s="807"/>
      <c r="E6" s="782"/>
      <c r="F6" s="781"/>
      <c r="G6" s="804"/>
      <c r="H6" s="323" t="s">
        <v>150</v>
      </c>
      <c r="I6" s="319" t="s">
        <v>154</v>
      </c>
      <c r="J6" s="323" t="s">
        <v>151</v>
      </c>
      <c r="K6" s="319" t="s">
        <v>154</v>
      </c>
      <c r="L6" s="323" t="s">
        <v>152</v>
      </c>
      <c r="M6" s="319" t="s">
        <v>154</v>
      </c>
      <c r="N6" s="319" t="s">
        <v>155</v>
      </c>
    </row>
    <row r="7" spans="2:15" x14ac:dyDescent="0.25">
      <c r="B7" s="12"/>
      <c r="C7" s="320"/>
      <c r="D7" s="320"/>
      <c r="E7" s="322"/>
      <c r="F7" s="320"/>
      <c r="G7" s="12"/>
      <c r="H7" s="320"/>
      <c r="I7" s="12"/>
      <c r="J7" s="320"/>
      <c r="K7" s="12"/>
      <c r="L7" s="320"/>
      <c r="M7" s="12"/>
      <c r="N7" s="12"/>
    </row>
    <row r="8" spans="2:15" x14ac:dyDescent="0.25">
      <c r="B8" s="33">
        <v>1</v>
      </c>
      <c r="C8" s="184"/>
      <c r="D8" s="184"/>
      <c r="E8" s="225"/>
      <c r="F8" s="310"/>
      <c r="G8" s="179">
        <f>'AUX - PAY'!I21/31</f>
        <v>0</v>
      </c>
      <c r="H8" s="310"/>
      <c r="I8" s="179">
        <f>ROUND(G8*H8,2)</f>
        <v>0</v>
      </c>
      <c r="J8" s="310"/>
      <c r="K8" s="179">
        <f>ROUND(G8/8*J8,2)</f>
        <v>0</v>
      </c>
      <c r="L8" s="310"/>
      <c r="M8" s="179">
        <f>ROUND(G8/8/60*L8,2)</f>
        <v>0</v>
      </c>
      <c r="N8" s="179">
        <f>I8+K8+M8</f>
        <v>0</v>
      </c>
      <c r="O8" s="75"/>
    </row>
    <row r="9" spans="2:15" x14ac:dyDescent="0.25">
      <c r="B9" s="33">
        <f>+B8+1</f>
        <v>2</v>
      </c>
      <c r="C9" s="184"/>
      <c r="D9" s="184"/>
      <c r="E9" s="225"/>
      <c r="F9" s="310"/>
      <c r="G9" s="179">
        <f>'AUX - PAY'!I22/31</f>
        <v>0</v>
      </c>
      <c r="H9" s="310"/>
      <c r="I9" s="179">
        <f t="shared" ref="I9:I26" si="0">ROUND(G9*H9,2)</f>
        <v>0</v>
      </c>
      <c r="J9" s="310"/>
      <c r="K9" s="179">
        <f t="shared" ref="K9:K26" si="1">ROUND(G9/8*J9,2)</f>
        <v>0</v>
      </c>
      <c r="L9" s="310"/>
      <c r="M9" s="179">
        <f t="shared" ref="M9:M26" si="2">ROUND(G9/8/60*L9,2)</f>
        <v>0</v>
      </c>
      <c r="N9" s="179">
        <f t="shared" ref="N9:N26" si="3">I9+K9+M9</f>
        <v>0</v>
      </c>
    </row>
    <row r="10" spans="2:15" x14ac:dyDescent="0.25">
      <c r="B10" s="33">
        <f t="shared" ref="B10:B15" si="4">+B9+1</f>
        <v>3</v>
      </c>
      <c r="C10" s="184"/>
      <c r="D10" s="184"/>
      <c r="E10" s="225"/>
      <c r="F10" s="310"/>
      <c r="G10" s="179">
        <f>'AUX - PAY'!I23/31</f>
        <v>0</v>
      </c>
      <c r="H10" s="310"/>
      <c r="I10" s="179">
        <f t="shared" si="0"/>
        <v>0</v>
      </c>
      <c r="J10" s="310"/>
      <c r="K10" s="179">
        <f t="shared" si="1"/>
        <v>0</v>
      </c>
      <c r="L10" s="310"/>
      <c r="M10" s="179">
        <f t="shared" si="2"/>
        <v>0</v>
      </c>
      <c r="N10" s="179">
        <f t="shared" si="3"/>
        <v>0</v>
      </c>
    </row>
    <row r="11" spans="2:15" x14ac:dyDescent="0.25">
      <c r="B11" s="33">
        <f t="shared" si="4"/>
        <v>4</v>
      </c>
      <c r="C11" s="184"/>
      <c r="D11" s="184"/>
      <c r="E11" s="225"/>
      <c r="F11" s="310"/>
      <c r="G11" s="179">
        <f>'AUX - PAY'!I24/31</f>
        <v>0</v>
      </c>
      <c r="H11" s="310"/>
      <c r="I11" s="179">
        <f t="shared" si="0"/>
        <v>0</v>
      </c>
      <c r="J11" s="310"/>
      <c r="K11" s="179">
        <f t="shared" si="1"/>
        <v>0</v>
      </c>
      <c r="L11" s="310"/>
      <c r="M11" s="179">
        <f t="shared" si="2"/>
        <v>0</v>
      </c>
      <c r="N11" s="179">
        <f t="shared" si="3"/>
        <v>0</v>
      </c>
    </row>
    <row r="12" spans="2:15" x14ac:dyDescent="0.25">
      <c r="B12" s="33">
        <f t="shared" si="4"/>
        <v>5</v>
      </c>
      <c r="C12" s="184"/>
      <c r="D12" s="184"/>
      <c r="E12" s="225"/>
      <c r="F12" s="310"/>
      <c r="G12" s="179">
        <f>'AUX - PAY'!I25/31</f>
        <v>0</v>
      </c>
      <c r="H12" s="310"/>
      <c r="I12" s="179">
        <f t="shared" si="0"/>
        <v>0</v>
      </c>
      <c r="J12" s="310"/>
      <c r="K12" s="179">
        <f t="shared" si="1"/>
        <v>0</v>
      </c>
      <c r="L12" s="310"/>
      <c r="M12" s="179">
        <f t="shared" si="2"/>
        <v>0</v>
      </c>
      <c r="N12" s="179">
        <f t="shared" si="3"/>
        <v>0</v>
      </c>
    </row>
    <row r="13" spans="2:15" x14ac:dyDescent="0.25">
      <c r="B13" s="33">
        <f t="shared" si="4"/>
        <v>6</v>
      </c>
      <c r="C13" s="184"/>
      <c r="D13" s="184"/>
      <c r="E13" s="225"/>
      <c r="F13" s="310"/>
      <c r="G13" s="179">
        <f>'AUX - PAY'!I26/31</f>
        <v>0</v>
      </c>
      <c r="H13" s="310"/>
      <c r="I13" s="179">
        <f t="shared" si="0"/>
        <v>0</v>
      </c>
      <c r="J13" s="310"/>
      <c r="K13" s="179">
        <f t="shared" si="1"/>
        <v>0</v>
      </c>
      <c r="L13" s="310"/>
      <c r="M13" s="179">
        <f t="shared" si="2"/>
        <v>0</v>
      </c>
      <c r="N13" s="179">
        <f t="shared" si="3"/>
        <v>0</v>
      </c>
    </row>
    <row r="14" spans="2:15" x14ac:dyDescent="0.25">
      <c r="B14" s="33">
        <f t="shared" si="4"/>
        <v>7</v>
      </c>
      <c r="C14" s="184"/>
      <c r="D14" s="184"/>
      <c r="E14" s="225"/>
      <c r="F14" s="310"/>
      <c r="G14" s="179">
        <f>'AUX - PAY'!I27/31</f>
        <v>0</v>
      </c>
      <c r="H14" s="310"/>
      <c r="I14" s="179">
        <f t="shared" si="0"/>
        <v>0</v>
      </c>
      <c r="J14" s="310"/>
      <c r="K14" s="179">
        <f t="shared" si="1"/>
        <v>0</v>
      </c>
      <c r="L14" s="310"/>
      <c r="M14" s="179">
        <f t="shared" si="2"/>
        <v>0</v>
      </c>
      <c r="N14" s="179">
        <f t="shared" si="3"/>
        <v>0</v>
      </c>
    </row>
    <row r="15" spans="2:15" x14ac:dyDescent="0.25">
      <c r="B15" s="33">
        <f t="shared" si="4"/>
        <v>8</v>
      </c>
      <c r="C15" s="184"/>
      <c r="D15" s="184"/>
      <c r="E15" s="225"/>
      <c r="F15" s="310"/>
      <c r="G15" s="179">
        <f>'AUX - PAY'!I28/31</f>
        <v>0</v>
      </c>
      <c r="H15" s="310"/>
      <c r="I15" s="179">
        <f t="shared" si="0"/>
        <v>0</v>
      </c>
      <c r="J15" s="310"/>
      <c r="K15" s="179">
        <f t="shared" si="1"/>
        <v>0</v>
      </c>
      <c r="L15" s="310"/>
      <c r="M15" s="179">
        <f t="shared" si="2"/>
        <v>0</v>
      </c>
      <c r="N15" s="179">
        <f t="shared" si="3"/>
        <v>0</v>
      </c>
    </row>
    <row r="16" spans="2:15" x14ac:dyDescent="0.25">
      <c r="B16" s="33">
        <f t="shared" ref="B16:B25" si="5">+B5+1</f>
        <v>1</v>
      </c>
      <c r="C16" s="184"/>
      <c r="D16" s="184"/>
      <c r="E16" s="225"/>
      <c r="F16" s="310"/>
      <c r="G16" s="179">
        <f>'AUX - PAY'!I19/31</f>
        <v>0</v>
      </c>
      <c r="H16" s="310"/>
      <c r="I16" s="179">
        <f t="shared" ref="I16:I25" si="6">ROUND(G16*H16,2)</f>
        <v>0</v>
      </c>
      <c r="J16" s="310"/>
      <c r="K16" s="179">
        <f t="shared" ref="K16:K25" si="7">ROUND(G16/8*J16,2)</f>
        <v>0</v>
      </c>
      <c r="L16" s="310"/>
      <c r="M16" s="179">
        <f t="shared" ref="M16:M25" si="8">ROUND(G16/8/60*L16,2)</f>
        <v>0</v>
      </c>
      <c r="N16" s="179">
        <f t="shared" ref="N16:N25" si="9">I16+K16+M16</f>
        <v>0</v>
      </c>
    </row>
    <row r="17" spans="2:14" x14ac:dyDescent="0.25">
      <c r="B17" s="33">
        <f t="shared" si="5"/>
        <v>1</v>
      </c>
      <c r="C17" s="184"/>
      <c r="D17" s="184"/>
      <c r="E17" s="225"/>
      <c r="F17" s="310"/>
      <c r="G17" s="179">
        <f>'AUX - PAY'!I20/31</f>
        <v>0</v>
      </c>
      <c r="H17" s="310"/>
      <c r="I17" s="179">
        <f t="shared" si="6"/>
        <v>0</v>
      </c>
      <c r="J17" s="310"/>
      <c r="K17" s="179">
        <f t="shared" si="7"/>
        <v>0</v>
      </c>
      <c r="L17" s="310"/>
      <c r="M17" s="179">
        <f t="shared" si="8"/>
        <v>0</v>
      </c>
      <c r="N17" s="179">
        <f t="shared" si="9"/>
        <v>0</v>
      </c>
    </row>
    <row r="18" spans="2:14" x14ac:dyDescent="0.25">
      <c r="B18" s="33">
        <f t="shared" si="5"/>
        <v>1</v>
      </c>
      <c r="C18" s="184"/>
      <c r="D18" s="184"/>
      <c r="E18" s="225"/>
      <c r="F18" s="310"/>
      <c r="G18" s="179">
        <f>'AUX - PAY'!I21/31</f>
        <v>0</v>
      </c>
      <c r="H18" s="310"/>
      <c r="I18" s="179">
        <f t="shared" si="6"/>
        <v>0</v>
      </c>
      <c r="J18" s="310"/>
      <c r="K18" s="179">
        <f t="shared" si="7"/>
        <v>0</v>
      </c>
      <c r="L18" s="310"/>
      <c r="M18" s="179">
        <f t="shared" si="8"/>
        <v>0</v>
      </c>
      <c r="N18" s="179">
        <f t="shared" si="9"/>
        <v>0</v>
      </c>
    </row>
    <row r="19" spans="2:14" x14ac:dyDescent="0.25">
      <c r="B19" s="33">
        <f t="shared" si="5"/>
        <v>2</v>
      </c>
      <c r="C19" s="184"/>
      <c r="D19" s="184"/>
      <c r="E19" s="225"/>
      <c r="F19" s="310"/>
      <c r="G19" s="179">
        <f>'AUX - PAY'!I22/31</f>
        <v>0</v>
      </c>
      <c r="H19" s="310"/>
      <c r="I19" s="179">
        <f t="shared" si="6"/>
        <v>0</v>
      </c>
      <c r="J19" s="310"/>
      <c r="K19" s="179">
        <f t="shared" si="7"/>
        <v>0</v>
      </c>
      <c r="L19" s="310"/>
      <c r="M19" s="179">
        <f t="shared" si="8"/>
        <v>0</v>
      </c>
      <c r="N19" s="179">
        <f t="shared" si="9"/>
        <v>0</v>
      </c>
    </row>
    <row r="20" spans="2:14" x14ac:dyDescent="0.25">
      <c r="B20" s="33">
        <f t="shared" si="5"/>
        <v>3</v>
      </c>
      <c r="C20" s="184"/>
      <c r="D20" s="184"/>
      <c r="E20" s="225"/>
      <c r="F20" s="310"/>
      <c r="G20" s="179">
        <f>'AUX - PAY'!I23/31</f>
        <v>0</v>
      </c>
      <c r="H20" s="310"/>
      <c r="I20" s="179">
        <f t="shared" si="6"/>
        <v>0</v>
      </c>
      <c r="J20" s="310"/>
      <c r="K20" s="179">
        <f t="shared" si="7"/>
        <v>0</v>
      </c>
      <c r="L20" s="310"/>
      <c r="M20" s="179">
        <f t="shared" si="8"/>
        <v>0</v>
      </c>
      <c r="N20" s="179">
        <f t="shared" si="9"/>
        <v>0</v>
      </c>
    </row>
    <row r="21" spans="2:14" x14ac:dyDescent="0.25">
      <c r="B21" s="33">
        <f t="shared" si="5"/>
        <v>4</v>
      </c>
      <c r="C21" s="184"/>
      <c r="D21" s="184"/>
      <c r="E21" s="225"/>
      <c r="F21" s="310"/>
      <c r="G21" s="179">
        <f>'AUX - PAY'!I24/31</f>
        <v>0</v>
      </c>
      <c r="H21" s="310"/>
      <c r="I21" s="179">
        <f t="shared" si="6"/>
        <v>0</v>
      </c>
      <c r="J21" s="310"/>
      <c r="K21" s="179">
        <f t="shared" si="7"/>
        <v>0</v>
      </c>
      <c r="L21" s="310"/>
      <c r="M21" s="179">
        <f t="shared" si="8"/>
        <v>0</v>
      </c>
      <c r="N21" s="179">
        <f t="shared" si="9"/>
        <v>0</v>
      </c>
    </row>
    <row r="22" spans="2:14" x14ac:dyDescent="0.25">
      <c r="B22" s="33">
        <f t="shared" si="5"/>
        <v>5</v>
      </c>
      <c r="C22" s="184"/>
      <c r="D22" s="184"/>
      <c r="E22" s="225"/>
      <c r="F22" s="310"/>
      <c r="G22" s="179">
        <f>'AUX - PAY'!I25/31</f>
        <v>0</v>
      </c>
      <c r="H22" s="310"/>
      <c r="I22" s="179">
        <f t="shared" si="6"/>
        <v>0</v>
      </c>
      <c r="J22" s="310"/>
      <c r="K22" s="179">
        <f t="shared" si="7"/>
        <v>0</v>
      </c>
      <c r="L22" s="310"/>
      <c r="M22" s="179">
        <f t="shared" si="8"/>
        <v>0</v>
      </c>
      <c r="N22" s="179">
        <f t="shared" si="9"/>
        <v>0</v>
      </c>
    </row>
    <row r="23" spans="2:14" x14ac:dyDescent="0.25">
      <c r="B23" s="33">
        <f t="shared" si="5"/>
        <v>6</v>
      </c>
      <c r="C23" s="184"/>
      <c r="D23" s="184"/>
      <c r="E23" s="225"/>
      <c r="F23" s="310"/>
      <c r="G23" s="179">
        <f>'AUX - PAY'!I26/31</f>
        <v>0</v>
      </c>
      <c r="H23" s="310"/>
      <c r="I23" s="179">
        <f t="shared" si="6"/>
        <v>0</v>
      </c>
      <c r="J23" s="310"/>
      <c r="K23" s="179">
        <f t="shared" si="7"/>
        <v>0</v>
      </c>
      <c r="L23" s="310"/>
      <c r="M23" s="179">
        <f t="shared" si="8"/>
        <v>0</v>
      </c>
      <c r="N23" s="179">
        <f t="shared" si="9"/>
        <v>0</v>
      </c>
    </row>
    <row r="24" spans="2:14" x14ac:dyDescent="0.25">
      <c r="B24" s="33">
        <f t="shared" si="5"/>
        <v>7</v>
      </c>
      <c r="C24" s="184"/>
      <c r="D24" s="184"/>
      <c r="E24" s="225"/>
      <c r="F24" s="310"/>
      <c r="G24" s="179">
        <f>'AUX - PAY'!I27/31</f>
        <v>0</v>
      </c>
      <c r="H24" s="310"/>
      <c r="I24" s="179">
        <f t="shared" si="6"/>
        <v>0</v>
      </c>
      <c r="J24" s="310"/>
      <c r="K24" s="179">
        <f t="shared" si="7"/>
        <v>0</v>
      </c>
      <c r="L24" s="310"/>
      <c r="M24" s="179">
        <f t="shared" si="8"/>
        <v>0</v>
      </c>
      <c r="N24" s="179">
        <f t="shared" si="9"/>
        <v>0</v>
      </c>
    </row>
    <row r="25" spans="2:14" x14ac:dyDescent="0.25">
      <c r="B25" s="33">
        <f t="shared" si="5"/>
        <v>8</v>
      </c>
      <c r="C25" s="184"/>
      <c r="D25" s="184"/>
      <c r="E25" s="225"/>
      <c r="F25" s="310"/>
      <c r="G25" s="179">
        <f>'AUX - PAY'!I28/31</f>
        <v>0</v>
      </c>
      <c r="H25" s="310"/>
      <c r="I25" s="179">
        <f t="shared" si="6"/>
        <v>0</v>
      </c>
      <c r="J25" s="310"/>
      <c r="K25" s="179">
        <f t="shared" si="7"/>
        <v>0</v>
      </c>
      <c r="L25" s="310"/>
      <c r="M25" s="179">
        <f t="shared" si="8"/>
        <v>0</v>
      </c>
      <c r="N25" s="179">
        <f t="shared" si="9"/>
        <v>0</v>
      </c>
    </row>
    <row r="26" spans="2:14" x14ac:dyDescent="0.25">
      <c r="B26" s="33">
        <f>+B15+1</f>
        <v>9</v>
      </c>
      <c r="C26" s="184"/>
      <c r="D26" s="184"/>
      <c r="E26" s="225"/>
      <c r="F26" s="310"/>
      <c r="G26" s="179">
        <f>'AUX - PAY'!I39/31</f>
        <v>0</v>
      </c>
      <c r="H26" s="310"/>
      <c r="I26" s="179">
        <f t="shared" si="0"/>
        <v>0</v>
      </c>
      <c r="J26" s="310"/>
      <c r="K26" s="179">
        <f t="shared" si="1"/>
        <v>0</v>
      </c>
      <c r="L26" s="310"/>
      <c r="M26" s="179">
        <f t="shared" si="2"/>
        <v>0</v>
      </c>
      <c r="N26" s="179">
        <f t="shared" si="3"/>
        <v>0</v>
      </c>
    </row>
    <row r="27" spans="2:14" ht="16.5" thickBot="1" x14ac:dyDescent="0.3">
      <c r="B27" s="163"/>
      <c r="C27" s="163"/>
      <c r="D27" s="163"/>
      <c r="E27" s="329"/>
      <c r="F27" s="82">
        <f>SUM(F8:F26)</f>
        <v>0</v>
      </c>
      <c r="G27" s="82"/>
      <c r="H27" s="312"/>
      <c r="I27" s="207">
        <f>SUM(I8:I26)</f>
        <v>0</v>
      </c>
      <c r="J27" s="312"/>
      <c r="K27" s="207">
        <f>SUM(K8:K26)</f>
        <v>0</v>
      </c>
      <c r="L27" s="312"/>
      <c r="M27" s="207">
        <f>SUM(M8:M26)</f>
        <v>0</v>
      </c>
      <c r="N27" s="207">
        <f>SUM(N8:N26)</f>
        <v>0</v>
      </c>
    </row>
    <row r="28" spans="2:14" x14ac:dyDescent="0.25">
      <c r="E28" s="205"/>
      <c r="F28" s="75">
        <f>F27-'AUX - PAY'!L41</f>
        <v>0</v>
      </c>
      <c r="G28" s="75"/>
      <c r="H28" s="75"/>
      <c r="I28" s="75"/>
      <c r="J28" s="75"/>
      <c r="K28" s="75"/>
      <c r="L28" s="75"/>
      <c r="M28" s="75"/>
      <c r="N28" s="75">
        <f>N27-'AUX - PAY'!J41</f>
        <v>0</v>
      </c>
    </row>
  </sheetData>
  <mergeCells count="9">
    <mergeCell ref="B2:N2"/>
    <mergeCell ref="B3:N3"/>
    <mergeCell ref="H4:N5"/>
    <mergeCell ref="G4:G6"/>
    <mergeCell ref="B4:B6"/>
    <mergeCell ref="C4:C6"/>
    <mergeCell ref="D4:D6"/>
    <mergeCell ref="F4:F6"/>
    <mergeCell ref="E4:E6"/>
  </mergeCells>
  <printOptions horizontalCentered="1"/>
  <pageMargins left="0.39370078740157483" right="0.39370078740157483" top="0.39370078740157483" bottom="0.78740157480314965" header="0" footer="0.39370078740157483"/>
  <pageSetup paperSize="14" scale="75" fitToHeight="0" orientation="landscape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FFC000"/>
    <pageSetUpPr fitToPage="1"/>
  </sheetPr>
  <dimension ref="A1:Z60"/>
  <sheetViews>
    <sheetView showWhiteSpace="0" topLeftCell="A15" zoomScaleNormal="100" zoomScaleSheetLayoutView="100" workbookViewId="0">
      <selection activeCell="C29" sqref="C29"/>
    </sheetView>
  </sheetViews>
  <sheetFormatPr defaultRowHeight="30.75" x14ac:dyDescent="0.25"/>
  <cols>
    <col min="1" max="1" width="9.375" style="31" customWidth="1"/>
    <col min="2" max="2" width="6.75" style="4" customWidth="1"/>
    <col min="3" max="3" width="24.625" style="4" customWidth="1"/>
    <col min="4" max="4" width="12.875" style="4" customWidth="1"/>
    <col min="5" max="5" width="9.625" style="57" customWidth="1"/>
    <col min="6" max="6" width="13.375" style="4" customWidth="1"/>
    <col min="7" max="7" width="8.5" style="4" customWidth="1"/>
    <col min="8" max="8" width="9.75" style="4" customWidth="1"/>
    <col min="9" max="9" width="13.125" style="4" customWidth="1"/>
    <col min="10" max="11" width="11.25" style="4" customWidth="1"/>
    <col min="12" max="12" width="10.625" style="4" customWidth="1"/>
    <col min="13" max="13" width="11.5" style="4" customWidth="1"/>
    <col min="14" max="14" width="10.375" style="4" customWidth="1"/>
    <col min="15" max="15" width="11" style="4" bestFit="1" customWidth="1"/>
    <col min="16" max="16" width="11.875" style="4" customWidth="1"/>
    <col min="17" max="17" width="15.125" style="4" bestFit="1" customWidth="1"/>
    <col min="18" max="18" width="13.125" style="4" customWidth="1"/>
    <col min="19" max="19" width="12.75" style="4" customWidth="1"/>
    <col min="20" max="20" width="12.125" style="4" bestFit="1" customWidth="1"/>
    <col min="21" max="21" width="3.75" style="57" customWidth="1"/>
    <col min="22" max="22" width="14.25" style="4" customWidth="1"/>
    <col min="23" max="23" width="10.625" style="4" customWidth="1"/>
    <col min="24" max="24" width="11.625" style="4" bestFit="1" customWidth="1"/>
    <col min="25" max="25" width="11" style="4" bestFit="1" customWidth="1"/>
    <col min="26" max="26" width="5.625" style="4" customWidth="1"/>
    <col min="27" max="16384" width="9" style="4"/>
  </cols>
  <sheetData>
    <row r="1" spans="1:25" ht="23.25" customHeight="1" x14ac:dyDescent="0.25">
      <c r="A1" s="98">
        <v>94</v>
      </c>
      <c r="Q1" s="5"/>
      <c r="R1" s="5"/>
      <c r="S1" s="5"/>
      <c r="T1" s="5"/>
      <c r="U1" s="52"/>
      <c r="V1" s="3"/>
      <c r="W1" s="3"/>
    </row>
    <row r="2" spans="1:25" ht="23.25" x14ac:dyDescent="0.25">
      <c r="A2" s="98"/>
      <c r="Q2" s="5"/>
      <c r="R2" s="5"/>
      <c r="S2" s="5"/>
      <c r="T2" s="5"/>
      <c r="U2" s="53"/>
      <c r="V2" s="2"/>
      <c r="W2" s="2"/>
      <c r="X2" s="864" t="s">
        <v>40</v>
      </c>
      <c r="Y2" s="864"/>
    </row>
    <row r="3" spans="1:25" ht="15.75" customHeight="1" x14ac:dyDescent="0.25">
      <c r="A3" s="98"/>
      <c r="B3" s="877" t="s">
        <v>42</v>
      </c>
      <c r="C3" s="877"/>
      <c r="D3" s="877"/>
      <c r="E3" s="877"/>
      <c r="F3" s="877"/>
      <c r="G3" s="877"/>
      <c r="H3" s="877"/>
      <c r="I3" s="877"/>
      <c r="J3" s="877"/>
      <c r="K3" s="877"/>
      <c r="L3" s="877"/>
      <c r="M3" s="877"/>
      <c r="N3" s="877"/>
      <c r="O3" s="877"/>
      <c r="P3" s="877"/>
      <c r="Q3" s="877"/>
      <c r="R3" s="877"/>
      <c r="S3" s="877"/>
      <c r="T3" s="877"/>
      <c r="U3" s="877"/>
      <c r="V3" s="877"/>
      <c r="W3" s="877"/>
      <c r="X3" s="877"/>
      <c r="Y3" s="877"/>
    </row>
    <row r="4" spans="1:25" ht="15.75" customHeight="1" x14ac:dyDescent="0.25">
      <c r="A4" s="98"/>
      <c r="B4" s="878" t="s">
        <v>43</v>
      </c>
      <c r="C4" s="878"/>
      <c r="D4" s="878"/>
      <c r="E4" s="878"/>
      <c r="F4" s="878"/>
      <c r="G4" s="878"/>
      <c r="H4" s="878"/>
      <c r="I4" s="878"/>
      <c r="J4" s="878"/>
      <c r="K4" s="878"/>
      <c r="L4" s="878"/>
      <c r="M4" s="878"/>
      <c r="N4" s="878"/>
      <c r="O4" s="878"/>
      <c r="P4" s="878"/>
      <c r="Q4" s="878"/>
      <c r="R4" s="878"/>
      <c r="S4" s="878"/>
      <c r="T4" s="878"/>
      <c r="U4" s="878"/>
      <c r="V4" s="878"/>
      <c r="W4" s="878"/>
      <c r="X4" s="878"/>
      <c r="Y4" s="878"/>
    </row>
    <row r="5" spans="1:25" ht="15.75" customHeight="1" x14ac:dyDescent="0.25">
      <c r="A5" s="98"/>
      <c r="B5" s="878" t="s">
        <v>44</v>
      </c>
      <c r="C5" s="878"/>
      <c r="D5" s="878"/>
      <c r="E5" s="878"/>
      <c r="F5" s="878"/>
      <c r="G5" s="878"/>
      <c r="H5" s="878"/>
      <c r="I5" s="878"/>
      <c r="J5" s="878"/>
      <c r="K5" s="878"/>
      <c r="L5" s="878"/>
      <c r="M5" s="878"/>
      <c r="N5" s="878"/>
      <c r="O5" s="878"/>
      <c r="P5" s="878"/>
      <c r="Q5" s="878"/>
      <c r="R5" s="878"/>
      <c r="S5" s="878"/>
      <c r="T5" s="878"/>
      <c r="U5" s="878"/>
      <c r="V5" s="878"/>
      <c r="W5" s="878"/>
      <c r="X5" s="878"/>
      <c r="Y5" s="878"/>
    </row>
    <row r="6" spans="1:25" ht="15.75" customHeight="1" x14ac:dyDescent="0.25">
      <c r="A6" s="98"/>
      <c r="B6" s="877" t="s">
        <v>45</v>
      </c>
      <c r="C6" s="877"/>
      <c r="D6" s="877"/>
      <c r="E6" s="877"/>
      <c r="F6" s="877"/>
      <c r="G6" s="877"/>
      <c r="H6" s="877"/>
      <c r="I6" s="877"/>
      <c r="J6" s="877"/>
      <c r="K6" s="877"/>
      <c r="L6" s="877"/>
      <c r="M6" s="877"/>
      <c r="N6" s="877"/>
      <c r="O6" s="877"/>
      <c r="P6" s="877"/>
      <c r="Q6" s="877"/>
      <c r="R6" s="877"/>
      <c r="S6" s="877"/>
      <c r="T6" s="877"/>
      <c r="U6" s="877"/>
      <c r="V6" s="877"/>
      <c r="W6" s="877"/>
      <c r="X6" s="877"/>
      <c r="Y6" s="877"/>
    </row>
    <row r="7" spans="1:25" ht="15.75" customHeight="1" x14ac:dyDescent="0.25">
      <c r="A7" s="98"/>
      <c r="Q7" s="2"/>
      <c r="R7" s="2"/>
      <c r="S7" s="2"/>
      <c r="T7" s="2"/>
      <c r="U7" s="53"/>
      <c r="V7" s="2"/>
      <c r="W7" s="2"/>
      <c r="X7" s="2"/>
      <c r="Y7" s="2"/>
    </row>
    <row r="8" spans="1:25" ht="22.5" x14ac:dyDescent="0.25">
      <c r="A8" s="98"/>
      <c r="B8" s="882" t="s">
        <v>13</v>
      </c>
      <c r="C8" s="882"/>
      <c r="D8" s="882"/>
      <c r="E8" s="882"/>
      <c r="F8" s="882"/>
      <c r="G8" s="882"/>
      <c r="H8" s="882"/>
      <c r="I8" s="882"/>
      <c r="J8" s="882"/>
      <c r="K8" s="882"/>
      <c r="L8" s="882"/>
      <c r="M8" s="882"/>
      <c r="N8" s="882"/>
      <c r="O8" s="882"/>
      <c r="P8" s="882"/>
      <c r="Q8" s="882"/>
      <c r="R8" s="882"/>
      <c r="S8" s="882"/>
      <c r="T8" s="882"/>
      <c r="U8" s="882"/>
      <c r="V8" s="882"/>
      <c r="W8" s="882"/>
      <c r="X8" s="882"/>
      <c r="Y8" s="882"/>
    </row>
    <row r="9" spans="1:25" ht="20.25" x14ac:dyDescent="0.25">
      <c r="A9" s="98"/>
      <c r="B9" s="867" t="s">
        <v>109</v>
      </c>
      <c r="C9" s="867"/>
      <c r="D9" s="867"/>
      <c r="E9" s="867"/>
      <c r="F9" s="867"/>
      <c r="G9" s="867"/>
      <c r="H9" s="867"/>
      <c r="I9" s="867"/>
      <c r="J9" s="867"/>
      <c r="K9" s="867"/>
      <c r="L9" s="867"/>
      <c r="M9" s="867"/>
      <c r="N9" s="867"/>
      <c r="O9" s="867"/>
      <c r="P9" s="867"/>
      <c r="Q9" s="867"/>
      <c r="R9" s="867"/>
      <c r="S9" s="867"/>
      <c r="T9" s="867"/>
      <c r="U9" s="867"/>
      <c r="V9" s="867"/>
      <c r="W9" s="867"/>
      <c r="X9" s="867"/>
      <c r="Y9" s="867"/>
    </row>
    <row r="10" spans="1:25" ht="20.25" x14ac:dyDescent="0.25">
      <c r="A10" s="98"/>
      <c r="B10" s="879" t="s">
        <v>41</v>
      </c>
      <c r="C10" s="879"/>
      <c r="D10" s="879"/>
      <c r="E10" s="879"/>
      <c r="F10" s="879"/>
      <c r="G10" s="879"/>
      <c r="H10" s="879"/>
      <c r="I10" s="879"/>
      <c r="J10" s="879"/>
      <c r="K10" s="879"/>
      <c r="L10" s="879"/>
      <c r="M10" s="879"/>
      <c r="N10" s="879"/>
      <c r="O10" s="879"/>
      <c r="P10" s="879"/>
      <c r="Q10" s="879"/>
      <c r="R10" s="879"/>
      <c r="S10" s="879"/>
      <c r="T10" s="879"/>
      <c r="U10" s="879"/>
      <c r="V10" s="879"/>
      <c r="W10" s="879"/>
      <c r="X10" s="879"/>
      <c r="Y10" s="879"/>
    </row>
    <row r="11" spans="1:25" ht="20.25" x14ac:dyDescent="0.25">
      <c r="A11" s="98"/>
      <c r="B11" s="879" t="str">
        <f>'GEN.AD - PAY'!B11</f>
        <v>(1st Quincena)</v>
      </c>
      <c r="C11" s="879"/>
      <c r="D11" s="879"/>
      <c r="E11" s="879"/>
      <c r="F11" s="879"/>
      <c r="G11" s="879"/>
      <c r="H11" s="879"/>
      <c r="I11" s="879"/>
      <c r="J11" s="879"/>
      <c r="K11" s="879"/>
      <c r="L11" s="879"/>
      <c r="M11" s="879"/>
      <c r="N11" s="879"/>
      <c r="O11" s="879"/>
      <c r="P11" s="879"/>
      <c r="Q11" s="879"/>
      <c r="R11" s="879"/>
      <c r="S11" s="879"/>
      <c r="T11" s="879"/>
      <c r="U11" s="879"/>
      <c r="V11" s="879"/>
      <c r="W11" s="879"/>
      <c r="X11" s="879"/>
      <c r="Y11" s="879"/>
    </row>
    <row r="12" spans="1:25" ht="15.75" x14ac:dyDescent="0.25">
      <c r="A12" s="98"/>
      <c r="B12" s="9"/>
      <c r="C12" s="6"/>
      <c r="D12" s="866" t="s">
        <v>106</v>
      </c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</row>
    <row r="13" spans="1:25" s="8" customFormat="1" ht="24.95" customHeight="1" x14ac:dyDescent="0.25">
      <c r="A13" s="98"/>
      <c r="B13" s="865" t="s">
        <v>88</v>
      </c>
      <c r="C13" s="865"/>
      <c r="D13" s="867"/>
      <c r="E13" s="178"/>
      <c r="F13" s="169"/>
      <c r="G13" s="169"/>
      <c r="H13" s="169"/>
      <c r="I13" s="169"/>
      <c r="J13" s="169"/>
      <c r="K13" s="169"/>
      <c r="L13" s="169"/>
      <c r="M13" s="169"/>
      <c r="N13" s="169"/>
      <c r="O13" s="169"/>
      <c r="P13" s="169"/>
      <c r="Q13" s="9"/>
      <c r="R13" s="9"/>
      <c r="S13" s="9"/>
      <c r="T13" s="9"/>
      <c r="U13" s="169" t="s">
        <v>103</v>
      </c>
      <c r="V13" s="169"/>
      <c r="W13" s="832" t="str">
        <f>SUMMARY!B9</f>
        <v>2026-01-015</v>
      </c>
      <c r="X13" s="832"/>
      <c r="Y13" s="832"/>
    </row>
    <row r="14" spans="1:25" s="8" customFormat="1" ht="24.95" customHeight="1" x14ac:dyDescent="0.25">
      <c r="A14" s="98"/>
      <c r="B14" s="9"/>
      <c r="C14" s="9"/>
      <c r="D14" s="867"/>
      <c r="E14" s="6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169"/>
      <c r="V14" s="169"/>
      <c r="W14" s="9"/>
      <c r="X14" s="9"/>
      <c r="Y14" s="9"/>
    </row>
    <row r="15" spans="1:25" s="8" customFormat="1" ht="15.75" customHeight="1" x14ac:dyDescent="0.25">
      <c r="A15" s="98"/>
      <c r="B15" s="872" t="s">
        <v>0</v>
      </c>
      <c r="C15" s="872"/>
      <c r="D15" s="872"/>
      <c r="E15" s="872"/>
      <c r="F15" s="872"/>
      <c r="G15" s="872"/>
      <c r="H15" s="872"/>
      <c r="I15" s="872"/>
      <c r="J15" s="872"/>
      <c r="K15" s="872"/>
      <c r="L15" s="872"/>
      <c r="M15" s="872"/>
      <c r="N15" s="872"/>
      <c r="O15" s="872"/>
      <c r="P15" s="872"/>
      <c r="Q15" s="872"/>
      <c r="R15" s="872"/>
      <c r="S15" s="872"/>
      <c r="T15" s="872"/>
      <c r="U15" s="872"/>
      <c r="V15" s="872"/>
      <c r="W15" s="872"/>
      <c r="X15" s="872"/>
      <c r="Y15" s="872"/>
    </row>
    <row r="16" spans="1:25" ht="9" customHeight="1" thickBot="1" x14ac:dyDescent="0.3">
      <c r="A16" s="98"/>
      <c r="B16" s="9"/>
      <c r="C16" s="10"/>
      <c r="D16" s="10"/>
      <c r="E16" s="54"/>
      <c r="F16" s="10"/>
      <c r="G16" s="10"/>
      <c r="H16" s="10"/>
      <c r="I16" s="10"/>
      <c r="J16" s="9"/>
      <c r="K16" s="9"/>
      <c r="L16" s="9"/>
      <c r="M16" s="9"/>
      <c r="N16" s="9"/>
      <c r="O16" s="9"/>
      <c r="P16" s="9"/>
      <c r="Q16" s="10"/>
      <c r="R16" s="10"/>
      <c r="S16" s="10"/>
      <c r="T16" s="10"/>
      <c r="U16" s="54"/>
      <c r="V16" s="10"/>
      <c r="W16" s="10"/>
      <c r="X16" s="10"/>
      <c r="Y16" s="10"/>
    </row>
    <row r="17" spans="1:26" ht="16.5" customHeight="1" thickBot="1" x14ac:dyDescent="0.3">
      <c r="A17" s="98"/>
      <c r="B17" s="802" t="s">
        <v>6</v>
      </c>
      <c r="C17" s="777" t="s">
        <v>1</v>
      </c>
      <c r="D17" s="777" t="s">
        <v>2</v>
      </c>
      <c r="E17" s="802" t="s">
        <v>14</v>
      </c>
      <c r="F17" s="841" t="s">
        <v>4</v>
      </c>
      <c r="G17" s="833"/>
      <c r="H17" s="833"/>
      <c r="I17" s="833"/>
      <c r="J17" s="833"/>
      <c r="K17" s="834"/>
      <c r="L17" s="841" t="s">
        <v>3</v>
      </c>
      <c r="M17" s="833"/>
      <c r="N17" s="833"/>
      <c r="O17" s="833"/>
      <c r="P17" s="833"/>
      <c r="Q17" s="834"/>
      <c r="R17" s="802" t="s">
        <v>16</v>
      </c>
      <c r="S17" s="856" t="s">
        <v>51</v>
      </c>
      <c r="T17" s="861" t="s">
        <v>52</v>
      </c>
      <c r="U17" s="777" t="s">
        <v>59</v>
      </c>
      <c r="V17" s="841" t="s">
        <v>60</v>
      </c>
      <c r="W17" s="833"/>
      <c r="X17" s="833"/>
      <c r="Y17" s="834"/>
      <c r="Z17" s="11"/>
    </row>
    <row r="18" spans="1:26" ht="19.5" customHeight="1" x14ac:dyDescent="0.25">
      <c r="A18" s="98"/>
      <c r="B18" s="803"/>
      <c r="C18" s="778"/>
      <c r="D18" s="778"/>
      <c r="E18" s="803"/>
      <c r="F18" s="844" t="s">
        <v>48</v>
      </c>
      <c r="G18" s="887" t="s">
        <v>50</v>
      </c>
      <c r="H18" s="892" t="s">
        <v>49</v>
      </c>
      <c r="I18" s="859" t="s">
        <v>5</v>
      </c>
      <c r="J18" s="873" t="s">
        <v>53</v>
      </c>
      <c r="K18" s="848" t="s">
        <v>137</v>
      </c>
      <c r="L18" s="873" t="s">
        <v>54</v>
      </c>
      <c r="M18" s="859" t="s">
        <v>55</v>
      </c>
      <c r="N18" s="859" t="s">
        <v>56</v>
      </c>
      <c r="O18" s="890" t="s">
        <v>57</v>
      </c>
      <c r="P18" s="859" t="s">
        <v>58</v>
      </c>
      <c r="Q18" s="846" t="s">
        <v>17</v>
      </c>
      <c r="R18" s="803"/>
      <c r="S18" s="857"/>
      <c r="T18" s="862"/>
      <c r="U18" s="778"/>
      <c r="V18" s="850" t="s">
        <v>61</v>
      </c>
      <c r="W18" s="852" t="s">
        <v>62</v>
      </c>
      <c r="X18" s="883" t="s">
        <v>57</v>
      </c>
      <c r="Y18" s="885" t="s">
        <v>63</v>
      </c>
      <c r="Z18" s="11"/>
    </row>
    <row r="19" spans="1:26" ht="26.25" customHeight="1" thickBot="1" x14ac:dyDescent="0.3">
      <c r="A19" s="98"/>
      <c r="B19" s="803"/>
      <c r="C19" s="778"/>
      <c r="D19" s="778"/>
      <c r="E19" s="803"/>
      <c r="F19" s="845"/>
      <c r="G19" s="888"/>
      <c r="H19" s="893"/>
      <c r="I19" s="860"/>
      <c r="J19" s="874"/>
      <c r="K19" s="849"/>
      <c r="L19" s="874"/>
      <c r="M19" s="860"/>
      <c r="N19" s="860"/>
      <c r="O19" s="891"/>
      <c r="P19" s="860"/>
      <c r="Q19" s="847"/>
      <c r="R19" s="804"/>
      <c r="S19" s="858"/>
      <c r="T19" s="863"/>
      <c r="U19" s="778"/>
      <c r="V19" s="851"/>
      <c r="W19" s="853"/>
      <c r="X19" s="884"/>
      <c r="Y19" s="886"/>
      <c r="Z19" s="11"/>
    </row>
    <row r="20" spans="1:26" ht="18.75" customHeight="1" x14ac:dyDescent="0.25">
      <c r="A20" s="98"/>
      <c r="B20" s="12"/>
      <c r="C20" s="12"/>
      <c r="D20" s="12"/>
      <c r="E20" s="55"/>
      <c r="F20" s="84"/>
      <c r="G20" s="85"/>
      <c r="H20" s="85"/>
      <c r="I20" s="13"/>
      <c r="J20" s="39"/>
      <c r="K20" s="210"/>
      <c r="L20" s="39"/>
      <c r="M20" s="13"/>
      <c r="N20" s="13"/>
      <c r="O20" s="13"/>
      <c r="P20" s="13"/>
      <c r="Q20" s="14"/>
      <c r="R20" s="12"/>
      <c r="S20" s="48"/>
      <c r="T20" s="43"/>
      <c r="U20" s="55"/>
      <c r="V20" s="46"/>
      <c r="W20" s="47"/>
      <c r="X20" s="47"/>
      <c r="Y20" s="43"/>
    </row>
    <row r="21" spans="1:26" ht="18.75" customHeight="1" x14ac:dyDescent="0.25">
      <c r="A21" s="98"/>
      <c r="B21" s="33">
        <v>1</v>
      </c>
      <c r="C21" s="72">
        <f>VLOOKUP(B21,'WTAX-AUX'!B:N,2,0)</f>
        <v>0</v>
      </c>
      <c r="D21" s="72" t="e">
        <f>VLOOKUP(C21,'WTAX-AUX'!C:O,2,0)</f>
        <v>#N/A</v>
      </c>
      <c r="E21" s="306">
        <f>VLOOKUP(B21,'WTAX-AUX'!B:N,4,0)</f>
        <v>0</v>
      </c>
      <c r="F21" s="86"/>
      <c r="G21" s="88"/>
      <c r="H21" s="88"/>
      <c r="I21" s="37">
        <f>SUM(F21:H21)</f>
        <v>0</v>
      </c>
      <c r="J21" s="335">
        <f>'WTAX-AUX'!N8</f>
        <v>0</v>
      </c>
      <c r="K21" s="211">
        <f>ROUND(I21-J21,2)</f>
        <v>0</v>
      </c>
      <c r="L21" s="40">
        <f>'WTAX-AUX'!F8</f>
        <v>0</v>
      </c>
      <c r="M21" s="37">
        <f>'AUX - DEDS'!R20</f>
        <v>0</v>
      </c>
      <c r="N21" s="37">
        <f>'AUX - DEDS'!X20</f>
        <v>0</v>
      </c>
      <c r="O21" s="37">
        <f>'AUX - DEDS'!Y20</f>
        <v>0</v>
      </c>
      <c r="P21" s="37">
        <f>'AUX - DEDS'!AE20</f>
        <v>0</v>
      </c>
      <c r="Q21" s="38">
        <f>ROUND(SUM(L21:P21),2)</f>
        <v>0</v>
      </c>
      <c r="R21" s="49">
        <f>K21-Q21</f>
        <v>0</v>
      </c>
      <c r="S21" s="76">
        <f>ROUND(R21/2,0)</f>
        <v>0</v>
      </c>
      <c r="T21" s="77">
        <f>R21-S21</f>
        <v>0</v>
      </c>
      <c r="U21" s="33">
        <f>B21</f>
        <v>1</v>
      </c>
      <c r="V21" s="36">
        <f>ROUND('AUX - PAY'!I21*0.12,2)</f>
        <v>0</v>
      </c>
      <c r="W21" s="37">
        <v>100</v>
      </c>
      <c r="X21" s="37">
        <f>MIN((I21*0.05)-'AUX - DEDS'!Y20,2500)</f>
        <v>0</v>
      </c>
      <c r="Y21" s="41">
        <v>200</v>
      </c>
    </row>
    <row r="22" spans="1:26" ht="18.75" customHeight="1" x14ac:dyDescent="0.25">
      <c r="A22" s="98"/>
      <c r="B22" s="33">
        <f>+B21+1</f>
        <v>2</v>
      </c>
      <c r="C22" s="72">
        <f>VLOOKUP(B22,'WTAX-AUX'!B:N,2,0)</f>
        <v>0</v>
      </c>
      <c r="D22" s="72" t="e">
        <f>VLOOKUP(C22,'WTAX-AUX'!C:O,2,0)</f>
        <v>#N/A</v>
      </c>
      <c r="E22" s="306">
        <f>VLOOKUP(B22,'WTAX-AUX'!B:N,4,0)</f>
        <v>0</v>
      </c>
      <c r="F22" s="86"/>
      <c r="G22" s="88"/>
      <c r="H22" s="88"/>
      <c r="I22" s="37">
        <f t="shared" ref="I22:I39" si="0">SUM(F22:H22)</f>
        <v>0</v>
      </c>
      <c r="J22" s="335">
        <f>'WTAX-AUX'!N9</f>
        <v>0</v>
      </c>
      <c r="K22" s="211">
        <f t="shared" ref="K22:K39" si="1">ROUND(I22-J22,2)</f>
        <v>0</v>
      </c>
      <c r="L22" s="40">
        <f>'WTAX-AUX'!F9</f>
        <v>0</v>
      </c>
      <c r="M22" s="37">
        <f>'AUX - DEDS'!R21</f>
        <v>0</v>
      </c>
      <c r="N22" s="37">
        <f>'AUX - DEDS'!X21</f>
        <v>0</v>
      </c>
      <c r="O22" s="37">
        <f>'AUX - DEDS'!Y21</f>
        <v>0</v>
      </c>
      <c r="P22" s="37">
        <f>'AUX - DEDS'!AE21</f>
        <v>0</v>
      </c>
      <c r="Q22" s="38">
        <f t="shared" ref="Q22:Q39" si="2">ROUND(SUM(L22:P22),2)</f>
        <v>0</v>
      </c>
      <c r="R22" s="49">
        <f t="shared" ref="R22:R39" si="3">K22-Q22</f>
        <v>0</v>
      </c>
      <c r="S22" s="76">
        <f t="shared" ref="S22:S39" si="4">ROUND(R22/2,0)</f>
        <v>0</v>
      </c>
      <c r="T22" s="77">
        <f>R22-S22</f>
        <v>0</v>
      </c>
      <c r="U22" s="33">
        <f t="shared" ref="U22:U39" si="5">B22</f>
        <v>2</v>
      </c>
      <c r="V22" s="36">
        <f>ROUND('AUX - PAY'!I22*0.12,2)</f>
        <v>0</v>
      </c>
      <c r="W22" s="37">
        <f>W21</f>
        <v>100</v>
      </c>
      <c r="X22" s="37">
        <f>MIN((I22*0.05)-'AUX - DEDS'!Y21,2500)</f>
        <v>0</v>
      </c>
      <c r="Y22" s="41">
        <f>Y21</f>
        <v>200</v>
      </c>
    </row>
    <row r="23" spans="1:26" ht="18.75" customHeight="1" x14ac:dyDescent="0.25">
      <c r="A23" s="98"/>
      <c r="B23" s="33">
        <f t="shared" ref="B23:B28" si="6">+B22+1</f>
        <v>3</v>
      </c>
      <c r="C23" s="72">
        <f>VLOOKUP(B23,'WTAX-AUX'!B:N,2,0)</f>
        <v>0</v>
      </c>
      <c r="D23" s="72" t="e">
        <f>VLOOKUP(C23,'WTAX-AUX'!C:O,2,0)</f>
        <v>#N/A</v>
      </c>
      <c r="E23" s="306">
        <f>VLOOKUP(B23,'WTAX-AUX'!B:N,4,0)</f>
        <v>0</v>
      </c>
      <c r="F23" s="86"/>
      <c r="G23" s="88"/>
      <c r="H23" s="88"/>
      <c r="I23" s="37">
        <f t="shared" si="0"/>
        <v>0</v>
      </c>
      <c r="J23" s="335">
        <f>'WTAX-AUX'!N10</f>
        <v>0</v>
      </c>
      <c r="K23" s="211">
        <f t="shared" si="1"/>
        <v>0</v>
      </c>
      <c r="L23" s="40">
        <f>'WTAX-AUX'!F10</f>
        <v>0</v>
      </c>
      <c r="M23" s="37">
        <f>'AUX - DEDS'!R22</f>
        <v>0</v>
      </c>
      <c r="N23" s="37">
        <f>'AUX - DEDS'!X22</f>
        <v>0</v>
      </c>
      <c r="O23" s="37">
        <f>'AUX - DEDS'!Y22</f>
        <v>0</v>
      </c>
      <c r="P23" s="37">
        <f>'AUX - DEDS'!AE22</f>
        <v>0</v>
      </c>
      <c r="Q23" s="38">
        <f t="shared" si="2"/>
        <v>0</v>
      </c>
      <c r="R23" s="49">
        <f t="shared" si="3"/>
        <v>0</v>
      </c>
      <c r="S23" s="76">
        <f t="shared" si="4"/>
        <v>0</v>
      </c>
      <c r="T23" s="77">
        <f t="shared" ref="T23:T39" si="7">R23-S23</f>
        <v>0</v>
      </c>
      <c r="U23" s="33">
        <f t="shared" si="5"/>
        <v>3</v>
      </c>
      <c r="V23" s="36">
        <f>ROUND('AUX - PAY'!I23*0.12,2)</f>
        <v>0</v>
      </c>
      <c r="W23" s="37">
        <f t="shared" ref="W23:W28" si="8">W22</f>
        <v>100</v>
      </c>
      <c r="X23" s="37">
        <f>MIN((I23*0.05)-'AUX - DEDS'!Y22,2500)</f>
        <v>0</v>
      </c>
      <c r="Y23" s="41">
        <f t="shared" ref="Y23:Y28" si="9">Y22</f>
        <v>200</v>
      </c>
    </row>
    <row r="24" spans="1:26" ht="18.75" customHeight="1" x14ac:dyDescent="0.25">
      <c r="A24" s="98"/>
      <c r="B24" s="33">
        <f t="shared" si="6"/>
        <v>4</v>
      </c>
      <c r="C24" s="72">
        <f>VLOOKUP(B24,'WTAX-AUX'!B:N,2,0)</f>
        <v>0</v>
      </c>
      <c r="D24" s="72" t="e">
        <f>VLOOKUP(C24,'WTAX-AUX'!C:O,2,0)</f>
        <v>#N/A</v>
      </c>
      <c r="E24" s="306">
        <f>VLOOKUP(B24,'WTAX-AUX'!B:N,4,0)</f>
        <v>0</v>
      </c>
      <c r="F24" s="86"/>
      <c r="G24" s="88"/>
      <c r="H24" s="88"/>
      <c r="I24" s="37">
        <f t="shared" si="0"/>
        <v>0</v>
      </c>
      <c r="J24" s="335">
        <f>'WTAX-AUX'!N11</f>
        <v>0</v>
      </c>
      <c r="K24" s="211">
        <f t="shared" si="1"/>
        <v>0</v>
      </c>
      <c r="L24" s="40">
        <f>'WTAX-AUX'!F11</f>
        <v>0</v>
      </c>
      <c r="M24" s="37">
        <f>'AUX - DEDS'!R23</f>
        <v>0</v>
      </c>
      <c r="N24" s="37">
        <f>'AUX - DEDS'!X23</f>
        <v>0</v>
      </c>
      <c r="O24" s="37">
        <f>'AUX - DEDS'!Y23</f>
        <v>0</v>
      </c>
      <c r="P24" s="37">
        <f>'AUX - DEDS'!AE23</f>
        <v>0</v>
      </c>
      <c r="Q24" s="38">
        <f t="shared" si="2"/>
        <v>0</v>
      </c>
      <c r="R24" s="49">
        <f t="shared" si="3"/>
        <v>0</v>
      </c>
      <c r="S24" s="76">
        <f t="shared" si="4"/>
        <v>0</v>
      </c>
      <c r="T24" s="77">
        <f t="shared" si="7"/>
        <v>0</v>
      </c>
      <c r="U24" s="33">
        <f t="shared" si="5"/>
        <v>4</v>
      </c>
      <c r="V24" s="36">
        <f>ROUND('AUX - PAY'!I24*0.12,2)</f>
        <v>0</v>
      </c>
      <c r="W24" s="37">
        <f t="shared" si="8"/>
        <v>100</v>
      </c>
      <c r="X24" s="37">
        <f>MIN((I24*0.05)-'AUX - DEDS'!Y23,2500)</f>
        <v>0</v>
      </c>
      <c r="Y24" s="41">
        <f t="shared" si="9"/>
        <v>200</v>
      </c>
    </row>
    <row r="25" spans="1:26" ht="18.75" customHeight="1" x14ac:dyDescent="0.25">
      <c r="A25" s="98"/>
      <c r="B25" s="33">
        <f t="shared" si="6"/>
        <v>5</v>
      </c>
      <c r="C25" s="72">
        <f>VLOOKUP(B25,'WTAX-AUX'!B:N,2,0)</f>
        <v>0</v>
      </c>
      <c r="D25" s="72" t="e">
        <f>VLOOKUP(C25,'WTAX-AUX'!C:O,2,0)</f>
        <v>#N/A</v>
      </c>
      <c r="E25" s="306">
        <f>VLOOKUP(B25,'WTAX-AUX'!B:N,4,0)</f>
        <v>0</v>
      </c>
      <c r="F25" s="86"/>
      <c r="G25" s="88"/>
      <c r="H25" s="88"/>
      <c r="I25" s="37">
        <f t="shared" si="0"/>
        <v>0</v>
      </c>
      <c r="J25" s="335">
        <f>'WTAX-AUX'!N12</f>
        <v>0</v>
      </c>
      <c r="K25" s="211">
        <f t="shared" si="1"/>
        <v>0</v>
      </c>
      <c r="L25" s="40">
        <f>'WTAX-AUX'!F12</f>
        <v>0</v>
      </c>
      <c r="M25" s="37">
        <f>'AUX - DEDS'!R24</f>
        <v>0</v>
      </c>
      <c r="N25" s="37">
        <f>'AUX - DEDS'!X24</f>
        <v>0</v>
      </c>
      <c r="O25" s="37">
        <f>'AUX - DEDS'!Y24</f>
        <v>0</v>
      </c>
      <c r="P25" s="37">
        <f>'AUX - DEDS'!AE24</f>
        <v>0</v>
      </c>
      <c r="Q25" s="38">
        <f t="shared" si="2"/>
        <v>0</v>
      </c>
      <c r="R25" s="49">
        <f t="shared" si="3"/>
        <v>0</v>
      </c>
      <c r="S25" s="76">
        <f t="shared" si="4"/>
        <v>0</v>
      </c>
      <c r="T25" s="77">
        <f t="shared" si="7"/>
        <v>0</v>
      </c>
      <c r="U25" s="33">
        <f t="shared" si="5"/>
        <v>5</v>
      </c>
      <c r="V25" s="36">
        <f>ROUND('AUX - PAY'!I25*0.12,2)</f>
        <v>0</v>
      </c>
      <c r="W25" s="37">
        <f t="shared" si="8"/>
        <v>100</v>
      </c>
      <c r="X25" s="37">
        <f>MIN((I25*0.05)-'AUX - DEDS'!Y24,2500)</f>
        <v>0</v>
      </c>
      <c r="Y25" s="41">
        <f t="shared" si="9"/>
        <v>200</v>
      </c>
    </row>
    <row r="26" spans="1:26" ht="18.75" customHeight="1" x14ac:dyDescent="0.25">
      <c r="A26" s="98"/>
      <c r="B26" s="33">
        <f t="shared" si="6"/>
        <v>6</v>
      </c>
      <c r="C26" s="72">
        <f>VLOOKUP(B26,'WTAX-AUX'!B:N,2,0)</f>
        <v>0</v>
      </c>
      <c r="D26" s="72" t="e">
        <f>VLOOKUP(C26,'WTAX-AUX'!C:O,2,0)</f>
        <v>#N/A</v>
      </c>
      <c r="E26" s="306">
        <f>VLOOKUP(B26,'WTAX-AUX'!B:N,4,0)</f>
        <v>0</v>
      </c>
      <c r="F26" s="86"/>
      <c r="G26" s="88"/>
      <c r="H26" s="88"/>
      <c r="I26" s="37">
        <f t="shared" si="0"/>
        <v>0</v>
      </c>
      <c r="J26" s="335">
        <f>'WTAX-AUX'!N13</f>
        <v>0</v>
      </c>
      <c r="K26" s="211">
        <f t="shared" si="1"/>
        <v>0</v>
      </c>
      <c r="L26" s="40">
        <f>'WTAX-AUX'!F13</f>
        <v>0</v>
      </c>
      <c r="M26" s="37">
        <f>'AUX - DEDS'!R25</f>
        <v>0</v>
      </c>
      <c r="N26" s="37">
        <f>'AUX - DEDS'!X25</f>
        <v>0</v>
      </c>
      <c r="O26" s="37">
        <f>'AUX - DEDS'!Y25</f>
        <v>0</v>
      </c>
      <c r="P26" s="37">
        <f>'AUX - DEDS'!AE25</f>
        <v>0</v>
      </c>
      <c r="Q26" s="38">
        <f t="shared" si="2"/>
        <v>0</v>
      </c>
      <c r="R26" s="49">
        <f t="shared" si="3"/>
        <v>0</v>
      </c>
      <c r="S26" s="76">
        <f t="shared" si="4"/>
        <v>0</v>
      </c>
      <c r="T26" s="77">
        <f t="shared" si="7"/>
        <v>0</v>
      </c>
      <c r="U26" s="33">
        <f t="shared" si="5"/>
        <v>6</v>
      </c>
      <c r="V26" s="36">
        <f>ROUND('AUX - PAY'!I26*0.12,2)</f>
        <v>0</v>
      </c>
      <c r="W26" s="37">
        <f t="shared" si="8"/>
        <v>100</v>
      </c>
      <c r="X26" s="37">
        <f>MIN((I26*0.05)-'AUX - DEDS'!Y25,2500)</f>
        <v>0</v>
      </c>
      <c r="Y26" s="41">
        <f t="shared" si="9"/>
        <v>200</v>
      </c>
    </row>
    <row r="27" spans="1:26" ht="18.75" customHeight="1" x14ac:dyDescent="0.25">
      <c r="A27" s="98"/>
      <c r="B27" s="33">
        <f t="shared" si="6"/>
        <v>7</v>
      </c>
      <c r="C27" s="72">
        <f>VLOOKUP(B27,'WTAX-AUX'!B:N,2,0)</f>
        <v>0</v>
      </c>
      <c r="D27" s="72" t="e">
        <f>VLOOKUP(C27,'WTAX-AUX'!C:O,2,0)</f>
        <v>#N/A</v>
      </c>
      <c r="E27" s="306">
        <f>VLOOKUP(B27,'WTAX-AUX'!B:N,4,0)</f>
        <v>0</v>
      </c>
      <c r="F27" s="86"/>
      <c r="G27" s="88"/>
      <c r="H27" s="88"/>
      <c r="I27" s="37">
        <f t="shared" si="0"/>
        <v>0</v>
      </c>
      <c r="J27" s="335">
        <f>'WTAX-AUX'!N14</f>
        <v>0</v>
      </c>
      <c r="K27" s="211">
        <f t="shared" si="1"/>
        <v>0</v>
      </c>
      <c r="L27" s="40">
        <f>'WTAX-AUX'!F14</f>
        <v>0</v>
      </c>
      <c r="M27" s="37">
        <f>'AUX - DEDS'!R26</f>
        <v>0</v>
      </c>
      <c r="N27" s="37">
        <f>'AUX - DEDS'!X26</f>
        <v>0</v>
      </c>
      <c r="O27" s="37">
        <f>'AUX - DEDS'!Y26</f>
        <v>0</v>
      </c>
      <c r="P27" s="37">
        <f>'AUX - DEDS'!AE26</f>
        <v>0</v>
      </c>
      <c r="Q27" s="38">
        <f t="shared" si="2"/>
        <v>0</v>
      </c>
      <c r="R27" s="49">
        <f t="shared" si="3"/>
        <v>0</v>
      </c>
      <c r="S27" s="76">
        <f t="shared" si="4"/>
        <v>0</v>
      </c>
      <c r="T27" s="77">
        <f t="shared" si="7"/>
        <v>0</v>
      </c>
      <c r="U27" s="33">
        <f t="shared" si="5"/>
        <v>7</v>
      </c>
      <c r="V27" s="36">
        <f>ROUND('AUX - PAY'!I27*0.12,2)</f>
        <v>0</v>
      </c>
      <c r="W27" s="37">
        <f t="shared" si="8"/>
        <v>100</v>
      </c>
      <c r="X27" s="37">
        <f>MIN((I27*0.05)-'AUX - DEDS'!Y26,2500)</f>
        <v>0</v>
      </c>
      <c r="Y27" s="41">
        <f t="shared" si="9"/>
        <v>200</v>
      </c>
    </row>
    <row r="28" spans="1:26" ht="18.75" customHeight="1" x14ac:dyDescent="0.25">
      <c r="A28" s="98"/>
      <c r="B28" s="33">
        <f t="shared" si="6"/>
        <v>8</v>
      </c>
      <c r="C28" s="72">
        <f>VLOOKUP(B28,'WTAX-AUX'!B:N,2,0)</f>
        <v>0</v>
      </c>
      <c r="D28" s="72" t="e">
        <f>VLOOKUP(C28,'WTAX-AUX'!C:O,2,0)</f>
        <v>#N/A</v>
      </c>
      <c r="E28" s="306">
        <f>VLOOKUP(B28,'WTAX-AUX'!B:N,4,0)</f>
        <v>0</v>
      </c>
      <c r="F28" s="86"/>
      <c r="G28" s="88"/>
      <c r="H28" s="88"/>
      <c r="I28" s="37">
        <f t="shared" si="0"/>
        <v>0</v>
      </c>
      <c r="J28" s="335">
        <f>'WTAX-AUX'!N15</f>
        <v>0</v>
      </c>
      <c r="K28" s="211">
        <f t="shared" si="1"/>
        <v>0</v>
      </c>
      <c r="L28" s="40">
        <f>'WTAX-AUX'!F15</f>
        <v>0</v>
      </c>
      <c r="M28" s="37">
        <f>'AUX - DEDS'!R27</f>
        <v>0</v>
      </c>
      <c r="N28" s="37">
        <f>'AUX - DEDS'!X27</f>
        <v>0</v>
      </c>
      <c r="O28" s="37">
        <f>'AUX - DEDS'!Y27</f>
        <v>0</v>
      </c>
      <c r="P28" s="37">
        <f>'AUX - DEDS'!AE27</f>
        <v>0</v>
      </c>
      <c r="Q28" s="38">
        <f t="shared" si="2"/>
        <v>0</v>
      </c>
      <c r="R28" s="49">
        <f t="shared" si="3"/>
        <v>0</v>
      </c>
      <c r="S28" s="76">
        <f t="shared" si="4"/>
        <v>0</v>
      </c>
      <c r="T28" s="77">
        <f t="shared" si="7"/>
        <v>0</v>
      </c>
      <c r="U28" s="33">
        <f t="shared" si="5"/>
        <v>8</v>
      </c>
      <c r="V28" s="36">
        <f>ROUND('AUX - PAY'!I28*0.12,2)</f>
        <v>0</v>
      </c>
      <c r="W28" s="37">
        <f t="shared" si="8"/>
        <v>100</v>
      </c>
      <c r="X28" s="37">
        <f>MIN((I28*0.05)-'AUX - DEDS'!Y27,2500)</f>
        <v>0</v>
      </c>
      <c r="Y28" s="41">
        <f t="shared" si="9"/>
        <v>200</v>
      </c>
    </row>
    <row r="29" spans="1:26" ht="18.75" customHeight="1" x14ac:dyDescent="0.25">
      <c r="A29" s="98"/>
      <c r="B29" s="33">
        <f t="shared" ref="B29:B38" si="10">+B18+1</f>
        <v>1</v>
      </c>
      <c r="C29" s="72">
        <f>VLOOKUP(B29,'WTAX-AUX'!B:N,2,0)</f>
        <v>0</v>
      </c>
      <c r="D29" s="72" t="e">
        <f>VLOOKUP(C29,'WTAX-AUX'!C:O,2,0)</f>
        <v>#N/A</v>
      </c>
      <c r="E29" s="306">
        <f>VLOOKUP(B29,'WTAX-AUX'!B:N,4,0)</f>
        <v>0</v>
      </c>
      <c r="F29" s="86"/>
      <c r="G29" s="88"/>
      <c r="H29" s="88"/>
      <c r="I29" s="37">
        <f t="shared" ref="I29:I38" si="11">SUM(F29:H29)</f>
        <v>0</v>
      </c>
      <c r="J29" s="335">
        <f>'WTAX-AUX'!N16</f>
        <v>0</v>
      </c>
      <c r="K29" s="211">
        <f t="shared" ref="K29:K38" si="12">ROUND(I29-J29,2)</f>
        <v>0</v>
      </c>
      <c r="L29" s="40">
        <f>'WTAX-AUX'!F16</f>
        <v>0</v>
      </c>
      <c r="M29" s="37">
        <f>'AUX - DEDS'!R18</f>
        <v>0</v>
      </c>
      <c r="N29" s="37">
        <f>'AUX - DEDS'!X18</f>
        <v>0</v>
      </c>
      <c r="O29" s="37">
        <f>'AUX - DEDS'!Y18</f>
        <v>0</v>
      </c>
      <c r="P29" s="37">
        <f>'AUX - DEDS'!AE18</f>
        <v>0</v>
      </c>
      <c r="Q29" s="38">
        <f t="shared" ref="Q29:Q38" si="13">ROUND(SUM(L29:P29),2)</f>
        <v>0</v>
      </c>
      <c r="R29" s="49">
        <f t="shared" ref="R29:R38" si="14">K29-Q29</f>
        <v>0</v>
      </c>
      <c r="S29" s="76">
        <f t="shared" ref="S29:S38" si="15">ROUND(R29/2,0)</f>
        <v>0</v>
      </c>
      <c r="T29" s="77">
        <f t="shared" ref="T29:T38" si="16">R29-S29</f>
        <v>0</v>
      </c>
      <c r="U29" s="33">
        <f t="shared" ref="U29:U38" si="17">B29</f>
        <v>1</v>
      </c>
      <c r="V29" s="36">
        <f>ROUND('AUX - PAY'!I29*0.12,2)</f>
        <v>0</v>
      </c>
      <c r="W29" s="37" t="str">
        <f t="shared" ref="W29:W38" si="18">W18</f>
        <v>EC</v>
      </c>
      <c r="X29" s="37">
        <f>MIN((I29*0.05)-'AUX - DEDS'!Y18,2500)</f>
        <v>0</v>
      </c>
      <c r="Y29" s="41" t="str">
        <f t="shared" ref="Y29:Y38" si="19">Y18</f>
        <v>PAG-IBIG</v>
      </c>
    </row>
    <row r="30" spans="1:26" ht="18.75" customHeight="1" x14ac:dyDescent="0.25">
      <c r="A30" s="98"/>
      <c r="B30" s="33">
        <f t="shared" si="10"/>
        <v>1</v>
      </c>
      <c r="C30" s="72">
        <f>VLOOKUP(B30,'WTAX-AUX'!B:N,2,0)</f>
        <v>0</v>
      </c>
      <c r="D30" s="72" t="e">
        <f>VLOOKUP(C30,'WTAX-AUX'!C:O,2,0)</f>
        <v>#N/A</v>
      </c>
      <c r="E30" s="306">
        <f>VLOOKUP(B30,'WTAX-AUX'!B:N,4,0)</f>
        <v>0</v>
      </c>
      <c r="F30" s="86"/>
      <c r="G30" s="88"/>
      <c r="H30" s="88"/>
      <c r="I30" s="37">
        <f t="shared" si="11"/>
        <v>0</v>
      </c>
      <c r="J30" s="335">
        <f>'WTAX-AUX'!N17</f>
        <v>0</v>
      </c>
      <c r="K30" s="211">
        <f t="shared" si="12"/>
        <v>0</v>
      </c>
      <c r="L30" s="40">
        <f>'WTAX-AUX'!F17</f>
        <v>0</v>
      </c>
      <c r="M30" s="37">
        <f>'AUX - DEDS'!R19</f>
        <v>0</v>
      </c>
      <c r="N30" s="37">
        <f>'AUX - DEDS'!X19</f>
        <v>0</v>
      </c>
      <c r="O30" s="37">
        <f>'AUX - DEDS'!Y19</f>
        <v>0</v>
      </c>
      <c r="P30" s="37">
        <f>'AUX - DEDS'!AE19</f>
        <v>0</v>
      </c>
      <c r="Q30" s="38">
        <f t="shared" si="13"/>
        <v>0</v>
      </c>
      <c r="R30" s="49">
        <f t="shared" si="14"/>
        <v>0</v>
      </c>
      <c r="S30" s="76">
        <f t="shared" si="15"/>
        <v>0</v>
      </c>
      <c r="T30" s="77">
        <f t="shared" si="16"/>
        <v>0</v>
      </c>
      <c r="U30" s="33">
        <f t="shared" si="17"/>
        <v>1</v>
      </c>
      <c r="V30" s="36">
        <f>ROUND('AUX - PAY'!I30*0.12,2)</f>
        <v>0</v>
      </c>
      <c r="W30" s="37">
        <f t="shared" si="18"/>
        <v>0</v>
      </c>
      <c r="X30" s="37">
        <f>MIN((I30*0.05)-'AUX - DEDS'!Y19,2500)</f>
        <v>0</v>
      </c>
      <c r="Y30" s="41">
        <f t="shared" si="19"/>
        <v>0</v>
      </c>
    </row>
    <row r="31" spans="1:26" ht="18.75" customHeight="1" x14ac:dyDescent="0.25">
      <c r="A31" s="98"/>
      <c r="B31" s="33">
        <f t="shared" si="10"/>
        <v>1</v>
      </c>
      <c r="C31" s="72">
        <f>VLOOKUP(B31,'WTAX-AUX'!B:N,2,0)</f>
        <v>0</v>
      </c>
      <c r="D31" s="72" t="e">
        <f>VLOOKUP(C31,'WTAX-AUX'!C:O,2,0)</f>
        <v>#N/A</v>
      </c>
      <c r="E31" s="306">
        <f>VLOOKUP(B31,'WTAX-AUX'!B:N,4,0)</f>
        <v>0</v>
      </c>
      <c r="F31" s="86"/>
      <c r="G31" s="88"/>
      <c r="H31" s="88"/>
      <c r="I31" s="37">
        <f t="shared" si="11"/>
        <v>0</v>
      </c>
      <c r="J31" s="335">
        <f>'WTAX-AUX'!N18</f>
        <v>0</v>
      </c>
      <c r="K31" s="211">
        <f t="shared" si="12"/>
        <v>0</v>
      </c>
      <c r="L31" s="40">
        <f>'WTAX-AUX'!F18</f>
        <v>0</v>
      </c>
      <c r="M31" s="37">
        <f>'AUX - DEDS'!R20</f>
        <v>0</v>
      </c>
      <c r="N31" s="37">
        <f>'AUX - DEDS'!X20</f>
        <v>0</v>
      </c>
      <c r="O31" s="37">
        <f>'AUX - DEDS'!Y20</f>
        <v>0</v>
      </c>
      <c r="P31" s="37">
        <f>'AUX - DEDS'!AE20</f>
        <v>0</v>
      </c>
      <c r="Q31" s="38">
        <f t="shared" si="13"/>
        <v>0</v>
      </c>
      <c r="R31" s="49">
        <f t="shared" si="14"/>
        <v>0</v>
      </c>
      <c r="S31" s="76">
        <f t="shared" si="15"/>
        <v>0</v>
      </c>
      <c r="T31" s="77">
        <f t="shared" si="16"/>
        <v>0</v>
      </c>
      <c r="U31" s="33">
        <f t="shared" si="17"/>
        <v>1</v>
      </c>
      <c r="V31" s="36">
        <f>ROUND('AUX - PAY'!I31*0.12,2)</f>
        <v>0</v>
      </c>
      <c r="W31" s="37">
        <f t="shared" si="18"/>
        <v>0</v>
      </c>
      <c r="X31" s="37">
        <f>MIN((I31*0.05)-'AUX - DEDS'!Y20,2500)</f>
        <v>0</v>
      </c>
      <c r="Y31" s="41">
        <f t="shared" si="19"/>
        <v>0</v>
      </c>
    </row>
    <row r="32" spans="1:26" ht="18.75" customHeight="1" x14ac:dyDescent="0.25">
      <c r="A32" s="98"/>
      <c r="B32" s="33">
        <f t="shared" si="10"/>
        <v>2</v>
      </c>
      <c r="C32" s="72">
        <f>VLOOKUP(B32,'WTAX-AUX'!B:N,2,0)</f>
        <v>0</v>
      </c>
      <c r="D32" s="72" t="e">
        <f>VLOOKUP(C32,'WTAX-AUX'!C:O,2,0)</f>
        <v>#N/A</v>
      </c>
      <c r="E32" s="306">
        <f>VLOOKUP(B32,'WTAX-AUX'!B:N,4,0)</f>
        <v>0</v>
      </c>
      <c r="F32" s="86"/>
      <c r="G32" s="88"/>
      <c r="H32" s="88"/>
      <c r="I32" s="37">
        <f t="shared" si="11"/>
        <v>0</v>
      </c>
      <c r="J32" s="335">
        <f>'WTAX-AUX'!N19</f>
        <v>0</v>
      </c>
      <c r="K32" s="211">
        <f t="shared" si="12"/>
        <v>0</v>
      </c>
      <c r="L32" s="40">
        <f>'WTAX-AUX'!F19</f>
        <v>0</v>
      </c>
      <c r="M32" s="37">
        <f>'AUX - DEDS'!R21</f>
        <v>0</v>
      </c>
      <c r="N32" s="37">
        <f>'AUX - DEDS'!X21</f>
        <v>0</v>
      </c>
      <c r="O32" s="37">
        <f>'AUX - DEDS'!Y21</f>
        <v>0</v>
      </c>
      <c r="P32" s="37">
        <f>'AUX - DEDS'!AE21</f>
        <v>0</v>
      </c>
      <c r="Q32" s="38">
        <f t="shared" si="13"/>
        <v>0</v>
      </c>
      <c r="R32" s="49">
        <f t="shared" si="14"/>
        <v>0</v>
      </c>
      <c r="S32" s="76">
        <f t="shared" si="15"/>
        <v>0</v>
      </c>
      <c r="T32" s="77">
        <f t="shared" si="16"/>
        <v>0</v>
      </c>
      <c r="U32" s="33">
        <f t="shared" si="17"/>
        <v>2</v>
      </c>
      <c r="V32" s="36">
        <f>ROUND('AUX - PAY'!I32*0.12,2)</f>
        <v>0</v>
      </c>
      <c r="W32" s="37">
        <f t="shared" si="18"/>
        <v>100</v>
      </c>
      <c r="X32" s="37">
        <f>MIN((I32*0.05)-'AUX - DEDS'!Y21,2500)</f>
        <v>0</v>
      </c>
      <c r="Y32" s="41">
        <f t="shared" si="19"/>
        <v>200</v>
      </c>
    </row>
    <row r="33" spans="1:26" ht="18.75" customHeight="1" x14ac:dyDescent="0.25">
      <c r="A33" s="98"/>
      <c r="B33" s="33">
        <f t="shared" si="10"/>
        <v>3</v>
      </c>
      <c r="C33" s="72">
        <f>VLOOKUP(B33,'WTAX-AUX'!B:N,2,0)</f>
        <v>0</v>
      </c>
      <c r="D33" s="72" t="e">
        <f>VLOOKUP(C33,'WTAX-AUX'!C:O,2,0)</f>
        <v>#N/A</v>
      </c>
      <c r="E33" s="306">
        <f>VLOOKUP(B33,'WTAX-AUX'!B:N,4,0)</f>
        <v>0</v>
      </c>
      <c r="F33" s="86"/>
      <c r="G33" s="88"/>
      <c r="H33" s="88"/>
      <c r="I33" s="37">
        <f t="shared" si="11"/>
        <v>0</v>
      </c>
      <c r="J33" s="335">
        <f>'WTAX-AUX'!N20</f>
        <v>0</v>
      </c>
      <c r="K33" s="211">
        <f t="shared" si="12"/>
        <v>0</v>
      </c>
      <c r="L33" s="40">
        <f>'WTAX-AUX'!F20</f>
        <v>0</v>
      </c>
      <c r="M33" s="37">
        <f>'AUX - DEDS'!R22</f>
        <v>0</v>
      </c>
      <c r="N33" s="37">
        <f>'AUX - DEDS'!X22</f>
        <v>0</v>
      </c>
      <c r="O33" s="37">
        <f>'AUX - DEDS'!Y22</f>
        <v>0</v>
      </c>
      <c r="P33" s="37">
        <f>'AUX - DEDS'!AE22</f>
        <v>0</v>
      </c>
      <c r="Q33" s="38">
        <f t="shared" si="13"/>
        <v>0</v>
      </c>
      <c r="R33" s="49">
        <f t="shared" si="14"/>
        <v>0</v>
      </c>
      <c r="S33" s="76">
        <f t="shared" si="15"/>
        <v>0</v>
      </c>
      <c r="T33" s="77">
        <f t="shared" si="16"/>
        <v>0</v>
      </c>
      <c r="U33" s="33">
        <f t="shared" si="17"/>
        <v>3</v>
      </c>
      <c r="V33" s="36">
        <f>ROUND('AUX - PAY'!I33*0.12,2)</f>
        <v>0</v>
      </c>
      <c r="W33" s="37">
        <f t="shared" si="18"/>
        <v>100</v>
      </c>
      <c r="X33" s="37">
        <f>MIN((I33*0.05)-'AUX - DEDS'!Y22,2500)</f>
        <v>0</v>
      </c>
      <c r="Y33" s="41">
        <f t="shared" si="19"/>
        <v>200</v>
      </c>
    </row>
    <row r="34" spans="1:26" ht="18.75" customHeight="1" x14ac:dyDescent="0.25">
      <c r="A34" s="98"/>
      <c r="B34" s="33">
        <f t="shared" si="10"/>
        <v>4</v>
      </c>
      <c r="C34" s="72">
        <f>VLOOKUP(B34,'WTAX-AUX'!B:N,2,0)</f>
        <v>0</v>
      </c>
      <c r="D34" s="72" t="e">
        <f>VLOOKUP(C34,'WTAX-AUX'!C:O,2,0)</f>
        <v>#N/A</v>
      </c>
      <c r="E34" s="306">
        <f>VLOOKUP(B34,'WTAX-AUX'!B:N,4,0)</f>
        <v>0</v>
      </c>
      <c r="F34" s="86"/>
      <c r="G34" s="88"/>
      <c r="H34" s="88"/>
      <c r="I34" s="37">
        <f t="shared" si="11"/>
        <v>0</v>
      </c>
      <c r="J34" s="335">
        <f>'WTAX-AUX'!N21</f>
        <v>0</v>
      </c>
      <c r="K34" s="211">
        <f t="shared" si="12"/>
        <v>0</v>
      </c>
      <c r="L34" s="40">
        <f>'WTAX-AUX'!F21</f>
        <v>0</v>
      </c>
      <c r="M34" s="37">
        <f>'AUX - DEDS'!R23</f>
        <v>0</v>
      </c>
      <c r="N34" s="37">
        <f>'AUX - DEDS'!X23</f>
        <v>0</v>
      </c>
      <c r="O34" s="37">
        <f>'AUX - DEDS'!Y23</f>
        <v>0</v>
      </c>
      <c r="P34" s="37">
        <f>'AUX - DEDS'!AE23</f>
        <v>0</v>
      </c>
      <c r="Q34" s="38">
        <f t="shared" si="13"/>
        <v>0</v>
      </c>
      <c r="R34" s="49">
        <f t="shared" si="14"/>
        <v>0</v>
      </c>
      <c r="S34" s="76">
        <f t="shared" si="15"/>
        <v>0</v>
      </c>
      <c r="T34" s="77">
        <f t="shared" si="16"/>
        <v>0</v>
      </c>
      <c r="U34" s="33">
        <f t="shared" si="17"/>
        <v>4</v>
      </c>
      <c r="V34" s="36">
        <f>ROUND('AUX - PAY'!I34*0.12,2)</f>
        <v>0</v>
      </c>
      <c r="W34" s="37">
        <f t="shared" si="18"/>
        <v>100</v>
      </c>
      <c r="X34" s="37">
        <f>MIN((I34*0.05)-'AUX - DEDS'!Y23,2500)</f>
        <v>0</v>
      </c>
      <c r="Y34" s="41">
        <f t="shared" si="19"/>
        <v>200</v>
      </c>
    </row>
    <row r="35" spans="1:26" ht="18.75" customHeight="1" x14ac:dyDescent="0.25">
      <c r="A35" s="98"/>
      <c r="B35" s="33">
        <f t="shared" si="10"/>
        <v>5</v>
      </c>
      <c r="C35" s="72">
        <f>VLOOKUP(B35,'WTAX-AUX'!B:N,2,0)</f>
        <v>0</v>
      </c>
      <c r="D35" s="72" t="e">
        <f>VLOOKUP(C35,'WTAX-AUX'!C:O,2,0)</f>
        <v>#N/A</v>
      </c>
      <c r="E35" s="306">
        <f>VLOOKUP(B35,'WTAX-AUX'!B:N,4,0)</f>
        <v>0</v>
      </c>
      <c r="F35" s="86"/>
      <c r="G35" s="88"/>
      <c r="H35" s="88"/>
      <c r="I35" s="37">
        <f t="shared" si="11"/>
        <v>0</v>
      </c>
      <c r="J35" s="335">
        <f>'WTAX-AUX'!N22</f>
        <v>0</v>
      </c>
      <c r="K35" s="211">
        <f t="shared" si="12"/>
        <v>0</v>
      </c>
      <c r="L35" s="40">
        <f>'WTAX-AUX'!F22</f>
        <v>0</v>
      </c>
      <c r="M35" s="37">
        <f>'AUX - DEDS'!R24</f>
        <v>0</v>
      </c>
      <c r="N35" s="37">
        <f>'AUX - DEDS'!X24</f>
        <v>0</v>
      </c>
      <c r="O35" s="37">
        <f>'AUX - DEDS'!Y24</f>
        <v>0</v>
      </c>
      <c r="P35" s="37">
        <f>'AUX - DEDS'!AE24</f>
        <v>0</v>
      </c>
      <c r="Q35" s="38">
        <f t="shared" si="13"/>
        <v>0</v>
      </c>
      <c r="R35" s="49">
        <f t="shared" si="14"/>
        <v>0</v>
      </c>
      <c r="S35" s="76">
        <f t="shared" si="15"/>
        <v>0</v>
      </c>
      <c r="T35" s="77">
        <f t="shared" si="16"/>
        <v>0</v>
      </c>
      <c r="U35" s="33">
        <f t="shared" si="17"/>
        <v>5</v>
      </c>
      <c r="V35" s="36">
        <f>ROUND('AUX - PAY'!I35*0.12,2)</f>
        <v>0</v>
      </c>
      <c r="W35" s="37">
        <f t="shared" si="18"/>
        <v>100</v>
      </c>
      <c r="X35" s="37">
        <f>MIN((I35*0.05)-'AUX - DEDS'!Y24,2500)</f>
        <v>0</v>
      </c>
      <c r="Y35" s="41">
        <f t="shared" si="19"/>
        <v>200</v>
      </c>
    </row>
    <row r="36" spans="1:26" ht="18.75" customHeight="1" x14ac:dyDescent="0.25">
      <c r="A36" s="98"/>
      <c r="B36" s="33">
        <f t="shared" si="10"/>
        <v>6</v>
      </c>
      <c r="C36" s="72">
        <f>VLOOKUP(B36,'WTAX-AUX'!B:N,2,0)</f>
        <v>0</v>
      </c>
      <c r="D36" s="72" t="e">
        <f>VLOOKUP(C36,'WTAX-AUX'!C:O,2,0)</f>
        <v>#N/A</v>
      </c>
      <c r="E36" s="306">
        <f>VLOOKUP(B36,'WTAX-AUX'!B:N,4,0)</f>
        <v>0</v>
      </c>
      <c r="F36" s="86"/>
      <c r="G36" s="88"/>
      <c r="H36" s="88"/>
      <c r="I36" s="37">
        <f t="shared" si="11"/>
        <v>0</v>
      </c>
      <c r="J36" s="335">
        <f>'WTAX-AUX'!N23</f>
        <v>0</v>
      </c>
      <c r="K36" s="211">
        <f t="shared" si="12"/>
        <v>0</v>
      </c>
      <c r="L36" s="40">
        <f>'WTAX-AUX'!F23</f>
        <v>0</v>
      </c>
      <c r="M36" s="37">
        <f>'AUX - DEDS'!R25</f>
        <v>0</v>
      </c>
      <c r="N36" s="37">
        <f>'AUX - DEDS'!X25</f>
        <v>0</v>
      </c>
      <c r="O36" s="37">
        <f>'AUX - DEDS'!Y25</f>
        <v>0</v>
      </c>
      <c r="P36" s="37">
        <f>'AUX - DEDS'!AE25</f>
        <v>0</v>
      </c>
      <c r="Q36" s="38">
        <f t="shared" si="13"/>
        <v>0</v>
      </c>
      <c r="R36" s="49">
        <f t="shared" si="14"/>
        <v>0</v>
      </c>
      <c r="S36" s="76">
        <f t="shared" si="15"/>
        <v>0</v>
      </c>
      <c r="T36" s="77">
        <f t="shared" si="16"/>
        <v>0</v>
      </c>
      <c r="U36" s="33">
        <f t="shared" si="17"/>
        <v>6</v>
      </c>
      <c r="V36" s="36">
        <f>ROUND('AUX - PAY'!I36*0.12,2)</f>
        <v>0</v>
      </c>
      <c r="W36" s="37">
        <f t="shared" si="18"/>
        <v>100</v>
      </c>
      <c r="X36" s="37">
        <f>MIN((I36*0.05)-'AUX - DEDS'!Y25,2500)</f>
        <v>0</v>
      </c>
      <c r="Y36" s="41">
        <f t="shared" si="19"/>
        <v>200</v>
      </c>
    </row>
    <row r="37" spans="1:26" ht="18.75" customHeight="1" x14ac:dyDescent="0.25">
      <c r="A37" s="98"/>
      <c r="B37" s="33">
        <f t="shared" si="10"/>
        <v>7</v>
      </c>
      <c r="C37" s="72">
        <f>VLOOKUP(B37,'WTAX-AUX'!B:N,2,0)</f>
        <v>0</v>
      </c>
      <c r="D37" s="72" t="e">
        <f>VLOOKUP(C37,'WTAX-AUX'!C:O,2,0)</f>
        <v>#N/A</v>
      </c>
      <c r="E37" s="306">
        <f>VLOOKUP(B37,'WTAX-AUX'!B:N,4,0)</f>
        <v>0</v>
      </c>
      <c r="F37" s="86"/>
      <c r="G37" s="88"/>
      <c r="H37" s="88"/>
      <c r="I37" s="37">
        <f t="shared" si="11"/>
        <v>0</v>
      </c>
      <c r="J37" s="335">
        <f>'WTAX-AUX'!N24</f>
        <v>0</v>
      </c>
      <c r="K37" s="211">
        <f t="shared" si="12"/>
        <v>0</v>
      </c>
      <c r="L37" s="40">
        <f>'WTAX-AUX'!F24</f>
        <v>0</v>
      </c>
      <c r="M37" s="37">
        <f>'AUX - DEDS'!R26</f>
        <v>0</v>
      </c>
      <c r="N37" s="37">
        <f>'AUX - DEDS'!X26</f>
        <v>0</v>
      </c>
      <c r="O37" s="37">
        <f>'AUX - DEDS'!Y26</f>
        <v>0</v>
      </c>
      <c r="P37" s="37">
        <f>'AUX - DEDS'!AE26</f>
        <v>0</v>
      </c>
      <c r="Q37" s="38">
        <f t="shared" si="13"/>
        <v>0</v>
      </c>
      <c r="R37" s="49">
        <f t="shared" si="14"/>
        <v>0</v>
      </c>
      <c r="S37" s="76">
        <f t="shared" si="15"/>
        <v>0</v>
      </c>
      <c r="T37" s="77">
        <f t="shared" si="16"/>
        <v>0</v>
      </c>
      <c r="U37" s="33">
        <f t="shared" si="17"/>
        <v>7</v>
      </c>
      <c r="V37" s="36">
        <f>ROUND('AUX - PAY'!I37*0.12,2)</f>
        <v>0</v>
      </c>
      <c r="W37" s="37">
        <f t="shared" si="18"/>
        <v>100</v>
      </c>
      <c r="X37" s="37">
        <f>MIN((I37*0.05)-'AUX - DEDS'!Y26,2500)</f>
        <v>0</v>
      </c>
      <c r="Y37" s="41">
        <f t="shared" si="19"/>
        <v>200</v>
      </c>
    </row>
    <row r="38" spans="1:26" ht="18.75" customHeight="1" x14ac:dyDescent="0.25">
      <c r="A38" s="98"/>
      <c r="B38" s="33">
        <f t="shared" si="10"/>
        <v>8</v>
      </c>
      <c r="C38" s="72">
        <f>VLOOKUP(B38,'WTAX-AUX'!B:N,2,0)</f>
        <v>0</v>
      </c>
      <c r="D38" s="72" t="e">
        <f>VLOOKUP(C38,'WTAX-AUX'!C:O,2,0)</f>
        <v>#N/A</v>
      </c>
      <c r="E38" s="306">
        <f>VLOOKUP(B38,'WTAX-AUX'!B:N,4,0)</f>
        <v>0</v>
      </c>
      <c r="F38" s="86"/>
      <c r="G38" s="88"/>
      <c r="H38" s="88"/>
      <c r="I38" s="37">
        <f t="shared" si="11"/>
        <v>0</v>
      </c>
      <c r="J38" s="335">
        <f>'WTAX-AUX'!N25</f>
        <v>0</v>
      </c>
      <c r="K38" s="211">
        <f t="shared" si="12"/>
        <v>0</v>
      </c>
      <c r="L38" s="40">
        <f>'WTAX-AUX'!F25</f>
        <v>0</v>
      </c>
      <c r="M38" s="37">
        <f>'AUX - DEDS'!R27</f>
        <v>0</v>
      </c>
      <c r="N38" s="37">
        <f>'AUX - DEDS'!X27</f>
        <v>0</v>
      </c>
      <c r="O38" s="37">
        <f>'AUX - DEDS'!Y27</f>
        <v>0</v>
      </c>
      <c r="P38" s="37">
        <f>'AUX - DEDS'!AE27</f>
        <v>0</v>
      </c>
      <c r="Q38" s="38">
        <f t="shared" si="13"/>
        <v>0</v>
      </c>
      <c r="R38" s="49">
        <f t="shared" si="14"/>
        <v>0</v>
      </c>
      <c r="S38" s="76">
        <f t="shared" si="15"/>
        <v>0</v>
      </c>
      <c r="T38" s="77">
        <f t="shared" si="16"/>
        <v>0</v>
      </c>
      <c r="U38" s="33">
        <f t="shared" si="17"/>
        <v>8</v>
      </c>
      <c r="V38" s="36">
        <f>ROUND('AUX - PAY'!I38*0.12,2)</f>
        <v>0</v>
      </c>
      <c r="W38" s="37">
        <f t="shared" si="18"/>
        <v>100</v>
      </c>
      <c r="X38" s="37">
        <f>MIN((I38*0.05)-'AUX - DEDS'!Y27,2500)</f>
        <v>0</v>
      </c>
      <c r="Y38" s="41">
        <f t="shared" si="19"/>
        <v>200</v>
      </c>
    </row>
    <row r="39" spans="1:26" ht="18.75" customHeight="1" x14ac:dyDescent="0.25">
      <c r="A39" s="98"/>
      <c r="B39" s="33">
        <f>+B28+1</f>
        <v>9</v>
      </c>
      <c r="C39" s="72">
        <f>VLOOKUP(B39,'WTAX-AUX'!B:N,2,0)</f>
        <v>0</v>
      </c>
      <c r="D39" s="72" t="e">
        <f>VLOOKUP(C39,'WTAX-AUX'!C:O,2,0)</f>
        <v>#N/A</v>
      </c>
      <c r="E39" s="306">
        <f>VLOOKUP(B39,'WTAX-AUX'!B:N,4,0)</f>
        <v>0</v>
      </c>
      <c r="F39" s="86"/>
      <c r="G39" s="88"/>
      <c r="H39" s="88"/>
      <c r="I39" s="37">
        <f t="shared" si="0"/>
        <v>0</v>
      </c>
      <c r="J39" s="335">
        <f>'WTAX-AUX'!N26</f>
        <v>0</v>
      </c>
      <c r="K39" s="211">
        <f t="shared" si="1"/>
        <v>0</v>
      </c>
      <c r="L39" s="40">
        <f>'WTAX-AUX'!F26</f>
        <v>0</v>
      </c>
      <c r="M39" s="37">
        <f>'AUX - DEDS'!R38</f>
        <v>0</v>
      </c>
      <c r="N39" s="37">
        <f>'AUX - DEDS'!X38</f>
        <v>0</v>
      </c>
      <c r="O39" s="37">
        <f>'AUX - DEDS'!Y38</f>
        <v>0</v>
      </c>
      <c r="P39" s="37">
        <f>'AUX - DEDS'!AE38</f>
        <v>0</v>
      </c>
      <c r="Q39" s="38">
        <f t="shared" si="2"/>
        <v>0</v>
      </c>
      <c r="R39" s="49">
        <f t="shared" si="3"/>
        <v>0</v>
      </c>
      <c r="S39" s="76">
        <f t="shared" si="4"/>
        <v>0</v>
      </c>
      <c r="T39" s="77">
        <f t="shared" si="7"/>
        <v>0</v>
      </c>
      <c r="U39" s="33">
        <f t="shared" si="5"/>
        <v>9</v>
      </c>
      <c r="V39" s="36">
        <f>ROUND('AUX - PAY'!I39*0.12,2)</f>
        <v>0</v>
      </c>
      <c r="W39" s="37">
        <f>W28</f>
        <v>100</v>
      </c>
      <c r="X39" s="37">
        <f>MIN((I39*0.05)-'AUX - DEDS'!Y38,2500)</f>
        <v>0</v>
      </c>
      <c r="Y39" s="41">
        <f>Y28</f>
        <v>200</v>
      </c>
    </row>
    <row r="40" spans="1:26" ht="18.75" customHeight="1" x14ac:dyDescent="0.25">
      <c r="A40" s="98"/>
      <c r="B40" s="63"/>
      <c r="C40" s="64"/>
      <c r="D40" s="64"/>
      <c r="E40" s="63"/>
      <c r="F40" s="89"/>
      <c r="G40" s="91"/>
      <c r="H40" s="91"/>
      <c r="I40" s="66"/>
      <c r="J40" s="336"/>
      <c r="K40" s="212"/>
      <c r="L40" s="68"/>
      <c r="M40" s="66"/>
      <c r="N40" s="66"/>
      <c r="O40" s="66"/>
      <c r="P40" s="66"/>
      <c r="Q40" s="69"/>
      <c r="R40" s="70"/>
      <c r="S40" s="68"/>
      <c r="T40" s="71"/>
      <c r="U40" s="63"/>
      <c r="V40" s="65"/>
      <c r="W40" s="66"/>
      <c r="X40" s="66"/>
      <c r="Y40" s="71"/>
    </row>
    <row r="41" spans="1:26" ht="18.75" customHeight="1" thickBot="1" x14ac:dyDescent="0.3">
      <c r="A41" s="98"/>
      <c r="B41" s="64"/>
      <c r="C41" s="64"/>
      <c r="D41" s="64"/>
      <c r="E41" s="63"/>
      <c r="F41" s="92">
        <f>SUM(F21:F40)</f>
        <v>0</v>
      </c>
      <c r="G41" s="93"/>
      <c r="H41" s="93">
        <f t="shared" ref="H41:T41" si="20">SUM(H21:H40)</f>
        <v>0</v>
      </c>
      <c r="I41" s="79">
        <f t="shared" si="20"/>
        <v>0</v>
      </c>
      <c r="J41" s="337">
        <f t="shared" si="20"/>
        <v>0</v>
      </c>
      <c r="K41" s="213">
        <f t="shared" si="20"/>
        <v>0</v>
      </c>
      <c r="L41" s="155">
        <f t="shared" si="20"/>
        <v>0</v>
      </c>
      <c r="M41" s="152">
        <f t="shared" si="20"/>
        <v>0</v>
      </c>
      <c r="N41" s="152">
        <f t="shared" si="20"/>
        <v>0</v>
      </c>
      <c r="O41" s="152">
        <f t="shared" si="20"/>
        <v>0</v>
      </c>
      <c r="P41" s="152">
        <f t="shared" si="20"/>
        <v>0</v>
      </c>
      <c r="Q41" s="153">
        <f t="shared" si="20"/>
        <v>0</v>
      </c>
      <c r="R41" s="154">
        <f t="shared" si="20"/>
        <v>0</v>
      </c>
      <c r="S41" s="155">
        <f t="shared" si="20"/>
        <v>0</v>
      </c>
      <c r="T41" s="156">
        <f t="shared" si="20"/>
        <v>0</v>
      </c>
      <c r="U41" s="63"/>
      <c r="V41" s="157">
        <f>SUM(V21:V40)</f>
        <v>0</v>
      </c>
      <c r="W41" s="152">
        <f>SUM(W21:W40)</f>
        <v>1600</v>
      </c>
      <c r="X41" s="152">
        <f>SUM(X21:X40)</f>
        <v>0</v>
      </c>
      <c r="Y41" s="156">
        <f>SUM(Y21:Y40)</f>
        <v>3200</v>
      </c>
    </row>
    <row r="42" spans="1:26" ht="21" customHeight="1" thickBot="1" x14ac:dyDescent="0.3">
      <c r="A42" s="98"/>
      <c r="B42" s="1" t="s">
        <v>21</v>
      </c>
      <c r="C42" s="854" t="s">
        <v>104</v>
      </c>
      <c r="D42" s="855"/>
      <c r="E42" s="855"/>
      <c r="F42" s="855"/>
      <c r="G42" s="855"/>
      <c r="H42" s="167"/>
      <c r="I42" s="167"/>
      <c r="J42" s="158"/>
      <c r="K42" s="158"/>
      <c r="L42" s="158"/>
      <c r="M42" s="158"/>
      <c r="N42" s="159"/>
      <c r="O42" s="1" t="s">
        <v>23</v>
      </c>
      <c r="P42" s="170" t="s">
        <v>89</v>
      </c>
      <c r="Q42" s="158"/>
      <c r="R42" s="158"/>
      <c r="S42" s="875"/>
      <c r="T42" s="875"/>
      <c r="U42" s="875"/>
      <c r="V42" s="875"/>
      <c r="W42" s="875"/>
      <c r="X42" s="875"/>
      <c r="Y42" s="876"/>
    </row>
    <row r="43" spans="1:26" ht="30.75" customHeight="1" x14ac:dyDescent="0.25">
      <c r="A43" s="98"/>
      <c r="B43" s="17" t="s">
        <v>22</v>
      </c>
      <c r="D43" s="8"/>
      <c r="E43" s="50"/>
      <c r="F43" s="8"/>
      <c r="G43" s="8"/>
      <c r="H43" s="8"/>
      <c r="I43" s="160"/>
      <c r="J43" s="160"/>
      <c r="K43" s="160"/>
      <c r="L43" s="160"/>
      <c r="M43" s="160"/>
      <c r="N43" s="147"/>
      <c r="O43" s="870" t="e" cm="1">
        <f t="array" aca="1" ref="O43" ca="1">PesosInWords2Caps(W43)</f>
        <v>#NAME?</v>
      </c>
      <c r="P43" s="871"/>
      <c r="Q43" s="871"/>
      <c r="R43" s="871"/>
      <c r="S43" s="871"/>
      <c r="T43" s="871"/>
      <c r="U43" s="871"/>
      <c r="V43" s="871"/>
      <c r="W43" s="868">
        <f>S41</f>
        <v>0</v>
      </c>
      <c r="X43" s="868"/>
      <c r="Y43" s="869"/>
    </row>
    <row r="44" spans="1:26" ht="21.75" customHeight="1" x14ac:dyDescent="0.25">
      <c r="A44" s="98"/>
      <c r="B44" s="17"/>
      <c r="C44" s="8"/>
      <c r="D44" s="8"/>
      <c r="E44" s="50"/>
      <c r="F44" s="8"/>
      <c r="G44" s="8"/>
      <c r="H44" s="8"/>
      <c r="I44" s="8"/>
      <c r="J44" s="8"/>
      <c r="K44" s="8"/>
      <c r="L44" s="8"/>
      <c r="M44" s="8"/>
      <c r="N44" s="18"/>
      <c r="O44" s="25"/>
      <c r="P44" s="8"/>
      <c r="Q44" s="8"/>
      <c r="R44" s="8"/>
      <c r="S44" s="9"/>
      <c r="T44" s="9"/>
      <c r="U44" s="6"/>
      <c r="V44" s="9"/>
      <c r="W44" s="9"/>
      <c r="X44" s="9"/>
      <c r="Y44" s="19"/>
    </row>
    <row r="45" spans="1:26" ht="21.75" customHeight="1" x14ac:dyDescent="0.25">
      <c r="A45" s="98"/>
      <c r="B45" s="17"/>
      <c r="N45" s="56"/>
      <c r="O45" s="149"/>
      <c r="P45" s="50"/>
      <c r="U45" s="6"/>
      <c r="Y45" s="19"/>
    </row>
    <row r="46" spans="1:26" ht="16.5" customHeight="1" x14ac:dyDescent="0.25">
      <c r="A46" s="98"/>
      <c r="B46" s="17"/>
      <c r="C46" s="820" t="s">
        <v>47</v>
      </c>
      <c r="D46" s="820"/>
      <c r="E46" s="325"/>
      <c r="F46" s="342">
        <f ca="1">NOW()</f>
        <v>46275.505203009256</v>
      </c>
      <c r="G46" s="164"/>
      <c r="H46" s="820" t="s">
        <v>95</v>
      </c>
      <c r="I46" s="820"/>
      <c r="J46" s="820"/>
      <c r="K46" s="820"/>
      <c r="L46" s="8"/>
      <c r="M46" s="342">
        <f ca="1">NOW()</f>
        <v>46275.505203009256</v>
      </c>
      <c r="N46" s="165"/>
      <c r="O46" s="161"/>
      <c r="P46" s="51"/>
      <c r="Q46" s="820" t="s">
        <v>97</v>
      </c>
      <c r="R46" s="820"/>
      <c r="S46" s="820"/>
      <c r="U46" s="6"/>
      <c r="V46" s="839"/>
      <c r="W46" s="839"/>
      <c r="X46" s="839"/>
      <c r="Y46" s="19"/>
    </row>
    <row r="47" spans="1:26" ht="15.75" x14ac:dyDescent="0.25">
      <c r="A47" s="98"/>
      <c r="B47" s="17"/>
      <c r="C47" s="827" t="s">
        <v>93</v>
      </c>
      <c r="D47" s="827"/>
      <c r="E47" s="6"/>
      <c r="F47" s="171" t="s">
        <v>29</v>
      </c>
      <c r="G47" s="9"/>
      <c r="H47" s="827" t="s">
        <v>94</v>
      </c>
      <c r="I47" s="827"/>
      <c r="J47" s="827"/>
      <c r="K47" s="827"/>
      <c r="L47" s="9"/>
      <c r="M47" s="171" t="s">
        <v>29</v>
      </c>
      <c r="N47" s="172"/>
      <c r="O47" s="161"/>
      <c r="P47" s="51"/>
      <c r="Q47" s="827" t="s">
        <v>96</v>
      </c>
      <c r="R47" s="827"/>
      <c r="S47" s="827"/>
      <c r="T47" s="9"/>
      <c r="U47" s="6"/>
      <c r="V47" s="840" t="s">
        <v>29</v>
      </c>
      <c r="W47" s="840"/>
      <c r="X47" s="840"/>
      <c r="Y47" s="19"/>
    </row>
    <row r="48" spans="1:26" ht="16.5" thickBot="1" x14ac:dyDescent="0.3">
      <c r="A48" s="98"/>
      <c r="B48" s="20"/>
      <c r="C48" s="21"/>
      <c r="D48" s="21"/>
      <c r="E48" s="326"/>
      <c r="F48" s="21"/>
      <c r="G48" s="21"/>
      <c r="H48" s="21"/>
      <c r="I48" s="21"/>
      <c r="J48" s="29"/>
      <c r="K48" s="29"/>
      <c r="L48" s="29"/>
      <c r="M48" s="29"/>
      <c r="N48" s="168"/>
      <c r="O48" s="162"/>
      <c r="P48" s="22"/>
      <c r="Q48" s="30"/>
      <c r="R48" s="30"/>
      <c r="S48" s="30"/>
      <c r="T48" s="10"/>
      <c r="U48" s="54"/>
      <c r="V48" s="10"/>
      <c r="W48" s="10"/>
      <c r="X48" s="10"/>
      <c r="Y48" s="23"/>
      <c r="Z48" s="842"/>
    </row>
    <row r="49" spans="1:26" ht="21" customHeight="1" thickBot="1" x14ac:dyDescent="0.3">
      <c r="A49" s="98"/>
      <c r="B49" s="1" t="s">
        <v>24</v>
      </c>
      <c r="C49" s="818" t="s">
        <v>105</v>
      </c>
      <c r="D49" s="818" t="s">
        <v>100</v>
      </c>
      <c r="E49" s="818"/>
      <c r="F49" s="818"/>
      <c r="G49" s="818"/>
      <c r="H49" s="818"/>
      <c r="I49" s="818"/>
      <c r="J49" s="818"/>
      <c r="K49" s="818"/>
      <c r="L49" s="828">
        <f>S41</f>
        <v>0</v>
      </c>
      <c r="M49" s="828"/>
      <c r="N49" s="829"/>
      <c r="O49" s="1" t="s">
        <v>25</v>
      </c>
      <c r="P49" s="835" t="s">
        <v>35</v>
      </c>
      <c r="Q49" s="835"/>
      <c r="R49" s="835"/>
      <c r="S49" s="835"/>
      <c r="T49" s="836"/>
      <c r="U49" s="1" t="s">
        <v>27</v>
      </c>
      <c r="V49" s="148"/>
      <c r="W49" s="148"/>
      <c r="X49" s="148"/>
      <c r="Y49" s="24"/>
      <c r="Z49" s="843"/>
    </row>
    <row r="50" spans="1:26" ht="30.75" customHeight="1" x14ac:dyDescent="0.25">
      <c r="A50" s="98"/>
      <c r="B50" s="17" t="s">
        <v>26</v>
      </c>
      <c r="C50" s="819"/>
      <c r="D50" s="819"/>
      <c r="E50" s="819"/>
      <c r="F50" s="819"/>
      <c r="G50" s="819"/>
      <c r="H50" s="819"/>
      <c r="I50" s="819"/>
      <c r="J50" s="819"/>
      <c r="K50" s="819"/>
      <c r="L50" s="830"/>
      <c r="M50" s="830"/>
      <c r="N50" s="831"/>
      <c r="O50" s="25"/>
      <c r="P50" s="837"/>
      <c r="Q50" s="837"/>
      <c r="R50" s="837"/>
      <c r="S50" s="837"/>
      <c r="T50" s="838"/>
      <c r="U50" s="149"/>
      <c r="V50" s="61" t="s">
        <v>90</v>
      </c>
      <c r="W50" s="820" t="str">
        <f>'GEN.AD - PAY'!$W$172</f>
        <v>01-101101-2026-01-0003</v>
      </c>
      <c r="X50" s="820"/>
      <c r="Y50" s="822"/>
      <c r="Z50" s="843"/>
    </row>
    <row r="51" spans="1:26" ht="24.95" customHeight="1" x14ac:dyDescent="0.25">
      <c r="A51" s="98"/>
      <c r="B51" s="17"/>
      <c r="C51" s="8" t="s">
        <v>28</v>
      </c>
      <c r="D51" s="8"/>
      <c r="E51" s="50"/>
      <c r="F51" s="8"/>
      <c r="G51" s="8"/>
      <c r="H51" s="8"/>
      <c r="I51" s="8"/>
      <c r="J51" s="8"/>
      <c r="K51" s="8"/>
      <c r="L51" s="8"/>
      <c r="M51" s="8"/>
      <c r="N51" s="18"/>
      <c r="O51" s="25"/>
      <c r="P51" s="8"/>
      <c r="T51" s="26"/>
      <c r="U51" s="150"/>
      <c r="V51" s="61" t="s">
        <v>91</v>
      </c>
      <c r="W51" s="918">
        <f>'GEN.AD - PAY'!$W$173</f>
        <v>46038</v>
      </c>
      <c r="X51" s="918"/>
      <c r="Y51" s="919"/>
      <c r="Z51" s="843"/>
    </row>
    <row r="52" spans="1:26" ht="24.95" customHeight="1" x14ac:dyDescent="0.25">
      <c r="A52" s="98"/>
      <c r="B52" s="17"/>
      <c r="E52" s="820" t="s">
        <v>102</v>
      </c>
      <c r="F52" s="820"/>
      <c r="G52" s="820"/>
      <c r="H52" s="820"/>
      <c r="I52" s="820"/>
      <c r="K52" s="821"/>
      <c r="L52" s="821"/>
      <c r="M52" s="8"/>
      <c r="N52" s="18"/>
      <c r="O52" s="25"/>
      <c r="P52" s="820" t="s">
        <v>99</v>
      </c>
      <c r="Q52" s="820"/>
      <c r="R52" s="820"/>
      <c r="S52" s="820"/>
      <c r="T52" s="26"/>
      <c r="U52" s="149"/>
      <c r="V52" s="61" t="s">
        <v>92</v>
      </c>
      <c r="W52" s="820" t="str">
        <f>'GEN.AD - PAY'!$W$174</f>
        <v>01-2026-01-0019</v>
      </c>
      <c r="X52" s="820"/>
      <c r="Y52" s="822"/>
      <c r="Z52" s="843"/>
    </row>
    <row r="53" spans="1:26" ht="24.95" customHeight="1" x14ac:dyDescent="0.25">
      <c r="A53" s="98"/>
      <c r="B53" s="17"/>
      <c r="E53" s="881" t="s">
        <v>101</v>
      </c>
      <c r="F53" s="881"/>
      <c r="G53" s="881"/>
      <c r="H53" s="881"/>
      <c r="I53" s="881"/>
      <c r="J53" s="9"/>
      <c r="K53" s="889" t="s">
        <v>29</v>
      </c>
      <c r="L53" s="889"/>
      <c r="M53" s="27"/>
      <c r="N53" s="165"/>
      <c r="O53" s="161"/>
      <c r="P53" s="827" t="s">
        <v>98</v>
      </c>
      <c r="Q53" s="827"/>
      <c r="R53" s="827"/>
      <c r="S53" s="827"/>
      <c r="T53" s="26"/>
      <c r="U53" s="150"/>
      <c r="V53" s="61" t="s">
        <v>91</v>
      </c>
      <c r="W53" s="918">
        <f>'GEN.AD - PAY'!$W$175</f>
        <v>46038</v>
      </c>
      <c r="X53" s="918"/>
      <c r="Y53" s="919"/>
      <c r="Z53" s="28"/>
    </row>
    <row r="54" spans="1:26" ht="16.5" thickBot="1" x14ac:dyDescent="0.3">
      <c r="A54" s="98"/>
      <c r="B54" s="20"/>
      <c r="C54" s="29"/>
      <c r="D54" s="29"/>
      <c r="E54" s="880"/>
      <c r="F54" s="880"/>
      <c r="G54" s="880"/>
      <c r="H54" s="880"/>
      <c r="I54" s="29"/>
      <c r="J54" s="30"/>
      <c r="K54" s="30"/>
      <c r="L54" s="30"/>
      <c r="M54" s="30"/>
      <c r="N54" s="168"/>
      <c r="O54" s="162"/>
      <c r="P54" s="30"/>
      <c r="Q54" s="30"/>
      <c r="R54" s="30"/>
      <c r="S54" s="30"/>
      <c r="T54" s="23"/>
      <c r="U54" s="151"/>
      <c r="V54" s="10"/>
      <c r="W54" s="10"/>
      <c r="X54" s="10"/>
      <c r="Y54" s="23"/>
    </row>
    <row r="56" spans="1:26" x14ac:dyDescent="0.25">
      <c r="C56" s="32"/>
    </row>
    <row r="57" spans="1:26" x14ac:dyDescent="0.25">
      <c r="C57" s="32"/>
    </row>
    <row r="58" spans="1:26" x14ac:dyDescent="0.25">
      <c r="C58" s="32"/>
    </row>
    <row r="59" spans="1:26" x14ac:dyDescent="0.25">
      <c r="C59" s="32"/>
    </row>
    <row r="60" spans="1:26" x14ac:dyDescent="0.25">
      <c r="C60" s="32"/>
    </row>
  </sheetData>
  <mergeCells count="68">
    <mergeCell ref="B15:Y15"/>
    <mergeCell ref="B11:Y11"/>
    <mergeCell ref="X2:Y2"/>
    <mergeCell ref="B3:Y3"/>
    <mergeCell ref="B4:Y4"/>
    <mergeCell ref="B5:Y5"/>
    <mergeCell ref="B6:Y6"/>
    <mergeCell ref="B8:Y8"/>
    <mergeCell ref="B9:Y9"/>
    <mergeCell ref="B10:Y10"/>
    <mergeCell ref="D12:D14"/>
    <mergeCell ref="B13:C13"/>
    <mergeCell ref="W13:Y13"/>
    <mergeCell ref="B17:B19"/>
    <mergeCell ref="C17:C19"/>
    <mergeCell ref="D17:D19"/>
    <mergeCell ref="E17:E19"/>
    <mergeCell ref="L18:L19"/>
    <mergeCell ref="Z48:Z52"/>
    <mergeCell ref="C49:C50"/>
    <mergeCell ref="D49:K50"/>
    <mergeCell ref="L49:N50"/>
    <mergeCell ref="P49:T50"/>
    <mergeCell ref="W50:Y50"/>
    <mergeCell ref="W51:Y51"/>
    <mergeCell ref="K52:L52"/>
    <mergeCell ref="P52:S52"/>
    <mergeCell ref="W52:Y52"/>
    <mergeCell ref="P53:S53"/>
    <mergeCell ref="W53:Y53"/>
    <mergeCell ref="L17:Q17"/>
    <mergeCell ref="O43:V43"/>
    <mergeCell ref="C47:D47"/>
    <mergeCell ref="H47:K47"/>
    <mergeCell ref="Q47:S47"/>
    <mergeCell ref="V47:X47"/>
    <mergeCell ref="C46:D46"/>
    <mergeCell ref="H46:K46"/>
    <mergeCell ref="Q46:S46"/>
    <mergeCell ref="V46:X46"/>
    <mergeCell ref="P18:P19"/>
    <mergeCell ref="Q18:Q19"/>
    <mergeCell ref="V18:V19"/>
    <mergeCell ref="W18:W19"/>
    <mergeCell ref="S42:Y42"/>
    <mergeCell ref="W43:Y43"/>
    <mergeCell ref="Y18:Y19"/>
    <mergeCell ref="H18:H19"/>
    <mergeCell ref="I18:I19"/>
    <mergeCell ref="K18:K19"/>
    <mergeCell ref="M18:M19"/>
    <mergeCell ref="N18:N19"/>
    <mergeCell ref="O18:O19"/>
    <mergeCell ref="X18:X19"/>
    <mergeCell ref="R17:R19"/>
    <mergeCell ref="S17:S19"/>
    <mergeCell ref="T17:T19"/>
    <mergeCell ref="U17:U19"/>
    <mergeCell ref="V17:Y17"/>
    <mergeCell ref="E54:H54"/>
    <mergeCell ref="J18:J19"/>
    <mergeCell ref="E52:I52"/>
    <mergeCell ref="E53:I53"/>
    <mergeCell ref="F17:K17"/>
    <mergeCell ref="C42:G42"/>
    <mergeCell ref="K53:L53"/>
    <mergeCell ref="F18:F19"/>
    <mergeCell ref="G18:G19"/>
  </mergeCells>
  <conditionalFormatting sqref="S21:T39">
    <cfRule type="cellIs" dxfId="14" priority="1" stopIfTrue="1" operator="equal">
      <formula>2500</formula>
    </cfRule>
  </conditionalFormatting>
  <printOptions horizontalCentered="1"/>
  <pageMargins left="0.39370078740157483" right="0.39370078740157483" top="0.39370078740157483" bottom="0.19685039370078741" header="0" footer="0"/>
  <pageSetup paperSize="14" scale="52" fitToHeight="0" orientation="landscape" r:id="rId1"/>
  <headerFooter alignWithMargins="0">
    <oddHeader>&amp;R
&amp;16Sheet &amp;"Times New Roman,Bold"&amp;U&amp;P&amp;"Times New Roman,Regular"&amp;U of &amp;"Times New Roman,Bold"&amp;U&amp;N&amp;"Times New Roman,Regular"&amp;U Sheet/s</oddHead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rgb="FFFFC000"/>
    <pageSetUpPr fitToPage="1"/>
  </sheetPr>
  <dimension ref="A1:AG46"/>
  <sheetViews>
    <sheetView showWhiteSpace="0" topLeftCell="A15" zoomScaleNormal="100" zoomScaleSheetLayoutView="100" workbookViewId="0">
      <pane xSplit="6" ySplit="4" topLeftCell="G19" activePane="bottomRight" state="frozen"/>
      <selection activeCell="W48" sqref="W48:Y51"/>
      <selection pane="topRight" activeCell="W48" sqref="W48:Y51"/>
      <selection pane="bottomLeft" activeCell="W48" sqref="W48:Y51"/>
      <selection pane="bottomRight" activeCell="D24" sqref="D24"/>
    </sheetView>
  </sheetViews>
  <sheetFormatPr defaultRowHeight="30.75" x14ac:dyDescent="0.25"/>
  <cols>
    <col min="1" max="1" width="9.375" style="31" customWidth="1"/>
    <col min="2" max="2" width="6.75" style="4" customWidth="1"/>
    <col min="3" max="3" width="24.625" style="4" customWidth="1"/>
    <col min="4" max="4" width="12.875" style="4" customWidth="1"/>
    <col min="5" max="5" width="9.625" style="57" customWidth="1"/>
    <col min="6" max="6" width="10.875" style="4" customWidth="1"/>
    <col min="7" max="7" width="12" style="4" customWidth="1"/>
    <col min="8" max="12" width="10.625" style="4" customWidth="1"/>
    <col min="13" max="13" width="12.25" style="4" customWidth="1"/>
    <col min="14" max="17" width="10.625" style="4" customWidth="1"/>
    <col min="18" max="18" width="11.75" style="4" customWidth="1"/>
    <col min="19" max="19" width="11.25" style="4" customWidth="1"/>
    <col min="20" max="20" width="10.625" style="4" customWidth="1"/>
    <col min="21" max="21" width="10.75" style="4" customWidth="1"/>
    <col min="22" max="23" width="9.875" style="4" customWidth="1"/>
    <col min="24" max="24" width="11.125" style="4" customWidth="1"/>
    <col min="25" max="25" width="10.875" style="4" customWidth="1"/>
    <col min="26" max="26" width="12.375" style="4" customWidth="1"/>
    <col min="27" max="27" width="10.625" style="4" customWidth="1"/>
    <col min="28" max="28" width="11.25" style="4" customWidth="1"/>
    <col min="29" max="30" width="9.875" style="4" customWidth="1"/>
    <col min="31" max="31" width="11.5" style="4" customWidth="1"/>
    <col min="32" max="32" width="13.875" style="4" customWidth="1"/>
    <col min="33" max="33" width="10.375" style="4" bestFit="1" customWidth="1"/>
    <col min="34" max="16384" width="9" style="4"/>
  </cols>
  <sheetData>
    <row r="1" spans="1:33" ht="23.25" customHeight="1" x14ac:dyDescent="0.25">
      <c r="A1" s="98">
        <v>94</v>
      </c>
      <c r="F1" s="5"/>
      <c r="X1" s="5"/>
      <c r="Y1" s="5"/>
      <c r="AE1" s="5"/>
      <c r="AF1" s="3"/>
    </row>
    <row r="2" spans="1:33" ht="23.25" x14ac:dyDescent="0.25">
      <c r="A2" s="98"/>
      <c r="F2" s="5"/>
      <c r="X2" s="5"/>
      <c r="Y2" s="5"/>
      <c r="AE2" s="864" t="s">
        <v>40</v>
      </c>
      <c r="AF2" s="864"/>
    </row>
    <row r="3" spans="1:33" ht="15.75" customHeight="1" x14ac:dyDescent="0.25">
      <c r="A3" s="98"/>
      <c r="B3" s="877" t="s">
        <v>42</v>
      </c>
      <c r="C3" s="877"/>
      <c r="D3" s="877"/>
      <c r="E3" s="877"/>
      <c r="F3" s="877"/>
      <c r="G3" s="877"/>
      <c r="H3" s="877"/>
      <c r="I3" s="877"/>
      <c r="J3" s="877"/>
      <c r="K3" s="877"/>
      <c r="L3" s="877"/>
      <c r="M3" s="877"/>
      <c r="N3" s="877"/>
      <c r="O3" s="877"/>
      <c r="P3" s="877"/>
      <c r="Q3" s="877"/>
      <c r="R3" s="877"/>
      <c r="S3" s="877"/>
      <c r="T3" s="877"/>
      <c r="U3" s="877"/>
      <c r="V3" s="877"/>
      <c r="W3" s="877"/>
      <c r="X3" s="877"/>
      <c r="Y3" s="877"/>
      <c r="Z3" s="877"/>
      <c r="AA3" s="877"/>
      <c r="AB3" s="877"/>
      <c r="AC3" s="877"/>
      <c r="AD3" s="877"/>
      <c r="AE3" s="877"/>
      <c r="AF3" s="877"/>
    </row>
    <row r="4" spans="1:33" ht="15.75" customHeight="1" x14ac:dyDescent="0.25">
      <c r="A4" s="98"/>
      <c r="B4" s="878" t="s">
        <v>43</v>
      </c>
      <c r="C4" s="878"/>
      <c r="D4" s="878"/>
      <c r="E4" s="878"/>
      <c r="F4" s="878"/>
      <c r="G4" s="878"/>
      <c r="H4" s="878"/>
      <c r="I4" s="878"/>
      <c r="J4" s="878"/>
      <c r="K4" s="878"/>
      <c r="L4" s="878"/>
      <c r="M4" s="878"/>
      <c r="N4" s="878"/>
      <c r="O4" s="878"/>
      <c r="P4" s="878"/>
      <c r="Q4" s="878"/>
      <c r="R4" s="878"/>
      <c r="S4" s="878"/>
      <c r="T4" s="878"/>
      <c r="U4" s="878"/>
      <c r="V4" s="878"/>
      <c r="W4" s="878"/>
      <c r="X4" s="878"/>
      <c r="Y4" s="878"/>
      <c r="Z4" s="878"/>
      <c r="AA4" s="878"/>
      <c r="AB4" s="878"/>
      <c r="AC4" s="878"/>
      <c r="AD4" s="878"/>
      <c r="AE4" s="878"/>
      <c r="AF4" s="878"/>
    </row>
    <row r="5" spans="1:33" ht="15.75" customHeight="1" x14ac:dyDescent="0.25">
      <c r="A5" s="98"/>
      <c r="B5" s="878" t="s">
        <v>44</v>
      </c>
      <c r="C5" s="878"/>
      <c r="D5" s="878"/>
      <c r="E5" s="878"/>
      <c r="F5" s="878"/>
      <c r="G5" s="878"/>
      <c r="H5" s="878"/>
      <c r="I5" s="878"/>
      <c r="J5" s="878"/>
      <c r="K5" s="878"/>
      <c r="L5" s="878"/>
      <c r="M5" s="878"/>
      <c r="N5" s="878"/>
      <c r="O5" s="878"/>
      <c r="P5" s="878"/>
      <c r="Q5" s="878"/>
      <c r="R5" s="878"/>
      <c r="S5" s="878"/>
      <c r="T5" s="878"/>
      <c r="U5" s="878"/>
      <c r="V5" s="878"/>
      <c r="W5" s="878"/>
      <c r="X5" s="878"/>
      <c r="Y5" s="878"/>
      <c r="Z5" s="878"/>
      <c r="AA5" s="878"/>
      <c r="AB5" s="878"/>
      <c r="AC5" s="878"/>
      <c r="AD5" s="878"/>
      <c r="AE5" s="878"/>
      <c r="AF5" s="878"/>
    </row>
    <row r="6" spans="1:33" ht="15.75" customHeight="1" x14ac:dyDescent="0.25">
      <c r="A6" s="98"/>
      <c r="B6" s="877" t="s">
        <v>45</v>
      </c>
      <c r="C6" s="877"/>
      <c r="D6" s="877"/>
      <c r="E6" s="877"/>
      <c r="F6" s="877"/>
      <c r="G6" s="877"/>
      <c r="H6" s="877"/>
      <c r="I6" s="877"/>
      <c r="J6" s="877"/>
      <c r="K6" s="877"/>
      <c r="L6" s="877"/>
      <c r="M6" s="877"/>
      <c r="N6" s="877"/>
      <c r="O6" s="877"/>
      <c r="P6" s="877"/>
      <c r="Q6" s="877"/>
      <c r="R6" s="877"/>
      <c r="S6" s="877"/>
      <c r="T6" s="877"/>
      <c r="U6" s="877"/>
      <c r="V6" s="877"/>
      <c r="W6" s="877"/>
      <c r="X6" s="877"/>
      <c r="Y6" s="877"/>
      <c r="Z6" s="877"/>
      <c r="AA6" s="877"/>
      <c r="AB6" s="877"/>
      <c r="AC6" s="877"/>
      <c r="AD6" s="877"/>
      <c r="AE6" s="877"/>
      <c r="AF6" s="877"/>
    </row>
    <row r="7" spans="1:33" ht="15.75" customHeight="1" x14ac:dyDescent="0.25">
      <c r="A7" s="98"/>
      <c r="F7" s="2"/>
      <c r="X7" s="2"/>
      <c r="Y7" s="2"/>
      <c r="AE7" s="2"/>
      <c r="AF7" s="2"/>
    </row>
    <row r="8" spans="1:33" ht="22.5" x14ac:dyDescent="0.25">
      <c r="A8" s="98"/>
      <c r="B8" s="882" t="s">
        <v>64</v>
      </c>
      <c r="C8" s="882"/>
      <c r="D8" s="882"/>
      <c r="E8" s="882"/>
      <c r="F8" s="882"/>
      <c r="G8" s="882"/>
      <c r="H8" s="882"/>
      <c r="I8" s="882"/>
      <c r="J8" s="882"/>
      <c r="K8" s="882"/>
      <c r="L8" s="882"/>
      <c r="M8" s="882"/>
      <c r="N8" s="882"/>
      <c r="O8" s="882"/>
      <c r="P8" s="882"/>
      <c r="Q8" s="882"/>
      <c r="R8" s="882"/>
      <c r="S8" s="882"/>
      <c r="T8" s="882"/>
      <c r="U8" s="882"/>
      <c r="V8" s="882"/>
      <c r="W8" s="882"/>
      <c r="X8" s="882"/>
      <c r="Y8" s="882"/>
      <c r="Z8" s="882"/>
      <c r="AA8" s="882"/>
      <c r="AB8" s="882"/>
      <c r="AC8" s="882"/>
      <c r="AD8" s="882"/>
      <c r="AE8" s="882"/>
      <c r="AF8" s="882"/>
    </row>
    <row r="9" spans="1:33" ht="20.25" x14ac:dyDescent="0.25">
      <c r="A9" s="98"/>
      <c r="B9" s="867" t="str">
        <f>'AUX - PAY'!B9</f>
        <v>Regular Employees - AUXILIARY SERVICES</v>
      </c>
      <c r="C9" s="867"/>
      <c r="D9" s="867"/>
      <c r="E9" s="867"/>
      <c r="F9" s="867"/>
      <c r="G9" s="867"/>
      <c r="H9" s="867"/>
      <c r="I9" s="867"/>
      <c r="J9" s="867"/>
      <c r="K9" s="867"/>
      <c r="L9" s="867"/>
      <c r="M9" s="867"/>
      <c r="N9" s="867"/>
      <c r="O9" s="867"/>
      <c r="P9" s="867"/>
      <c r="Q9" s="867"/>
      <c r="R9" s="867"/>
      <c r="S9" s="867"/>
      <c r="T9" s="867"/>
      <c r="U9" s="867"/>
      <c r="V9" s="867"/>
      <c r="W9" s="867"/>
      <c r="X9" s="867"/>
      <c r="Y9" s="867"/>
      <c r="Z9" s="867"/>
      <c r="AA9" s="867"/>
      <c r="AB9" s="867"/>
      <c r="AC9" s="867"/>
      <c r="AD9" s="867"/>
      <c r="AE9" s="867"/>
      <c r="AF9" s="867"/>
    </row>
    <row r="10" spans="1:33" ht="20.25" x14ac:dyDescent="0.25">
      <c r="A10" s="98"/>
      <c r="B10" s="879" t="str">
        <f>'AUX - PAY'!B10</f>
        <v>For the period JANUARY 1-31, 2026</v>
      </c>
      <c r="C10" s="879"/>
      <c r="D10" s="879"/>
      <c r="E10" s="879"/>
      <c r="F10" s="879"/>
      <c r="G10" s="879"/>
      <c r="H10" s="879"/>
      <c r="I10" s="879"/>
      <c r="J10" s="879"/>
      <c r="K10" s="879"/>
      <c r="L10" s="879"/>
      <c r="M10" s="879"/>
      <c r="N10" s="879"/>
      <c r="O10" s="879"/>
      <c r="P10" s="879"/>
      <c r="Q10" s="879"/>
      <c r="R10" s="879"/>
      <c r="S10" s="879"/>
      <c r="T10" s="879"/>
      <c r="U10" s="879"/>
      <c r="V10" s="879"/>
      <c r="W10" s="879"/>
      <c r="X10" s="879"/>
      <c r="Y10" s="879"/>
      <c r="Z10" s="879"/>
      <c r="AA10" s="879"/>
      <c r="AB10" s="879"/>
      <c r="AC10" s="879"/>
      <c r="AD10" s="879"/>
      <c r="AE10" s="879"/>
      <c r="AF10" s="879"/>
    </row>
    <row r="11" spans="1:33" ht="15.75" x14ac:dyDescent="0.25">
      <c r="A11" s="98"/>
      <c r="B11" s="9"/>
      <c r="C11" s="6"/>
      <c r="D11" s="866" t="str">
        <f>+'AUX - PAY'!D12</f>
        <v>01</v>
      </c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</row>
    <row r="12" spans="1:33" s="8" customFormat="1" ht="24.95" customHeight="1" x14ac:dyDescent="0.25">
      <c r="A12" s="98"/>
      <c r="B12" s="865" t="s">
        <v>88</v>
      </c>
      <c r="C12" s="865"/>
      <c r="D12" s="867"/>
      <c r="E12" s="178"/>
      <c r="F12" s="169"/>
      <c r="G12" s="169"/>
      <c r="H12" s="169"/>
      <c r="I12" s="169"/>
      <c r="J12" s="169"/>
      <c r="K12" s="169"/>
      <c r="L12" s="169"/>
      <c r="M12" s="169"/>
      <c r="N12" s="169"/>
      <c r="O12" s="169"/>
      <c r="P12" s="169"/>
      <c r="Q12" s="169"/>
      <c r="R12" s="9"/>
      <c r="S12" s="9"/>
      <c r="T12" s="9"/>
      <c r="U12" s="9"/>
      <c r="AA12" s="7"/>
      <c r="AB12" s="169" t="s">
        <v>103</v>
      </c>
      <c r="AC12" s="169"/>
      <c r="AD12" s="832" t="str">
        <f>'AUX - PAY'!W13</f>
        <v>2026-01-015</v>
      </c>
      <c r="AE12" s="832"/>
      <c r="AF12" s="832"/>
    </row>
    <row r="13" spans="1:33" s="8" customFormat="1" ht="24.95" customHeight="1" x14ac:dyDescent="0.25">
      <c r="A13" s="98"/>
      <c r="B13" s="9"/>
      <c r="C13" s="9"/>
      <c r="D13" s="867"/>
      <c r="E13" s="6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AB13" s="169"/>
      <c r="AC13" s="169"/>
      <c r="AD13" s="9"/>
      <c r="AE13" s="9"/>
      <c r="AF13" s="9"/>
    </row>
    <row r="14" spans="1:33" s="8" customFormat="1" ht="15.75" customHeight="1" x14ac:dyDescent="0.25">
      <c r="A14" s="98"/>
      <c r="B14" s="872"/>
      <c r="C14" s="872"/>
      <c r="D14" s="872"/>
      <c r="E14" s="872"/>
      <c r="F14" s="872"/>
      <c r="G14" s="872"/>
      <c r="H14" s="872"/>
      <c r="I14" s="872"/>
      <c r="J14" s="872"/>
      <c r="K14" s="872"/>
      <c r="L14" s="872"/>
      <c r="M14" s="872"/>
      <c r="N14" s="872"/>
      <c r="O14" s="872"/>
      <c r="P14" s="872"/>
      <c r="Q14" s="872"/>
      <c r="R14" s="872"/>
      <c r="S14" s="872"/>
      <c r="T14" s="872"/>
      <c r="U14" s="872"/>
      <c r="V14" s="872"/>
      <c r="W14" s="872"/>
      <c r="X14" s="872"/>
      <c r="Y14" s="872"/>
      <c r="Z14" s="872"/>
    </row>
    <row r="15" spans="1:33" ht="9" customHeight="1" thickBot="1" x14ac:dyDescent="0.3">
      <c r="A15" s="98"/>
      <c r="B15" s="9"/>
      <c r="C15" s="10"/>
      <c r="D15" s="10"/>
      <c r="E15" s="54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9"/>
      <c r="T15" s="9"/>
      <c r="U15" s="9"/>
      <c r="V15" s="9"/>
      <c r="W15" s="9"/>
      <c r="X15" s="10"/>
      <c r="Y15" s="10"/>
      <c r="Z15" s="9"/>
      <c r="AA15" s="9"/>
      <c r="AB15" s="9"/>
      <c r="AC15" s="9"/>
      <c r="AD15" s="9"/>
      <c r="AE15" s="10"/>
      <c r="AF15" s="10"/>
    </row>
    <row r="16" spans="1:33" ht="16.5" customHeight="1" thickBot="1" x14ac:dyDescent="0.3">
      <c r="A16" s="98"/>
      <c r="B16" s="802" t="s">
        <v>6</v>
      </c>
      <c r="C16" s="777" t="s">
        <v>1</v>
      </c>
      <c r="D16" s="777" t="s">
        <v>2</v>
      </c>
      <c r="E16" s="802" t="s">
        <v>14</v>
      </c>
      <c r="F16" s="904" t="s">
        <v>54</v>
      </c>
      <c r="G16" s="841" t="s">
        <v>66</v>
      </c>
      <c r="H16" s="833"/>
      <c r="I16" s="833"/>
      <c r="J16" s="833"/>
      <c r="K16" s="833"/>
      <c r="L16" s="833"/>
      <c r="M16" s="833"/>
      <c r="N16" s="833"/>
      <c r="O16" s="833"/>
      <c r="P16" s="833"/>
      <c r="Q16" s="833"/>
      <c r="R16" s="834"/>
      <c r="S16" s="841" t="s">
        <v>63</v>
      </c>
      <c r="T16" s="833"/>
      <c r="U16" s="833"/>
      <c r="V16" s="833"/>
      <c r="W16" s="833"/>
      <c r="X16" s="834"/>
      <c r="Y16" s="904" t="s">
        <v>57</v>
      </c>
      <c r="Z16" s="841" t="s">
        <v>80</v>
      </c>
      <c r="AA16" s="833"/>
      <c r="AB16" s="833"/>
      <c r="AC16" s="833"/>
      <c r="AD16" s="833"/>
      <c r="AE16" s="834"/>
      <c r="AF16" s="802" t="s">
        <v>87</v>
      </c>
      <c r="AG16" s="11"/>
    </row>
    <row r="17" spans="1:33" ht="19.5" customHeight="1" x14ac:dyDescent="0.25">
      <c r="A17" s="98"/>
      <c r="B17" s="803"/>
      <c r="C17" s="778"/>
      <c r="D17" s="778"/>
      <c r="E17" s="803"/>
      <c r="F17" s="905"/>
      <c r="G17" s="911" t="s">
        <v>65</v>
      </c>
      <c r="H17" s="894" t="s">
        <v>110</v>
      </c>
      <c r="I17" s="887" t="s">
        <v>67</v>
      </c>
      <c r="J17" s="892" t="s">
        <v>68</v>
      </c>
      <c r="K17" s="896" t="s">
        <v>69</v>
      </c>
      <c r="L17" s="896" t="s">
        <v>70</v>
      </c>
      <c r="M17" s="896" t="s">
        <v>71</v>
      </c>
      <c r="N17" s="896" t="s">
        <v>72</v>
      </c>
      <c r="O17" s="894" t="s">
        <v>73</v>
      </c>
      <c r="P17" s="894" t="s">
        <v>111</v>
      </c>
      <c r="Q17" s="894" t="s">
        <v>78</v>
      </c>
      <c r="R17" s="909" t="s">
        <v>74</v>
      </c>
      <c r="S17" s="844" t="s">
        <v>75</v>
      </c>
      <c r="T17" s="913" t="s">
        <v>76</v>
      </c>
      <c r="U17" s="896" t="s">
        <v>71</v>
      </c>
      <c r="V17" s="896" t="s">
        <v>77</v>
      </c>
      <c r="W17" s="907" t="s">
        <v>78</v>
      </c>
      <c r="X17" s="902" t="s">
        <v>79</v>
      </c>
      <c r="Y17" s="905"/>
      <c r="Z17" s="898" t="s">
        <v>81</v>
      </c>
      <c r="AA17" s="900" t="s">
        <v>82</v>
      </c>
      <c r="AB17" s="896" t="s">
        <v>83</v>
      </c>
      <c r="AC17" s="892" t="s">
        <v>84</v>
      </c>
      <c r="AD17" s="907" t="s">
        <v>86</v>
      </c>
      <c r="AE17" s="915" t="s">
        <v>85</v>
      </c>
      <c r="AF17" s="803"/>
      <c r="AG17" s="11"/>
    </row>
    <row r="18" spans="1:33" ht="26.25" customHeight="1" thickBot="1" x14ac:dyDescent="0.3">
      <c r="A18" s="98"/>
      <c r="B18" s="803"/>
      <c r="C18" s="778"/>
      <c r="D18" s="778"/>
      <c r="E18" s="803"/>
      <c r="F18" s="906"/>
      <c r="G18" s="912"/>
      <c r="H18" s="895"/>
      <c r="I18" s="888"/>
      <c r="J18" s="893"/>
      <c r="K18" s="897"/>
      <c r="L18" s="897"/>
      <c r="M18" s="897"/>
      <c r="N18" s="897"/>
      <c r="O18" s="895"/>
      <c r="P18" s="895"/>
      <c r="Q18" s="895"/>
      <c r="R18" s="910"/>
      <c r="S18" s="845"/>
      <c r="T18" s="914"/>
      <c r="U18" s="897"/>
      <c r="V18" s="897"/>
      <c r="W18" s="908"/>
      <c r="X18" s="903"/>
      <c r="Y18" s="906"/>
      <c r="Z18" s="899"/>
      <c r="AA18" s="901"/>
      <c r="AB18" s="897"/>
      <c r="AC18" s="893"/>
      <c r="AD18" s="908"/>
      <c r="AE18" s="916"/>
      <c r="AF18" s="804"/>
      <c r="AG18" s="11"/>
    </row>
    <row r="19" spans="1:33" ht="18.75" customHeight="1" x14ac:dyDescent="0.25">
      <c r="A19" s="98"/>
      <c r="B19" s="12"/>
      <c r="C19" s="12"/>
      <c r="D19" s="12"/>
      <c r="E19" s="55"/>
      <c r="F19" s="12"/>
      <c r="G19" s="46"/>
      <c r="H19" s="173"/>
      <c r="I19" s="173"/>
      <c r="J19" s="173"/>
      <c r="K19" s="173"/>
      <c r="L19" s="173"/>
      <c r="M19" s="173"/>
      <c r="N19" s="173"/>
      <c r="O19" s="173"/>
      <c r="P19" s="173"/>
      <c r="Q19" s="173"/>
      <c r="R19" s="43"/>
      <c r="S19" s="174"/>
      <c r="T19" s="175"/>
      <c r="U19" s="173"/>
      <c r="V19" s="173"/>
      <c r="W19" s="173"/>
      <c r="X19" s="176"/>
      <c r="Y19" s="12"/>
      <c r="Z19" s="174"/>
      <c r="AA19" s="175"/>
      <c r="AB19" s="173"/>
      <c r="AC19" s="173"/>
      <c r="AD19" s="173"/>
      <c r="AE19" s="177"/>
      <c r="AF19" s="43"/>
    </row>
    <row r="20" spans="1:33" ht="18.75" customHeight="1" x14ac:dyDescent="0.25">
      <c r="A20" s="98"/>
      <c r="B20" s="33">
        <v>1</v>
      </c>
      <c r="C20" s="72">
        <f>'AUX - PAY'!C21</f>
        <v>0</v>
      </c>
      <c r="D20" s="72" t="e">
        <f>'AUX - PAY'!D21</f>
        <v>#N/A</v>
      </c>
      <c r="E20" s="306">
        <f>'AUX - PAY'!E21</f>
        <v>0</v>
      </c>
      <c r="F20" s="49">
        <f>'AUX - PAY'!L21</f>
        <v>0</v>
      </c>
      <c r="G20" s="36">
        <f>ROUND('AUX - PAY'!I21*0.09,2)</f>
        <v>0</v>
      </c>
      <c r="H20" s="88"/>
      <c r="I20" s="88"/>
      <c r="J20" s="88"/>
      <c r="K20" s="88"/>
      <c r="L20" s="88"/>
      <c r="M20" s="88"/>
      <c r="N20" s="88"/>
      <c r="O20" s="88"/>
      <c r="P20" s="88"/>
      <c r="Q20" s="88"/>
      <c r="R20" s="41">
        <f t="shared" ref="R20:R38" si="0">SUM(G20:Q20)</f>
        <v>0</v>
      </c>
      <c r="S20" s="86"/>
      <c r="T20" s="87"/>
      <c r="U20" s="88"/>
      <c r="V20" s="88"/>
      <c r="W20" s="88"/>
      <c r="X20" s="38">
        <f t="shared" ref="X20:X38" si="1">SUM(S20:W20)</f>
        <v>0</v>
      </c>
      <c r="Y20" s="49">
        <f>MIN(ROUNDDOWN('AUX - PAY'!I21*0.05/2,2),2500)</f>
        <v>0</v>
      </c>
      <c r="Z20" s="86"/>
      <c r="AA20" s="87"/>
      <c r="AB20" s="88"/>
      <c r="AC20" s="88"/>
      <c r="AD20" s="88"/>
      <c r="AE20" s="35">
        <f>SUM(Z20:AD20)</f>
        <v>0</v>
      </c>
      <c r="AF20" s="62">
        <f t="shared" ref="AF20:AF39" si="2">SUM(F20,R20,X20,Y20,AE20)</f>
        <v>0</v>
      </c>
    </row>
    <row r="21" spans="1:33" ht="18.75" customHeight="1" x14ac:dyDescent="0.25">
      <c r="A21" s="98"/>
      <c r="B21" s="33">
        <f>+B20+1</f>
        <v>2</v>
      </c>
      <c r="C21" s="72">
        <f>'AUX - PAY'!C22</f>
        <v>0</v>
      </c>
      <c r="D21" s="72" t="e">
        <f>'AUX - PAY'!D22</f>
        <v>#N/A</v>
      </c>
      <c r="E21" s="306">
        <f>'AUX - PAY'!E22</f>
        <v>0</v>
      </c>
      <c r="F21" s="49">
        <f>'AUX - PAY'!L22</f>
        <v>0</v>
      </c>
      <c r="G21" s="36">
        <f>ROUND('AUX - PAY'!I22*0.09,2)</f>
        <v>0</v>
      </c>
      <c r="H21" s="88"/>
      <c r="I21" s="88"/>
      <c r="J21" s="88"/>
      <c r="K21" s="88"/>
      <c r="L21" s="88"/>
      <c r="M21" s="88"/>
      <c r="N21" s="88"/>
      <c r="O21" s="88"/>
      <c r="P21" s="88"/>
      <c r="Q21" s="88"/>
      <c r="R21" s="41">
        <f t="shared" si="0"/>
        <v>0</v>
      </c>
      <c r="S21" s="86"/>
      <c r="T21" s="87"/>
      <c r="U21" s="88"/>
      <c r="V21" s="88"/>
      <c r="W21" s="88"/>
      <c r="X21" s="38">
        <f t="shared" si="1"/>
        <v>0</v>
      </c>
      <c r="Y21" s="49">
        <f>MIN(ROUNDDOWN('AUX - PAY'!I22*0.05/2,2),2500)</f>
        <v>0</v>
      </c>
      <c r="Z21" s="86"/>
      <c r="AA21" s="87"/>
      <c r="AB21" s="88"/>
      <c r="AC21" s="88"/>
      <c r="AD21" s="88"/>
      <c r="AE21" s="35">
        <f t="shared" ref="AE21:AE38" si="3">SUM(Z21:AD21)</f>
        <v>0</v>
      </c>
      <c r="AF21" s="62">
        <f t="shared" si="2"/>
        <v>0</v>
      </c>
    </row>
    <row r="22" spans="1:33" ht="18.75" customHeight="1" x14ac:dyDescent="0.25">
      <c r="A22" s="98"/>
      <c r="B22" s="33">
        <f t="shared" ref="B22:B27" si="4">+B21+1</f>
        <v>3</v>
      </c>
      <c r="C22" s="72">
        <f>'AUX - PAY'!C23</f>
        <v>0</v>
      </c>
      <c r="D22" s="72" t="e">
        <f>'AUX - PAY'!D23</f>
        <v>#N/A</v>
      </c>
      <c r="E22" s="306">
        <f>'AUX - PAY'!E23</f>
        <v>0</v>
      </c>
      <c r="F22" s="49">
        <f>'AUX - PAY'!L23</f>
        <v>0</v>
      </c>
      <c r="G22" s="36">
        <f>ROUND('AUX - PAY'!I23*0.09,2)</f>
        <v>0</v>
      </c>
      <c r="H22" s="88"/>
      <c r="I22" s="88"/>
      <c r="J22" s="88"/>
      <c r="K22" s="88"/>
      <c r="L22" s="88"/>
      <c r="M22" s="88"/>
      <c r="N22" s="88"/>
      <c r="O22" s="88"/>
      <c r="P22" s="88"/>
      <c r="Q22" s="88"/>
      <c r="R22" s="41">
        <f t="shared" si="0"/>
        <v>0</v>
      </c>
      <c r="S22" s="86"/>
      <c r="T22" s="87"/>
      <c r="U22" s="88"/>
      <c r="V22" s="88"/>
      <c r="W22" s="88"/>
      <c r="X22" s="38">
        <f t="shared" si="1"/>
        <v>0</v>
      </c>
      <c r="Y22" s="49">
        <f>MIN(ROUNDDOWN('AUX - PAY'!I23*0.05/2,2),2500)</f>
        <v>0</v>
      </c>
      <c r="Z22" s="86"/>
      <c r="AA22" s="87"/>
      <c r="AB22" s="88"/>
      <c r="AC22" s="88"/>
      <c r="AD22" s="88"/>
      <c r="AE22" s="35">
        <f t="shared" si="3"/>
        <v>0</v>
      </c>
      <c r="AF22" s="62">
        <f t="shared" si="2"/>
        <v>0</v>
      </c>
    </row>
    <row r="23" spans="1:33" ht="18.75" customHeight="1" x14ac:dyDescent="0.25">
      <c r="A23" s="98"/>
      <c r="B23" s="33">
        <f t="shared" si="4"/>
        <v>4</v>
      </c>
      <c r="C23" s="72">
        <f>'AUX - PAY'!C24</f>
        <v>0</v>
      </c>
      <c r="D23" s="72" t="e">
        <f>'AUX - PAY'!D24</f>
        <v>#N/A</v>
      </c>
      <c r="E23" s="306">
        <f>'AUX - PAY'!E24</f>
        <v>0</v>
      </c>
      <c r="F23" s="49">
        <f>'AUX - PAY'!L24</f>
        <v>0</v>
      </c>
      <c r="G23" s="36">
        <f>ROUND('AUX - PAY'!I24*0.09,2)</f>
        <v>0</v>
      </c>
      <c r="H23" s="88"/>
      <c r="I23" s="88"/>
      <c r="J23" s="88"/>
      <c r="K23" s="88"/>
      <c r="L23" s="88"/>
      <c r="M23" s="88"/>
      <c r="N23" s="88"/>
      <c r="O23" s="88"/>
      <c r="P23" s="88"/>
      <c r="Q23" s="88"/>
      <c r="R23" s="41">
        <f t="shared" si="0"/>
        <v>0</v>
      </c>
      <c r="S23" s="86"/>
      <c r="T23" s="87"/>
      <c r="U23" s="88"/>
      <c r="V23" s="88"/>
      <c r="W23" s="88"/>
      <c r="X23" s="38">
        <f t="shared" si="1"/>
        <v>0</v>
      </c>
      <c r="Y23" s="49">
        <f>MIN(ROUNDDOWN('AUX - PAY'!I24*0.05/2,2),2500)</f>
        <v>0</v>
      </c>
      <c r="Z23" s="86"/>
      <c r="AA23" s="87"/>
      <c r="AB23" s="88"/>
      <c r="AC23" s="88"/>
      <c r="AD23" s="88"/>
      <c r="AE23" s="35">
        <f t="shared" si="3"/>
        <v>0</v>
      </c>
      <c r="AF23" s="62">
        <f t="shared" si="2"/>
        <v>0</v>
      </c>
      <c r="AG23" s="75"/>
    </row>
    <row r="24" spans="1:33" ht="18.75" customHeight="1" x14ac:dyDescent="0.25">
      <c r="A24" s="98"/>
      <c r="B24" s="33">
        <f t="shared" si="4"/>
        <v>5</v>
      </c>
      <c r="C24" s="72">
        <f>'AUX - PAY'!C25</f>
        <v>0</v>
      </c>
      <c r="D24" s="72" t="e">
        <f>'AUX - PAY'!D25</f>
        <v>#N/A</v>
      </c>
      <c r="E24" s="306">
        <f>'AUX - PAY'!E25</f>
        <v>0</v>
      </c>
      <c r="F24" s="49">
        <f>'AUX - PAY'!L25</f>
        <v>0</v>
      </c>
      <c r="G24" s="36">
        <f>ROUND('AUX - PAY'!I25*0.09,2)</f>
        <v>0</v>
      </c>
      <c r="H24" s="88"/>
      <c r="I24" s="88"/>
      <c r="J24" s="88"/>
      <c r="K24" s="88"/>
      <c r="L24" s="88"/>
      <c r="M24" s="88"/>
      <c r="N24" s="88"/>
      <c r="O24" s="88"/>
      <c r="P24" s="88"/>
      <c r="Q24" s="88"/>
      <c r="R24" s="41">
        <f t="shared" si="0"/>
        <v>0</v>
      </c>
      <c r="S24" s="86"/>
      <c r="T24" s="87"/>
      <c r="U24" s="88"/>
      <c r="V24" s="88"/>
      <c r="W24" s="88"/>
      <c r="X24" s="38">
        <f t="shared" si="1"/>
        <v>0</v>
      </c>
      <c r="Y24" s="49">
        <f>MIN(ROUNDDOWN('AUX - PAY'!I25*0.05/2,2),2500)</f>
        <v>0</v>
      </c>
      <c r="Z24" s="86"/>
      <c r="AA24" s="87"/>
      <c r="AB24" s="88"/>
      <c r="AC24" s="88"/>
      <c r="AD24" s="88"/>
      <c r="AE24" s="35">
        <f t="shared" si="3"/>
        <v>0</v>
      </c>
      <c r="AF24" s="62">
        <f t="shared" si="2"/>
        <v>0</v>
      </c>
    </row>
    <row r="25" spans="1:33" ht="18.75" customHeight="1" x14ac:dyDescent="0.25">
      <c r="A25" s="98"/>
      <c r="B25" s="33">
        <f t="shared" si="4"/>
        <v>6</v>
      </c>
      <c r="C25" s="72">
        <f>'AUX - PAY'!C26</f>
        <v>0</v>
      </c>
      <c r="D25" s="72" t="e">
        <f>'AUX - PAY'!D26</f>
        <v>#N/A</v>
      </c>
      <c r="E25" s="306">
        <f>'AUX - PAY'!E26</f>
        <v>0</v>
      </c>
      <c r="F25" s="49">
        <f>'AUX - PAY'!L26</f>
        <v>0</v>
      </c>
      <c r="G25" s="36">
        <f>ROUND('AUX - PAY'!I26*0.09,2)</f>
        <v>0</v>
      </c>
      <c r="H25" s="88"/>
      <c r="I25" s="88"/>
      <c r="J25" s="88"/>
      <c r="K25" s="88"/>
      <c r="L25" s="88"/>
      <c r="M25" s="88"/>
      <c r="N25" s="88"/>
      <c r="O25" s="88"/>
      <c r="P25" s="88"/>
      <c r="Q25" s="88"/>
      <c r="R25" s="41">
        <f t="shared" si="0"/>
        <v>0</v>
      </c>
      <c r="S25" s="86"/>
      <c r="T25" s="87"/>
      <c r="U25" s="88"/>
      <c r="V25" s="88"/>
      <c r="W25" s="88"/>
      <c r="X25" s="38">
        <f t="shared" si="1"/>
        <v>0</v>
      </c>
      <c r="Y25" s="49">
        <f>MIN(ROUNDDOWN('AUX - PAY'!I26*0.05/2,2),2500)</f>
        <v>0</v>
      </c>
      <c r="Z25" s="86"/>
      <c r="AA25" s="87"/>
      <c r="AB25" s="88"/>
      <c r="AC25" s="88"/>
      <c r="AD25" s="88"/>
      <c r="AE25" s="35">
        <f t="shared" si="3"/>
        <v>0</v>
      </c>
      <c r="AF25" s="62">
        <f t="shared" si="2"/>
        <v>0</v>
      </c>
    </row>
    <row r="26" spans="1:33" ht="18.75" customHeight="1" x14ac:dyDescent="0.25">
      <c r="A26" s="98"/>
      <c r="B26" s="33">
        <f t="shared" si="4"/>
        <v>7</v>
      </c>
      <c r="C26" s="72">
        <f>'AUX - PAY'!C27</f>
        <v>0</v>
      </c>
      <c r="D26" s="72" t="e">
        <f>'AUX - PAY'!D27</f>
        <v>#N/A</v>
      </c>
      <c r="E26" s="306">
        <f>'AUX - PAY'!E27</f>
        <v>0</v>
      </c>
      <c r="F26" s="49">
        <f>'AUX - PAY'!L27</f>
        <v>0</v>
      </c>
      <c r="G26" s="36">
        <f>ROUND('AUX - PAY'!I27*0.09,2)</f>
        <v>0</v>
      </c>
      <c r="H26" s="88"/>
      <c r="I26" s="88"/>
      <c r="J26" s="88"/>
      <c r="K26" s="88"/>
      <c r="L26" s="88"/>
      <c r="M26" s="88"/>
      <c r="N26" s="88"/>
      <c r="O26" s="88"/>
      <c r="P26" s="88"/>
      <c r="Q26" s="88"/>
      <c r="R26" s="41">
        <f t="shared" si="0"/>
        <v>0</v>
      </c>
      <c r="S26" s="86"/>
      <c r="T26" s="87"/>
      <c r="U26" s="88"/>
      <c r="V26" s="88"/>
      <c r="W26" s="88"/>
      <c r="X26" s="38">
        <f t="shared" si="1"/>
        <v>0</v>
      </c>
      <c r="Y26" s="49">
        <f>MIN(ROUNDDOWN('AUX - PAY'!I27*0.05/2,2),2500)</f>
        <v>0</v>
      </c>
      <c r="Z26" s="86"/>
      <c r="AA26" s="87"/>
      <c r="AB26" s="88"/>
      <c r="AC26" s="88"/>
      <c r="AD26" s="88"/>
      <c r="AE26" s="35">
        <f t="shared" si="3"/>
        <v>0</v>
      </c>
      <c r="AF26" s="62">
        <f t="shared" si="2"/>
        <v>0</v>
      </c>
    </row>
    <row r="27" spans="1:33" ht="18.75" customHeight="1" x14ac:dyDescent="0.25">
      <c r="A27" s="98"/>
      <c r="B27" s="33">
        <f t="shared" si="4"/>
        <v>8</v>
      </c>
      <c r="C27" s="72">
        <f>'AUX - PAY'!C28</f>
        <v>0</v>
      </c>
      <c r="D27" s="72" t="e">
        <f>'AUX - PAY'!D28</f>
        <v>#N/A</v>
      </c>
      <c r="E27" s="306">
        <f>'AUX - PAY'!E28</f>
        <v>0</v>
      </c>
      <c r="F27" s="49">
        <f>'AUX - PAY'!L28</f>
        <v>0</v>
      </c>
      <c r="G27" s="36">
        <f>ROUND('AUX - PAY'!I28*0.09,2)</f>
        <v>0</v>
      </c>
      <c r="H27" s="88"/>
      <c r="I27" s="88"/>
      <c r="J27" s="88"/>
      <c r="K27" s="88"/>
      <c r="L27" s="88"/>
      <c r="M27" s="88"/>
      <c r="N27" s="88"/>
      <c r="O27" s="88"/>
      <c r="P27" s="88"/>
      <c r="Q27" s="88"/>
      <c r="R27" s="41">
        <f t="shared" si="0"/>
        <v>0</v>
      </c>
      <c r="S27" s="86"/>
      <c r="T27" s="87"/>
      <c r="U27" s="88"/>
      <c r="V27" s="88"/>
      <c r="W27" s="88"/>
      <c r="X27" s="38">
        <f t="shared" si="1"/>
        <v>0</v>
      </c>
      <c r="Y27" s="49">
        <f>MIN(ROUNDDOWN('AUX - PAY'!I28*0.05/2,2),2500)</f>
        <v>0</v>
      </c>
      <c r="Z27" s="86"/>
      <c r="AA27" s="87"/>
      <c r="AB27" s="88"/>
      <c r="AC27" s="88"/>
      <c r="AD27" s="88"/>
      <c r="AE27" s="35">
        <f t="shared" si="3"/>
        <v>0</v>
      </c>
      <c r="AF27" s="62">
        <f t="shared" si="2"/>
        <v>0</v>
      </c>
    </row>
    <row r="28" spans="1:33" ht="18.75" customHeight="1" x14ac:dyDescent="0.25">
      <c r="A28" s="98"/>
      <c r="B28" s="33">
        <f t="shared" ref="B28:B37" si="5">+B17+1</f>
        <v>1</v>
      </c>
      <c r="C28" s="72">
        <f>'AUX - PAY'!C29</f>
        <v>0</v>
      </c>
      <c r="D28" s="72" t="e">
        <f>'AUX - PAY'!D29</f>
        <v>#N/A</v>
      </c>
      <c r="E28" s="306">
        <f>'AUX - PAY'!E29</f>
        <v>0</v>
      </c>
      <c r="F28" s="49">
        <f>'AUX - PAY'!L29</f>
        <v>0</v>
      </c>
      <c r="G28" s="36">
        <f>ROUND('AUX - PAY'!I29*0.09,2)</f>
        <v>0</v>
      </c>
      <c r="H28" s="88"/>
      <c r="I28" s="88"/>
      <c r="J28" s="88"/>
      <c r="K28" s="88"/>
      <c r="L28" s="88"/>
      <c r="M28" s="88"/>
      <c r="N28" s="88"/>
      <c r="O28" s="88"/>
      <c r="P28" s="88"/>
      <c r="Q28" s="88"/>
      <c r="R28" s="41">
        <f t="shared" ref="R28:R37" si="6">SUM(G28:Q28)</f>
        <v>0</v>
      </c>
      <c r="S28" s="86"/>
      <c r="T28" s="87"/>
      <c r="U28" s="88"/>
      <c r="V28" s="88"/>
      <c r="W28" s="88"/>
      <c r="X28" s="38">
        <f t="shared" ref="X28:X37" si="7">SUM(S28:W28)</f>
        <v>0</v>
      </c>
      <c r="Y28" s="49">
        <f>MIN(ROUNDDOWN('AUX - PAY'!I29*0.05/2,2),2500)</f>
        <v>0</v>
      </c>
      <c r="Z28" s="86"/>
      <c r="AA28" s="87"/>
      <c r="AB28" s="88"/>
      <c r="AC28" s="88"/>
      <c r="AD28" s="88"/>
      <c r="AE28" s="35">
        <f t="shared" ref="AE28:AE37" si="8">SUM(Z28:AD28)</f>
        <v>0</v>
      </c>
      <c r="AF28" s="62">
        <f t="shared" ref="AF28:AF37" si="9">SUM(F28,R28,X28,Y28,AE28)</f>
        <v>0</v>
      </c>
    </row>
    <row r="29" spans="1:33" ht="18.75" customHeight="1" x14ac:dyDescent="0.25">
      <c r="A29" s="98"/>
      <c r="B29" s="33">
        <f t="shared" si="5"/>
        <v>1</v>
      </c>
      <c r="C29" s="72">
        <f>'AUX - PAY'!C30</f>
        <v>0</v>
      </c>
      <c r="D29" s="72" t="e">
        <f>'AUX - PAY'!D30</f>
        <v>#N/A</v>
      </c>
      <c r="E29" s="306">
        <f>'AUX - PAY'!E30</f>
        <v>0</v>
      </c>
      <c r="F29" s="49">
        <f>'AUX - PAY'!L30</f>
        <v>0</v>
      </c>
      <c r="G29" s="36">
        <f>ROUND('AUX - PAY'!I30*0.09,2)</f>
        <v>0</v>
      </c>
      <c r="H29" s="88"/>
      <c r="I29" s="88"/>
      <c r="J29" s="88"/>
      <c r="K29" s="88"/>
      <c r="L29" s="88"/>
      <c r="M29" s="88"/>
      <c r="N29" s="88"/>
      <c r="O29" s="88"/>
      <c r="P29" s="88"/>
      <c r="Q29" s="88"/>
      <c r="R29" s="41">
        <f t="shared" si="6"/>
        <v>0</v>
      </c>
      <c r="S29" s="86"/>
      <c r="T29" s="87"/>
      <c r="U29" s="88"/>
      <c r="V29" s="88"/>
      <c r="W29" s="88"/>
      <c r="X29" s="38">
        <f t="shared" si="7"/>
        <v>0</v>
      </c>
      <c r="Y29" s="49">
        <f>MIN(ROUNDDOWN('AUX - PAY'!I30*0.05/2,2),2500)</f>
        <v>0</v>
      </c>
      <c r="Z29" s="86"/>
      <c r="AA29" s="87"/>
      <c r="AB29" s="88"/>
      <c r="AC29" s="88"/>
      <c r="AD29" s="88"/>
      <c r="AE29" s="35">
        <f t="shared" si="8"/>
        <v>0</v>
      </c>
      <c r="AF29" s="62">
        <f t="shared" si="9"/>
        <v>0</v>
      </c>
    </row>
    <row r="30" spans="1:33" ht="18.75" customHeight="1" x14ac:dyDescent="0.25">
      <c r="A30" s="98"/>
      <c r="B30" s="33">
        <f t="shared" si="5"/>
        <v>1</v>
      </c>
      <c r="C30" s="72">
        <f>'AUX - PAY'!C31</f>
        <v>0</v>
      </c>
      <c r="D30" s="72" t="e">
        <f>'AUX - PAY'!D31</f>
        <v>#N/A</v>
      </c>
      <c r="E30" s="306">
        <f>'AUX - PAY'!E31</f>
        <v>0</v>
      </c>
      <c r="F30" s="49">
        <f>'AUX - PAY'!L31</f>
        <v>0</v>
      </c>
      <c r="G30" s="36">
        <f>ROUND('AUX - PAY'!I31*0.09,2)</f>
        <v>0</v>
      </c>
      <c r="H30" s="88"/>
      <c r="I30" s="88"/>
      <c r="J30" s="88"/>
      <c r="K30" s="88"/>
      <c r="L30" s="88"/>
      <c r="M30" s="88"/>
      <c r="N30" s="88"/>
      <c r="O30" s="88"/>
      <c r="P30" s="88"/>
      <c r="Q30" s="88"/>
      <c r="R30" s="41">
        <f t="shared" si="6"/>
        <v>0</v>
      </c>
      <c r="S30" s="86"/>
      <c r="T30" s="87"/>
      <c r="U30" s="88"/>
      <c r="V30" s="88"/>
      <c r="W30" s="88"/>
      <c r="X30" s="38">
        <f t="shared" si="7"/>
        <v>0</v>
      </c>
      <c r="Y30" s="49">
        <f>MIN(ROUNDDOWN('AUX - PAY'!I31*0.05/2,2),2500)</f>
        <v>0</v>
      </c>
      <c r="Z30" s="86"/>
      <c r="AA30" s="87"/>
      <c r="AB30" s="88"/>
      <c r="AC30" s="88"/>
      <c r="AD30" s="88"/>
      <c r="AE30" s="35">
        <f t="shared" si="8"/>
        <v>0</v>
      </c>
      <c r="AF30" s="62">
        <f t="shared" si="9"/>
        <v>0</v>
      </c>
    </row>
    <row r="31" spans="1:33" ht="18.75" customHeight="1" x14ac:dyDescent="0.25">
      <c r="A31" s="98"/>
      <c r="B31" s="33">
        <f t="shared" si="5"/>
        <v>2</v>
      </c>
      <c r="C31" s="72">
        <f>'AUX - PAY'!C32</f>
        <v>0</v>
      </c>
      <c r="D31" s="72" t="e">
        <f>'AUX - PAY'!D32</f>
        <v>#N/A</v>
      </c>
      <c r="E31" s="306">
        <f>'AUX - PAY'!E32</f>
        <v>0</v>
      </c>
      <c r="F31" s="49">
        <f>'AUX - PAY'!L32</f>
        <v>0</v>
      </c>
      <c r="G31" s="36">
        <f>ROUND('AUX - PAY'!I32*0.09,2)</f>
        <v>0</v>
      </c>
      <c r="H31" s="88"/>
      <c r="I31" s="88"/>
      <c r="J31" s="88"/>
      <c r="K31" s="88"/>
      <c r="L31" s="88"/>
      <c r="M31" s="88"/>
      <c r="N31" s="88"/>
      <c r="O31" s="88"/>
      <c r="P31" s="88"/>
      <c r="Q31" s="88"/>
      <c r="R31" s="41">
        <f t="shared" si="6"/>
        <v>0</v>
      </c>
      <c r="S31" s="86"/>
      <c r="T31" s="87"/>
      <c r="U31" s="88"/>
      <c r="V31" s="88"/>
      <c r="W31" s="88"/>
      <c r="X31" s="38">
        <f t="shared" si="7"/>
        <v>0</v>
      </c>
      <c r="Y31" s="49">
        <f>MIN(ROUNDDOWN('AUX - PAY'!I32*0.05/2,2),2500)</f>
        <v>0</v>
      </c>
      <c r="Z31" s="86"/>
      <c r="AA31" s="87"/>
      <c r="AB31" s="88"/>
      <c r="AC31" s="88"/>
      <c r="AD31" s="88"/>
      <c r="AE31" s="35">
        <f t="shared" si="8"/>
        <v>0</v>
      </c>
      <c r="AF31" s="62">
        <f t="shared" si="9"/>
        <v>0</v>
      </c>
    </row>
    <row r="32" spans="1:33" ht="18.75" customHeight="1" x14ac:dyDescent="0.25">
      <c r="A32" s="98"/>
      <c r="B32" s="33">
        <f t="shared" si="5"/>
        <v>3</v>
      </c>
      <c r="C32" s="72">
        <f>'AUX - PAY'!C33</f>
        <v>0</v>
      </c>
      <c r="D32" s="72" t="e">
        <f>'AUX - PAY'!D33</f>
        <v>#N/A</v>
      </c>
      <c r="E32" s="306">
        <f>'AUX - PAY'!E33</f>
        <v>0</v>
      </c>
      <c r="F32" s="49">
        <f>'AUX - PAY'!L33</f>
        <v>0</v>
      </c>
      <c r="G32" s="36">
        <f>ROUND('AUX - PAY'!I33*0.09,2)</f>
        <v>0</v>
      </c>
      <c r="H32" s="88"/>
      <c r="I32" s="88"/>
      <c r="J32" s="88"/>
      <c r="K32" s="88"/>
      <c r="L32" s="88"/>
      <c r="M32" s="88"/>
      <c r="N32" s="88"/>
      <c r="O32" s="88"/>
      <c r="P32" s="88"/>
      <c r="Q32" s="88"/>
      <c r="R32" s="41">
        <f t="shared" si="6"/>
        <v>0</v>
      </c>
      <c r="S32" s="86"/>
      <c r="T32" s="87"/>
      <c r="U32" s="88"/>
      <c r="V32" s="88"/>
      <c r="W32" s="88"/>
      <c r="X32" s="38">
        <f t="shared" si="7"/>
        <v>0</v>
      </c>
      <c r="Y32" s="49">
        <f>MIN(ROUNDDOWN('AUX - PAY'!I33*0.05/2,2),2500)</f>
        <v>0</v>
      </c>
      <c r="Z32" s="86"/>
      <c r="AA32" s="87"/>
      <c r="AB32" s="88"/>
      <c r="AC32" s="88"/>
      <c r="AD32" s="88"/>
      <c r="AE32" s="35">
        <f t="shared" si="8"/>
        <v>0</v>
      </c>
      <c r="AF32" s="62">
        <f t="shared" si="9"/>
        <v>0</v>
      </c>
    </row>
    <row r="33" spans="1:32" ht="18.75" customHeight="1" x14ac:dyDescent="0.25">
      <c r="A33" s="98"/>
      <c r="B33" s="33">
        <f t="shared" si="5"/>
        <v>4</v>
      </c>
      <c r="C33" s="72">
        <f>'AUX - PAY'!C34</f>
        <v>0</v>
      </c>
      <c r="D33" s="72" t="e">
        <f>'AUX - PAY'!D34</f>
        <v>#N/A</v>
      </c>
      <c r="E33" s="306">
        <f>'AUX - PAY'!E34</f>
        <v>0</v>
      </c>
      <c r="F33" s="49">
        <f>'AUX - PAY'!L34</f>
        <v>0</v>
      </c>
      <c r="G33" s="36">
        <f>ROUND('AUX - PAY'!I34*0.09,2)</f>
        <v>0</v>
      </c>
      <c r="H33" s="88"/>
      <c r="I33" s="88"/>
      <c r="J33" s="88"/>
      <c r="K33" s="88"/>
      <c r="L33" s="88"/>
      <c r="M33" s="88"/>
      <c r="N33" s="88"/>
      <c r="O33" s="88"/>
      <c r="P33" s="88"/>
      <c r="Q33" s="88"/>
      <c r="R33" s="41">
        <f t="shared" si="6"/>
        <v>0</v>
      </c>
      <c r="S33" s="86"/>
      <c r="T33" s="87"/>
      <c r="U33" s="88"/>
      <c r="V33" s="88"/>
      <c r="W33" s="88"/>
      <c r="X33" s="38">
        <f t="shared" si="7"/>
        <v>0</v>
      </c>
      <c r="Y33" s="49">
        <f>MIN(ROUNDDOWN('AUX - PAY'!I34*0.05/2,2),2500)</f>
        <v>0</v>
      </c>
      <c r="Z33" s="86"/>
      <c r="AA33" s="87"/>
      <c r="AB33" s="88"/>
      <c r="AC33" s="88"/>
      <c r="AD33" s="88"/>
      <c r="AE33" s="35">
        <f t="shared" si="8"/>
        <v>0</v>
      </c>
      <c r="AF33" s="62">
        <f t="shared" si="9"/>
        <v>0</v>
      </c>
    </row>
    <row r="34" spans="1:32" ht="18.75" customHeight="1" x14ac:dyDescent="0.25">
      <c r="A34" s="98"/>
      <c r="B34" s="33">
        <f t="shared" si="5"/>
        <v>5</v>
      </c>
      <c r="C34" s="72">
        <f>'AUX - PAY'!C35</f>
        <v>0</v>
      </c>
      <c r="D34" s="72" t="e">
        <f>'AUX - PAY'!D35</f>
        <v>#N/A</v>
      </c>
      <c r="E34" s="306">
        <f>'AUX - PAY'!E35</f>
        <v>0</v>
      </c>
      <c r="F34" s="49">
        <f>'AUX - PAY'!L35</f>
        <v>0</v>
      </c>
      <c r="G34" s="36">
        <f>ROUND('AUX - PAY'!I35*0.09,2)</f>
        <v>0</v>
      </c>
      <c r="H34" s="88"/>
      <c r="I34" s="88"/>
      <c r="J34" s="88"/>
      <c r="K34" s="88"/>
      <c r="L34" s="88"/>
      <c r="M34" s="88"/>
      <c r="N34" s="88"/>
      <c r="O34" s="88"/>
      <c r="P34" s="88"/>
      <c r="Q34" s="88"/>
      <c r="R34" s="41">
        <f t="shared" si="6"/>
        <v>0</v>
      </c>
      <c r="S34" s="86"/>
      <c r="T34" s="87"/>
      <c r="U34" s="88"/>
      <c r="V34" s="88"/>
      <c r="W34" s="88"/>
      <c r="X34" s="38">
        <f t="shared" si="7"/>
        <v>0</v>
      </c>
      <c r="Y34" s="49">
        <f>MIN(ROUNDDOWN('AUX - PAY'!I35*0.05/2,2),2500)</f>
        <v>0</v>
      </c>
      <c r="Z34" s="86"/>
      <c r="AA34" s="87"/>
      <c r="AB34" s="88"/>
      <c r="AC34" s="88"/>
      <c r="AD34" s="88"/>
      <c r="AE34" s="35">
        <f t="shared" si="8"/>
        <v>0</v>
      </c>
      <c r="AF34" s="62">
        <f t="shared" si="9"/>
        <v>0</v>
      </c>
    </row>
    <row r="35" spans="1:32" ht="18.75" customHeight="1" x14ac:dyDescent="0.25">
      <c r="A35" s="98"/>
      <c r="B35" s="33">
        <f t="shared" si="5"/>
        <v>6</v>
      </c>
      <c r="C35" s="72">
        <f>'AUX - PAY'!C36</f>
        <v>0</v>
      </c>
      <c r="D35" s="72" t="e">
        <f>'AUX - PAY'!D36</f>
        <v>#N/A</v>
      </c>
      <c r="E35" s="306">
        <f>'AUX - PAY'!E36</f>
        <v>0</v>
      </c>
      <c r="F35" s="49">
        <f>'AUX - PAY'!L36</f>
        <v>0</v>
      </c>
      <c r="G35" s="36">
        <f>ROUND('AUX - PAY'!I36*0.09,2)</f>
        <v>0</v>
      </c>
      <c r="H35" s="88"/>
      <c r="I35" s="88"/>
      <c r="J35" s="88"/>
      <c r="K35" s="88"/>
      <c r="L35" s="88"/>
      <c r="M35" s="88"/>
      <c r="N35" s="88"/>
      <c r="O35" s="88"/>
      <c r="P35" s="88"/>
      <c r="Q35" s="88"/>
      <c r="R35" s="41">
        <f t="shared" si="6"/>
        <v>0</v>
      </c>
      <c r="S35" s="86"/>
      <c r="T35" s="87"/>
      <c r="U35" s="88"/>
      <c r="V35" s="88"/>
      <c r="W35" s="88"/>
      <c r="X35" s="38">
        <f t="shared" si="7"/>
        <v>0</v>
      </c>
      <c r="Y35" s="49">
        <f>MIN(ROUNDDOWN('AUX - PAY'!I36*0.05/2,2),2500)</f>
        <v>0</v>
      </c>
      <c r="Z35" s="86"/>
      <c r="AA35" s="87"/>
      <c r="AB35" s="88"/>
      <c r="AC35" s="88"/>
      <c r="AD35" s="88"/>
      <c r="AE35" s="35">
        <f t="shared" si="8"/>
        <v>0</v>
      </c>
      <c r="AF35" s="62">
        <f t="shared" si="9"/>
        <v>0</v>
      </c>
    </row>
    <row r="36" spans="1:32" ht="18.75" customHeight="1" x14ac:dyDescent="0.25">
      <c r="A36" s="98"/>
      <c r="B36" s="33">
        <f t="shared" si="5"/>
        <v>7</v>
      </c>
      <c r="C36" s="72">
        <f>'AUX - PAY'!C37</f>
        <v>0</v>
      </c>
      <c r="D36" s="72" t="e">
        <f>'AUX - PAY'!D37</f>
        <v>#N/A</v>
      </c>
      <c r="E36" s="306">
        <f>'AUX - PAY'!E37</f>
        <v>0</v>
      </c>
      <c r="F36" s="49">
        <f>'AUX - PAY'!L37</f>
        <v>0</v>
      </c>
      <c r="G36" s="36">
        <f>ROUND('AUX - PAY'!I37*0.09,2)</f>
        <v>0</v>
      </c>
      <c r="H36" s="88"/>
      <c r="I36" s="88"/>
      <c r="J36" s="88"/>
      <c r="K36" s="88"/>
      <c r="L36" s="88"/>
      <c r="M36" s="88"/>
      <c r="N36" s="88"/>
      <c r="O36" s="88"/>
      <c r="P36" s="88"/>
      <c r="Q36" s="88"/>
      <c r="R36" s="41">
        <f t="shared" si="6"/>
        <v>0</v>
      </c>
      <c r="S36" s="86"/>
      <c r="T36" s="87"/>
      <c r="U36" s="88"/>
      <c r="V36" s="88"/>
      <c r="W36" s="88"/>
      <c r="X36" s="38">
        <f t="shared" si="7"/>
        <v>0</v>
      </c>
      <c r="Y36" s="49">
        <f>MIN(ROUNDDOWN('AUX - PAY'!I37*0.05/2,2),2500)</f>
        <v>0</v>
      </c>
      <c r="Z36" s="86"/>
      <c r="AA36" s="87"/>
      <c r="AB36" s="88"/>
      <c r="AC36" s="88"/>
      <c r="AD36" s="88"/>
      <c r="AE36" s="35">
        <f t="shared" si="8"/>
        <v>0</v>
      </c>
      <c r="AF36" s="62">
        <f t="shared" si="9"/>
        <v>0</v>
      </c>
    </row>
    <row r="37" spans="1:32" ht="18.75" customHeight="1" x14ac:dyDescent="0.25">
      <c r="A37" s="98"/>
      <c r="B37" s="33">
        <f t="shared" si="5"/>
        <v>8</v>
      </c>
      <c r="C37" s="72">
        <f>'AUX - PAY'!C38</f>
        <v>0</v>
      </c>
      <c r="D37" s="72" t="e">
        <f>'AUX - PAY'!D38</f>
        <v>#N/A</v>
      </c>
      <c r="E37" s="306">
        <f>'AUX - PAY'!E38</f>
        <v>0</v>
      </c>
      <c r="F37" s="49">
        <f>'AUX - PAY'!L38</f>
        <v>0</v>
      </c>
      <c r="G37" s="36">
        <f>ROUND('AUX - PAY'!I38*0.09,2)</f>
        <v>0</v>
      </c>
      <c r="H37" s="88"/>
      <c r="I37" s="88"/>
      <c r="J37" s="88"/>
      <c r="K37" s="88"/>
      <c r="L37" s="88"/>
      <c r="M37" s="88"/>
      <c r="N37" s="88"/>
      <c r="O37" s="88"/>
      <c r="P37" s="88"/>
      <c r="Q37" s="88"/>
      <c r="R37" s="41">
        <f t="shared" si="6"/>
        <v>0</v>
      </c>
      <c r="S37" s="86"/>
      <c r="T37" s="87"/>
      <c r="U37" s="88"/>
      <c r="V37" s="88"/>
      <c r="W37" s="88"/>
      <c r="X37" s="38">
        <f t="shared" si="7"/>
        <v>0</v>
      </c>
      <c r="Y37" s="49">
        <f>MIN(ROUNDDOWN('AUX - PAY'!I38*0.05/2,2),2500)</f>
        <v>0</v>
      </c>
      <c r="Z37" s="86"/>
      <c r="AA37" s="87"/>
      <c r="AB37" s="88"/>
      <c r="AC37" s="88"/>
      <c r="AD37" s="88"/>
      <c r="AE37" s="35">
        <f t="shared" si="8"/>
        <v>0</v>
      </c>
      <c r="AF37" s="62">
        <f t="shared" si="9"/>
        <v>0</v>
      </c>
    </row>
    <row r="38" spans="1:32" ht="18.75" customHeight="1" x14ac:dyDescent="0.25">
      <c r="A38" s="98"/>
      <c r="B38" s="33">
        <f>+B27+1</f>
        <v>9</v>
      </c>
      <c r="C38" s="72">
        <f>'AUX - PAY'!C39</f>
        <v>0</v>
      </c>
      <c r="D38" s="72" t="e">
        <f>'AUX - PAY'!D39</f>
        <v>#N/A</v>
      </c>
      <c r="E38" s="306">
        <f>'AUX - PAY'!E39</f>
        <v>0</v>
      </c>
      <c r="F38" s="49">
        <f>'AUX - PAY'!L39</f>
        <v>0</v>
      </c>
      <c r="G38" s="36">
        <f>ROUND('AUX - PAY'!I39*0.09,2)</f>
        <v>0</v>
      </c>
      <c r="H38" s="88"/>
      <c r="I38" s="88"/>
      <c r="J38" s="88"/>
      <c r="K38" s="88"/>
      <c r="L38" s="88"/>
      <c r="M38" s="88"/>
      <c r="N38" s="88"/>
      <c r="O38" s="88"/>
      <c r="P38" s="88"/>
      <c r="Q38" s="88"/>
      <c r="R38" s="41">
        <f t="shared" si="0"/>
        <v>0</v>
      </c>
      <c r="S38" s="86"/>
      <c r="T38" s="87"/>
      <c r="U38" s="88"/>
      <c r="V38" s="88"/>
      <c r="W38" s="88"/>
      <c r="X38" s="38">
        <f t="shared" si="1"/>
        <v>0</v>
      </c>
      <c r="Y38" s="49">
        <f>MIN(ROUNDDOWN('AUX - PAY'!I39*0.05/2,2),2500)</f>
        <v>0</v>
      </c>
      <c r="Z38" s="86"/>
      <c r="AA38" s="87"/>
      <c r="AB38" s="88"/>
      <c r="AC38" s="88"/>
      <c r="AD38" s="88"/>
      <c r="AE38" s="35">
        <f t="shared" si="3"/>
        <v>0</v>
      </c>
      <c r="AF38" s="62">
        <f t="shared" si="2"/>
        <v>0</v>
      </c>
    </row>
    <row r="39" spans="1:32" ht="18.75" customHeight="1" x14ac:dyDescent="0.25">
      <c r="A39" s="98"/>
      <c r="B39" s="33"/>
      <c r="C39" s="64"/>
      <c r="D39" s="64"/>
      <c r="E39" s="63"/>
      <c r="F39" s="70"/>
      <c r="G39" s="65"/>
      <c r="H39" s="91"/>
      <c r="I39" s="91"/>
      <c r="J39" s="91"/>
      <c r="K39" s="91"/>
      <c r="L39" s="91"/>
      <c r="M39" s="91"/>
      <c r="N39" s="91"/>
      <c r="O39" s="91"/>
      <c r="P39" s="91"/>
      <c r="Q39" s="91"/>
      <c r="R39" s="71"/>
      <c r="S39" s="89"/>
      <c r="T39" s="90"/>
      <c r="U39" s="91"/>
      <c r="V39" s="91"/>
      <c r="W39" s="91"/>
      <c r="X39" s="69"/>
      <c r="Y39" s="70"/>
      <c r="Z39" s="89"/>
      <c r="AA39" s="90"/>
      <c r="AB39" s="91"/>
      <c r="AC39" s="91"/>
      <c r="AD39" s="91"/>
      <c r="AE39" s="67"/>
      <c r="AF39" s="62">
        <f t="shared" si="2"/>
        <v>0</v>
      </c>
    </row>
    <row r="40" spans="1:32" ht="18.75" customHeight="1" thickBot="1" x14ac:dyDescent="0.3">
      <c r="A40" s="98"/>
      <c r="B40" s="16"/>
      <c r="C40" s="16"/>
      <c r="D40" s="16"/>
      <c r="E40" s="324"/>
      <c r="F40" s="81">
        <f t="shared" ref="F40:AF40" si="10">SUM(F20:F39)</f>
        <v>0</v>
      </c>
      <c r="G40" s="73">
        <f t="shared" si="10"/>
        <v>0</v>
      </c>
      <c r="H40" s="94">
        <f t="shared" si="10"/>
        <v>0</v>
      </c>
      <c r="I40" s="94">
        <f t="shared" si="10"/>
        <v>0</v>
      </c>
      <c r="J40" s="94">
        <f t="shared" si="10"/>
        <v>0</v>
      </c>
      <c r="K40" s="94">
        <f t="shared" si="10"/>
        <v>0</v>
      </c>
      <c r="L40" s="94">
        <f t="shared" si="10"/>
        <v>0</v>
      </c>
      <c r="M40" s="94">
        <f t="shared" si="10"/>
        <v>0</v>
      </c>
      <c r="N40" s="94">
        <f t="shared" si="10"/>
        <v>0</v>
      </c>
      <c r="O40" s="94">
        <f t="shared" si="10"/>
        <v>0</v>
      </c>
      <c r="P40" s="94">
        <f t="shared" si="10"/>
        <v>0</v>
      </c>
      <c r="Q40" s="94">
        <f t="shared" si="10"/>
        <v>0</v>
      </c>
      <c r="R40" s="74">
        <f t="shared" si="10"/>
        <v>0</v>
      </c>
      <c r="S40" s="95">
        <f t="shared" si="10"/>
        <v>0</v>
      </c>
      <c r="T40" s="96">
        <f t="shared" si="10"/>
        <v>0</v>
      </c>
      <c r="U40" s="94">
        <f t="shared" si="10"/>
        <v>0</v>
      </c>
      <c r="V40" s="94">
        <f t="shared" si="10"/>
        <v>0</v>
      </c>
      <c r="W40" s="94">
        <f t="shared" si="10"/>
        <v>0</v>
      </c>
      <c r="X40" s="80">
        <f t="shared" si="10"/>
        <v>0</v>
      </c>
      <c r="Y40" s="81">
        <f t="shared" si="10"/>
        <v>0</v>
      </c>
      <c r="Z40" s="95">
        <f t="shared" si="10"/>
        <v>0</v>
      </c>
      <c r="AA40" s="96">
        <f t="shared" si="10"/>
        <v>0</v>
      </c>
      <c r="AB40" s="94">
        <f t="shared" si="10"/>
        <v>0</v>
      </c>
      <c r="AC40" s="94">
        <f t="shared" si="10"/>
        <v>0</v>
      </c>
      <c r="AD40" s="94">
        <f t="shared" si="10"/>
        <v>0</v>
      </c>
      <c r="AE40" s="80">
        <f t="shared" si="10"/>
        <v>0</v>
      </c>
      <c r="AF40" s="81">
        <f t="shared" si="10"/>
        <v>0</v>
      </c>
    </row>
    <row r="41" spans="1:32" x14ac:dyDescent="0.25">
      <c r="R41" s="75">
        <f>R40-'AUX - PAY'!M41</f>
        <v>0</v>
      </c>
      <c r="X41" s="75">
        <f>X40-'AUX - PAY'!N41</f>
        <v>0</v>
      </c>
      <c r="Y41" s="75">
        <f>Y40-'AUX - PAY'!O41</f>
        <v>0</v>
      </c>
      <c r="AE41" s="75">
        <f>AE40-'AUX - PAY'!P41</f>
        <v>0</v>
      </c>
      <c r="AF41" s="75">
        <f>AF40-'AUX - PAY'!Q41</f>
        <v>0</v>
      </c>
    </row>
    <row r="42" spans="1:32" x14ac:dyDescent="0.25">
      <c r="AF42" s="75"/>
    </row>
    <row r="43" spans="1:32" x14ac:dyDescent="0.25">
      <c r="C43" s="820" t="s">
        <v>47</v>
      </c>
      <c r="D43" s="820"/>
    </row>
    <row r="44" spans="1:32" x14ac:dyDescent="0.25">
      <c r="C44" s="827" t="s">
        <v>93</v>
      </c>
      <c r="D44" s="827"/>
    </row>
    <row r="46" spans="1:32" x14ac:dyDescent="0.25">
      <c r="C46" s="32"/>
    </row>
  </sheetData>
  <mergeCells count="48">
    <mergeCell ref="B14:Z14"/>
    <mergeCell ref="AE2:AF2"/>
    <mergeCell ref="B3:AF3"/>
    <mergeCell ref="B4:AF4"/>
    <mergeCell ref="B5:AF5"/>
    <mergeCell ref="B6:AF6"/>
    <mergeCell ref="B8:AF8"/>
    <mergeCell ref="B9:AF9"/>
    <mergeCell ref="B10:AF10"/>
    <mergeCell ref="D11:D13"/>
    <mergeCell ref="B12:C12"/>
    <mergeCell ref="AD12:AF12"/>
    <mergeCell ref="B16:B18"/>
    <mergeCell ref="C16:C18"/>
    <mergeCell ref="D16:D18"/>
    <mergeCell ref="E16:E18"/>
    <mergeCell ref="F16:F18"/>
    <mergeCell ref="S16:X16"/>
    <mergeCell ref="Y16:Y18"/>
    <mergeCell ref="Z16:AE16"/>
    <mergeCell ref="AF16:AF18"/>
    <mergeCell ref="G17:G18"/>
    <mergeCell ref="I17:I18"/>
    <mergeCell ref="J17:J18"/>
    <mergeCell ref="K17:K18"/>
    <mergeCell ref="L17:L18"/>
    <mergeCell ref="M17:M18"/>
    <mergeCell ref="G16:R16"/>
    <mergeCell ref="N17:N18"/>
    <mergeCell ref="O17:O18"/>
    <mergeCell ref="Q17:Q18"/>
    <mergeCell ref="R17:R18"/>
    <mergeCell ref="AA17:AA18"/>
    <mergeCell ref="AB17:AB18"/>
    <mergeCell ref="AC17:AC18"/>
    <mergeCell ref="AD17:AD18"/>
    <mergeCell ref="AE17:AE18"/>
    <mergeCell ref="C43:D43"/>
    <mergeCell ref="C44:D44"/>
    <mergeCell ref="P17:P18"/>
    <mergeCell ref="H17:H18"/>
    <mergeCell ref="Z17:Z18"/>
    <mergeCell ref="S17:S18"/>
    <mergeCell ref="T17:T18"/>
    <mergeCell ref="U17:U18"/>
    <mergeCell ref="V17:V18"/>
    <mergeCell ref="W17:W18"/>
    <mergeCell ref="X17:X18"/>
  </mergeCells>
  <printOptions horizontalCentered="1"/>
  <pageMargins left="0.39370078740157483" right="0.39370078740157483" top="0.39370078740157483" bottom="0.39370078740157483" header="0" footer="0.19685039370078741"/>
  <pageSetup paperSize="14" scale="41" fitToHeight="0" orientation="landscape" r:id="rId1"/>
  <headerFooter alignWithMargins="0">
    <oddHeader>&amp;R&amp;16
Sheet &amp;"Times New Roman,Bold"&amp;U&amp;P&amp;"Times New Roman,Regular"&amp;U of &amp;"Times New Roman,Bold"&amp;U&amp;N&amp;"Times New Roman,Regular"&amp;U Sheet/s</oddHead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tabColor rgb="FF00B0F0"/>
  </sheetPr>
  <dimension ref="B2:O36"/>
  <sheetViews>
    <sheetView workbookViewId="0">
      <selection activeCell="C8" sqref="C8:C24"/>
    </sheetView>
  </sheetViews>
  <sheetFormatPr defaultRowHeight="15.75" x14ac:dyDescent="0.25"/>
  <cols>
    <col min="1" max="2" width="9" style="4"/>
    <col min="3" max="3" width="31.625" style="4" bestFit="1" customWidth="1"/>
    <col min="4" max="4" width="21.75" style="4" bestFit="1" customWidth="1"/>
    <col min="5" max="5" width="12.375" style="57" customWidth="1"/>
    <col min="6" max="14" width="12.375" style="57" bestFit="1" customWidth="1"/>
    <col min="15" max="15" width="10.375" style="4" bestFit="1" customWidth="1"/>
    <col min="16" max="16384" width="9" style="4"/>
  </cols>
  <sheetData>
    <row r="2" spans="2:15" ht="27.75" customHeight="1" thickBot="1" x14ac:dyDescent="0.3">
      <c r="B2" s="785" t="s">
        <v>156</v>
      </c>
      <c r="C2" s="785"/>
      <c r="D2" s="785"/>
      <c r="E2" s="785"/>
      <c r="F2" s="785"/>
      <c r="G2" s="785"/>
      <c r="H2" s="785"/>
      <c r="I2" s="785"/>
      <c r="J2" s="785"/>
      <c r="K2" s="785"/>
      <c r="L2" s="785"/>
      <c r="M2" s="785"/>
      <c r="N2" s="785"/>
    </row>
    <row r="3" spans="2:15" ht="27.75" customHeight="1" thickBot="1" x14ac:dyDescent="0.3">
      <c r="B3" s="920" t="s">
        <v>112</v>
      </c>
      <c r="C3" s="920"/>
      <c r="D3" s="920"/>
      <c r="E3" s="920"/>
      <c r="F3" s="920"/>
      <c r="G3" s="920"/>
      <c r="H3" s="920"/>
      <c r="I3" s="920"/>
      <c r="J3" s="920"/>
      <c r="K3" s="920"/>
      <c r="L3" s="920"/>
      <c r="M3" s="920"/>
      <c r="N3" s="920"/>
    </row>
    <row r="4" spans="2:15" ht="15.75" customHeight="1" x14ac:dyDescent="0.25">
      <c r="B4" s="802" t="s">
        <v>6</v>
      </c>
      <c r="C4" s="806" t="s">
        <v>1</v>
      </c>
      <c r="D4" s="815" t="s">
        <v>2</v>
      </c>
      <c r="E4" s="780" t="s">
        <v>14</v>
      </c>
      <c r="F4" s="780" t="s">
        <v>54</v>
      </c>
      <c r="G4" s="802" t="s">
        <v>157</v>
      </c>
      <c r="H4" s="809" t="s">
        <v>153</v>
      </c>
      <c r="I4" s="810"/>
      <c r="J4" s="810"/>
      <c r="K4" s="810"/>
      <c r="L4" s="810"/>
      <c r="M4" s="810"/>
      <c r="N4" s="811"/>
    </row>
    <row r="5" spans="2:15" ht="16.5" thickBot="1" x14ac:dyDescent="0.3">
      <c r="B5" s="803"/>
      <c r="C5" s="807"/>
      <c r="D5" s="816"/>
      <c r="E5" s="781"/>
      <c r="F5" s="781"/>
      <c r="G5" s="803"/>
      <c r="H5" s="812"/>
      <c r="I5" s="813"/>
      <c r="J5" s="813"/>
      <c r="K5" s="813"/>
      <c r="L5" s="813"/>
      <c r="M5" s="813"/>
      <c r="N5" s="814"/>
    </row>
    <row r="6" spans="2:15" ht="16.5" thickBot="1" x14ac:dyDescent="0.3">
      <c r="B6" s="803"/>
      <c r="C6" s="807"/>
      <c r="D6" s="816"/>
      <c r="E6" s="781"/>
      <c r="F6" s="781"/>
      <c r="G6" s="804"/>
      <c r="H6" s="323" t="s">
        <v>150</v>
      </c>
      <c r="I6" s="319" t="s">
        <v>154</v>
      </c>
      <c r="J6" s="323" t="s">
        <v>151</v>
      </c>
      <c r="K6" s="319" t="s">
        <v>154</v>
      </c>
      <c r="L6" s="323" t="s">
        <v>152</v>
      </c>
      <c r="M6" s="319" t="s">
        <v>154</v>
      </c>
      <c r="N6" s="319" t="s">
        <v>155</v>
      </c>
    </row>
    <row r="7" spans="2:15" x14ac:dyDescent="0.25">
      <c r="B7" s="42"/>
      <c r="C7" s="320"/>
      <c r="D7" s="321"/>
      <c r="E7" s="322"/>
      <c r="F7" s="322"/>
      <c r="G7" s="55"/>
      <c r="H7" s="322"/>
      <c r="I7" s="55"/>
      <c r="J7" s="322"/>
      <c r="K7" s="55"/>
      <c r="L7" s="322"/>
      <c r="M7" s="55"/>
      <c r="N7" s="55"/>
    </row>
    <row r="8" spans="2:15" x14ac:dyDescent="0.25">
      <c r="B8" s="34">
        <v>1</v>
      </c>
      <c r="C8" s="184"/>
      <c r="D8" s="185"/>
      <c r="E8" s="313"/>
      <c r="F8" s="225"/>
      <c r="G8" s="188">
        <f>'CEN - PAY'!I21/31</f>
        <v>0</v>
      </c>
      <c r="H8" s="313"/>
      <c r="I8" s="188">
        <f>ROUND(G8*H8,2)</f>
        <v>0</v>
      </c>
      <c r="J8" s="313"/>
      <c r="K8" s="188">
        <f>ROUND(G8/8*J8,2)</f>
        <v>0</v>
      </c>
      <c r="L8" s="313"/>
      <c r="M8" s="188">
        <f>ROUND(G8/8/60*L8,2)</f>
        <v>0</v>
      </c>
      <c r="N8" s="188">
        <f>I8+K8+M8</f>
        <v>0</v>
      </c>
      <c r="O8" s="75"/>
    </row>
    <row r="9" spans="2:15" x14ac:dyDescent="0.25">
      <c r="B9" s="34">
        <f>+B8+1</f>
        <v>2</v>
      </c>
      <c r="C9" s="184"/>
      <c r="D9" s="185"/>
      <c r="E9" s="313"/>
      <c r="F9" s="225"/>
      <c r="G9" s="188">
        <f>'CEN - PAY'!I22/31</f>
        <v>0</v>
      </c>
      <c r="H9" s="313"/>
      <c r="I9" s="188">
        <f t="shared" ref="I9:I34" si="0">ROUND(G9*H9,2)</f>
        <v>0</v>
      </c>
      <c r="J9" s="313"/>
      <c r="K9" s="188">
        <f t="shared" ref="K9:K34" si="1">ROUND(G9/8*J9,2)</f>
        <v>0</v>
      </c>
      <c r="L9" s="313"/>
      <c r="M9" s="188">
        <f t="shared" ref="M9:M34" si="2">ROUND(G9/8/60*L9,2)</f>
        <v>0</v>
      </c>
      <c r="N9" s="188">
        <f t="shared" ref="N9:N34" si="3">I9+K9+M9</f>
        <v>0</v>
      </c>
      <c r="O9" s="75"/>
    </row>
    <row r="10" spans="2:15" x14ac:dyDescent="0.25">
      <c r="B10" s="34">
        <f t="shared" ref="B10:B23" si="4">+B9+1</f>
        <v>3</v>
      </c>
      <c r="C10" s="344"/>
      <c r="D10" s="330"/>
      <c r="E10" s="345"/>
      <c r="F10" s="346"/>
      <c r="G10" s="188">
        <f>'CEN - PAY'!I23/31</f>
        <v>0</v>
      </c>
      <c r="H10" s="313"/>
      <c r="I10" s="188">
        <f t="shared" si="0"/>
        <v>0</v>
      </c>
      <c r="J10" s="313"/>
      <c r="K10" s="188">
        <f t="shared" si="1"/>
        <v>0</v>
      </c>
      <c r="L10" s="313"/>
      <c r="M10" s="188">
        <f t="shared" si="2"/>
        <v>0</v>
      </c>
      <c r="N10" s="188">
        <f t="shared" si="3"/>
        <v>0</v>
      </c>
      <c r="O10" s="75"/>
    </row>
    <row r="11" spans="2:15" x14ac:dyDescent="0.25">
      <c r="B11" s="34">
        <f t="shared" si="4"/>
        <v>4</v>
      </c>
      <c r="C11" s="184"/>
      <c r="D11" s="185"/>
      <c r="E11" s="313"/>
      <c r="F11" s="225"/>
      <c r="G11" s="188">
        <f>'CEN - PAY'!I24/31</f>
        <v>0</v>
      </c>
      <c r="H11" s="313"/>
      <c r="I11" s="188">
        <f t="shared" si="0"/>
        <v>0</v>
      </c>
      <c r="J11" s="313"/>
      <c r="K11" s="188">
        <f t="shared" si="1"/>
        <v>0</v>
      </c>
      <c r="L11" s="313"/>
      <c r="M11" s="188">
        <f t="shared" si="2"/>
        <v>0</v>
      </c>
      <c r="N11" s="188">
        <f t="shared" si="3"/>
        <v>0</v>
      </c>
      <c r="O11" s="75"/>
    </row>
    <row r="12" spans="2:15" x14ac:dyDescent="0.25">
      <c r="B12" s="34">
        <f t="shared" si="4"/>
        <v>5</v>
      </c>
      <c r="C12" s="184"/>
      <c r="D12" s="185"/>
      <c r="E12" s="313"/>
      <c r="F12" s="225"/>
      <c r="G12" s="188">
        <f>'CEN - PAY'!I25/31</f>
        <v>0</v>
      </c>
      <c r="H12" s="313"/>
      <c r="I12" s="188">
        <f t="shared" si="0"/>
        <v>0</v>
      </c>
      <c r="J12" s="313"/>
      <c r="K12" s="188">
        <f t="shared" si="1"/>
        <v>0</v>
      </c>
      <c r="L12" s="313"/>
      <c r="M12" s="188">
        <f t="shared" si="2"/>
        <v>0</v>
      </c>
      <c r="N12" s="188">
        <f t="shared" si="3"/>
        <v>0</v>
      </c>
      <c r="O12" s="75"/>
    </row>
    <row r="13" spans="2:15" x14ac:dyDescent="0.25">
      <c r="B13" s="34">
        <f t="shared" si="4"/>
        <v>6</v>
      </c>
      <c r="C13" s="184"/>
      <c r="D13" s="185"/>
      <c r="E13" s="313"/>
      <c r="F13" s="225"/>
      <c r="G13" s="188">
        <f>'CEN - PAY'!I26/31</f>
        <v>0</v>
      </c>
      <c r="H13" s="313"/>
      <c r="I13" s="188">
        <f t="shared" si="0"/>
        <v>0</v>
      </c>
      <c r="J13" s="313"/>
      <c r="K13" s="188">
        <f t="shared" si="1"/>
        <v>0</v>
      </c>
      <c r="L13" s="313"/>
      <c r="M13" s="188">
        <f t="shared" si="2"/>
        <v>0</v>
      </c>
      <c r="N13" s="188">
        <f t="shared" si="3"/>
        <v>0</v>
      </c>
      <c r="O13" s="75"/>
    </row>
    <row r="14" spans="2:15" x14ac:dyDescent="0.25">
      <c r="B14" s="34">
        <f t="shared" si="4"/>
        <v>7</v>
      </c>
      <c r="C14" s="184"/>
      <c r="D14" s="185"/>
      <c r="E14" s="313"/>
      <c r="F14" s="225"/>
      <c r="G14" s="188">
        <f>'CEN - PAY'!I27/31</f>
        <v>0</v>
      </c>
      <c r="H14" s="313"/>
      <c r="I14" s="188">
        <f t="shared" si="0"/>
        <v>0</v>
      </c>
      <c r="J14" s="313"/>
      <c r="K14" s="188">
        <f t="shared" si="1"/>
        <v>0</v>
      </c>
      <c r="L14" s="313"/>
      <c r="M14" s="188">
        <f t="shared" si="2"/>
        <v>0</v>
      </c>
      <c r="N14" s="188">
        <f t="shared" si="3"/>
        <v>0</v>
      </c>
      <c r="O14" s="75"/>
    </row>
    <row r="15" spans="2:15" x14ac:dyDescent="0.25">
      <c r="B15" s="34">
        <f t="shared" si="4"/>
        <v>8</v>
      </c>
      <c r="C15" s="184"/>
      <c r="D15" s="185"/>
      <c r="E15" s="313"/>
      <c r="F15" s="225"/>
      <c r="G15" s="188">
        <f>'CEN - PAY'!I28/31</f>
        <v>0</v>
      </c>
      <c r="H15" s="313"/>
      <c r="I15" s="188">
        <f t="shared" si="0"/>
        <v>0</v>
      </c>
      <c r="J15" s="313"/>
      <c r="K15" s="188">
        <f t="shared" si="1"/>
        <v>0</v>
      </c>
      <c r="L15" s="313"/>
      <c r="M15" s="188">
        <f t="shared" si="2"/>
        <v>0</v>
      </c>
      <c r="N15" s="188">
        <f t="shared" si="3"/>
        <v>0</v>
      </c>
      <c r="O15" s="75"/>
    </row>
    <row r="16" spans="2:15" x14ac:dyDescent="0.25">
      <c r="B16" s="34">
        <f t="shared" si="4"/>
        <v>9</v>
      </c>
      <c r="C16" s="184"/>
      <c r="D16" s="185"/>
      <c r="E16" s="313"/>
      <c r="F16" s="225"/>
      <c r="G16" s="188">
        <f>'CEN - PAY'!I29/31</f>
        <v>0</v>
      </c>
      <c r="H16" s="313"/>
      <c r="I16" s="188">
        <f t="shared" si="0"/>
        <v>0</v>
      </c>
      <c r="J16" s="313"/>
      <c r="K16" s="188">
        <f t="shared" si="1"/>
        <v>0</v>
      </c>
      <c r="L16" s="313"/>
      <c r="M16" s="188">
        <f t="shared" si="2"/>
        <v>0</v>
      </c>
      <c r="N16" s="188">
        <f t="shared" si="3"/>
        <v>0</v>
      </c>
      <c r="O16" s="75"/>
    </row>
    <row r="17" spans="2:15" x14ac:dyDescent="0.25">
      <c r="B17" s="34">
        <f t="shared" si="4"/>
        <v>10</v>
      </c>
      <c r="C17" s="186"/>
      <c r="D17" s="185"/>
      <c r="E17" s="314"/>
      <c r="F17" s="331"/>
      <c r="G17" s="188">
        <f>'CEN - PAY'!I30/31</f>
        <v>0</v>
      </c>
      <c r="H17" s="313"/>
      <c r="I17" s="188">
        <f t="shared" si="0"/>
        <v>0</v>
      </c>
      <c r="J17" s="313"/>
      <c r="K17" s="188">
        <f t="shared" si="1"/>
        <v>0</v>
      </c>
      <c r="L17" s="313"/>
      <c r="M17" s="188">
        <f t="shared" si="2"/>
        <v>0</v>
      </c>
      <c r="N17" s="188">
        <f t="shared" si="3"/>
        <v>0</v>
      </c>
      <c r="O17" s="75"/>
    </row>
    <row r="18" spans="2:15" x14ac:dyDescent="0.25">
      <c r="B18" s="34">
        <f t="shared" si="4"/>
        <v>11</v>
      </c>
      <c r="C18" s="186"/>
      <c r="D18" s="185"/>
      <c r="E18" s="314"/>
      <c r="F18" s="331"/>
      <c r="G18" s="188">
        <f>'CEN - PAY'!I31/31</f>
        <v>0</v>
      </c>
      <c r="H18" s="313"/>
      <c r="I18" s="188">
        <f t="shared" si="0"/>
        <v>0</v>
      </c>
      <c r="J18" s="313"/>
      <c r="K18" s="188">
        <f t="shared" si="1"/>
        <v>0</v>
      </c>
      <c r="L18" s="313"/>
      <c r="M18" s="188">
        <f t="shared" si="2"/>
        <v>0</v>
      </c>
      <c r="N18" s="188">
        <f t="shared" si="3"/>
        <v>0</v>
      </c>
      <c r="O18" s="75"/>
    </row>
    <row r="19" spans="2:15" x14ac:dyDescent="0.25">
      <c r="B19" s="34">
        <f t="shared" si="4"/>
        <v>12</v>
      </c>
      <c r="C19" s="186"/>
      <c r="D19" s="185"/>
      <c r="E19" s="314"/>
      <c r="F19" s="331"/>
      <c r="G19" s="188">
        <f>'CEN - PAY'!I32/31</f>
        <v>0</v>
      </c>
      <c r="H19" s="313"/>
      <c r="I19" s="188">
        <f t="shared" si="0"/>
        <v>0</v>
      </c>
      <c r="J19" s="313"/>
      <c r="K19" s="188">
        <f t="shared" si="1"/>
        <v>0</v>
      </c>
      <c r="L19" s="313"/>
      <c r="M19" s="188">
        <f t="shared" si="2"/>
        <v>0</v>
      </c>
      <c r="N19" s="188">
        <f t="shared" si="3"/>
        <v>0</v>
      </c>
      <c r="O19" s="75"/>
    </row>
    <row r="20" spans="2:15" x14ac:dyDescent="0.25">
      <c r="B20" s="34">
        <f t="shared" si="4"/>
        <v>13</v>
      </c>
      <c r="C20" s="186"/>
      <c r="D20" s="185"/>
      <c r="E20" s="314"/>
      <c r="F20" s="331"/>
      <c r="G20" s="188">
        <f>'CEN - PAY'!I33/31</f>
        <v>0</v>
      </c>
      <c r="H20" s="313"/>
      <c r="I20" s="188">
        <f t="shared" si="0"/>
        <v>0</v>
      </c>
      <c r="J20" s="313"/>
      <c r="K20" s="188">
        <f t="shared" si="1"/>
        <v>0</v>
      </c>
      <c r="L20" s="313"/>
      <c r="M20" s="188">
        <f t="shared" si="2"/>
        <v>0</v>
      </c>
      <c r="N20" s="188">
        <f t="shared" si="3"/>
        <v>0</v>
      </c>
      <c r="O20" s="75"/>
    </row>
    <row r="21" spans="2:15" x14ac:dyDescent="0.25">
      <c r="B21" s="34">
        <f t="shared" si="4"/>
        <v>14</v>
      </c>
      <c r="C21" s="186"/>
      <c r="D21" s="305"/>
      <c r="E21" s="314"/>
      <c r="F21" s="331"/>
      <c r="G21" s="188">
        <f>'CEN - PAY'!I34/31</f>
        <v>0</v>
      </c>
      <c r="H21" s="313"/>
      <c r="I21" s="188">
        <f t="shared" si="0"/>
        <v>0</v>
      </c>
      <c r="J21" s="313"/>
      <c r="K21" s="188">
        <f t="shared" si="1"/>
        <v>0</v>
      </c>
      <c r="L21" s="313"/>
      <c r="M21" s="188">
        <f t="shared" si="2"/>
        <v>0</v>
      </c>
      <c r="N21" s="188">
        <f t="shared" si="3"/>
        <v>0</v>
      </c>
      <c r="O21" s="75"/>
    </row>
    <row r="22" spans="2:15" x14ac:dyDescent="0.25">
      <c r="B22" s="34">
        <f t="shared" si="4"/>
        <v>15</v>
      </c>
      <c r="C22" s="186"/>
      <c r="D22" s="305"/>
      <c r="E22" s="314"/>
      <c r="F22" s="331"/>
      <c r="G22" s="188">
        <f>'CEN - PAY'!I35/31</f>
        <v>0</v>
      </c>
      <c r="H22" s="313"/>
      <c r="I22" s="188">
        <f t="shared" si="0"/>
        <v>0</v>
      </c>
      <c r="J22" s="313"/>
      <c r="K22" s="188">
        <f t="shared" si="1"/>
        <v>0</v>
      </c>
      <c r="L22" s="313"/>
      <c r="M22" s="188">
        <f t="shared" si="2"/>
        <v>0</v>
      </c>
      <c r="N22" s="188">
        <f t="shared" si="3"/>
        <v>0</v>
      </c>
      <c r="O22" s="75"/>
    </row>
    <row r="23" spans="2:15" x14ac:dyDescent="0.25">
      <c r="B23" s="34">
        <f t="shared" si="4"/>
        <v>16</v>
      </c>
      <c r="C23" s="186"/>
      <c r="D23" s="305"/>
      <c r="E23" s="314"/>
      <c r="F23" s="331"/>
      <c r="G23" s="188">
        <f>'CEN - PAY'!I36/31</f>
        <v>0</v>
      </c>
      <c r="H23" s="313"/>
      <c r="I23" s="188">
        <f t="shared" si="0"/>
        <v>0</v>
      </c>
      <c r="J23" s="313"/>
      <c r="K23" s="188">
        <f t="shared" si="1"/>
        <v>0</v>
      </c>
      <c r="L23" s="313"/>
      <c r="M23" s="188">
        <f t="shared" si="2"/>
        <v>0</v>
      </c>
      <c r="N23" s="188">
        <f t="shared" si="3"/>
        <v>0</v>
      </c>
      <c r="O23" s="75"/>
    </row>
    <row r="24" spans="2:15" x14ac:dyDescent="0.25">
      <c r="B24" s="34">
        <f t="shared" ref="B24:B33" si="5">+B13+1</f>
        <v>7</v>
      </c>
      <c r="C24" s="184"/>
      <c r="D24" s="185"/>
      <c r="E24" s="313"/>
      <c r="F24" s="225"/>
      <c r="G24" s="188">
        <f>'CEN - PAY'!I27/31</f>
        <v>0</v>
      </c>
      <c r="H24" s="313"/>
      <c r="I24" s="188">
        <f t="shared" ref="I24:I33" si="6">ROUND(G24*H24,2)</f>
        <v>0</v>
      </c>
      <c r="J24" s="313"/>
      <c r="K24" s="188">
        <f t="shared" ref="K24:K33" si="7">ROUND(G24/8*J24,2)</f>
        <v>0</v>
      </c>
      <c r="L24" s="313"/>
      <c r="M24" s="188">
        <f t="shared" ref="M24:M33" si="8">ROUND(G24/8/60*L24,2)</f>
        <v>0</v>
      </c>
      <c r="N24" s="188">
        <f t="shared" ref="N24:N33" si="9">I24+K24+M24</f>
        <v>0</v>
      </c>
      <c r="O24" s="75"/>
    </row>
    <row r="25" spans="2:15" x14ac:dyDescent="0.25">
      <c r="B25" s="34">
        <f t="shared" si="5"/>
        <v>8</v>
      </c>
      <c r="C25" s="184"/>
      <c r="D25" s="185"/>
      <c r="E25" s="313"/>
      <c r="F25" s="225"/>
      <c r="G25" s="188">
        <f>'CEN - PAY'!I28/31</f>
        <v>0</v>
      </c>
      <c r="H25" s="313"/>
      <c r="I25" s="188">
        <f t="shared" si="6"/>
        <v>0</v>
      </c>
      <c r="J25" s="313"/>
      <c r="K25" s="188">
        <f t="shared" si="7"/>
        <v>0</v>
      </c>
      <c r="L25" s="313"/>
      <c r="M25" s="188">
        <f t="shared" si="8"/>
        <v>0</v>
      </c>
      <c r="N25" s="188">
        <f t="shared" si="9"/>
        <v>0</v>
      </c>
      <c r="O25" s="75"/>
    </row>
    <row r="26" spans="2:15" x14ac:dyDescent="0.25">
      <c r="B26" s="34">
        <f t="shared" si="5"/>
        <v>9</v>
      </c>
      <c r="C26" s="184"/>
      <c r="D26" s="185"/>
      <c r="E26" s="313"/>
      <c r="F26" s="225"/>
      <c r="G26" s="188">
        <f>'CEN - PAY'!I29/31</f>
        <v>0</v>
      </c>
      <c r="H26" s="313"/>
      <c r="I26" s="188">
        <f t="shared" si="6"/>
        <v>0</v>
      </c>
      <c r="J26" s="313"/>
      <c r="K26" s="188">
        <f t="shared" si="7"/>
        <v>0</v>
      </c>
      <c r="L26" s="313"/>
      <c r="M26" s="188">
        <f t="shared" si="8"/>
        <v>0</v>
      </c>
      <c r="N26" s="188">
        <f t="shared" si="9"/>
        <v>0</v>
      </c>
      <c r="O26" s="75"/>
    </row>
    <row r="27" spans="2:15" x14ac:dyDescent="0.25">
      <c r="B27" s="34">
        <f t="shared" si="5"/>
        <v>10</v>
      </c>
      <c r="C27" s="184"/>
      <c r="D27" s="185"/>
      <c r="E27" s="313"/>
      <c r="F27" s="225"/>
      <c r="G27" s="188">
        <f>'CEN - PAY'!I30/31</f>
        <v>0</v>
      </c>
      <c r="H27" s="313"/>
      <c r="I27" s="188">
        <f t="shared" si="6"/>
        <v>0</v>
      </c>
      <c r="J27" s="313"/>
      <c r="K27" s="188">
        <f t="shared" si="7"/>
        <v>0</v>
      </c>
      <c r="L27" s="313"/>
      <c r="M27" s="188">
        <f t="shared" si="8"/>
        <v>0</v>
      </c>
      <c r="N27" s="188">
        <f t="shared" si="9"/>
        <v>0</v>
      </c>
      <c r="O27" s="75"/>
    </row>
    <row r="28" spans="2:15" x14ac:dyDescent="0.25">
      <c r="B28" s="34">
        <f t="shared" si="5"/>
        <v>11</v>
      </c>
      <c r="C28" s="184"/>
      <c r="D28" s="185"/>
      <c r="E28" s="313"/>
      <c r="F28" s="225"/>
      <c r="G28" s="188">
        <f>'CEN - PAY'!I31/31</f>
        <v>0</v>
      </c>
      <c r="H28" s="313"/>
      <c r="I28" s="188">
        <f t="shared" si="6"/>
        <v>0</v>
      </c>
      <c r="J28" s="313"/>
      <c r="K28" s="188">
        <f t="shared" si="7"/>
        <v>0</v>
      </c>
      <c r="L28" s="313"/>
      <c r="M28" s="188">
        <f t="shared" si="8"/>
        <v>0</v>
      </c>
      <c r="N28" s="188">
        <f t="shared" si="9"/>
        <v>0</v>
      </c>
      <c r="O28" s="75"/>
    </row>
    <row r="29" spans="2:15" x14ac:dyDescent="0.25">
      <c r="B29" s="34">
        <f t="shared" si="5"/>
        <v>12</v>
      </c>
      <c r="C29" s="184"/>
      <c r="D29" s="185"/>
      <c r="E29" s="313"/>
      <c r="F29" s="225"/>
      <c r="G29" s="188">
        <f>'CEN - PAY'!I32/31</f>
        <v>0</v>
      </c>
      <c r="H29" s="313"/>
      <c r="I29" s="188">
        <f t="shared" si="6"/>
        <v>0</v>
      </c>
      <c r="J29" s="313"/>
      <c r="K29" s="188">
        <f t="shared" si="7"/>
        <v>0</v>
      </c>
      <c r="L29" s="313"/>
      <c r="M29" s="188">
        <f t="shared" si="8"/>
        <v>0</v>
      </c>
      <c r="N29" s="188">
        <f t="shared" si="9"/>
        <v>0</v>
      </c>
      <c r="O29" s="75"/>
    </row>
    <row r="30" spans="2:15" x14ac:dyDescent="0.25">
      <c r="B30" s="34">
        <f t="shared" si="5"/>
        <v>13</v>
      </c>
      <c r="C30" s="184"/>
      <c r="D30" s="185"/>
      <c r="E30" s="313"/>
      <c r="F30" s="225"/>
      <c r="G30" s="188">
        <f>'CEN - PAY'!I33/31</f>
        <v>0</v>
      </c>
      <c r="H30" s="313"/>
      <c r="I30" s="188">
        <f t="shared" si="6"/>
        <v>0</v>
      </c>
      <c r="J30" s="313"/>
      <c r="K30" s="188">
        <f t="shared" si="7"/>
        <v>0</v>
      </c>
      <c r="L30" s="313"/>
      <c r="M30" s="188">
        <f t="shared" si="8"/>
        <v>0</v>
      </c>
      <c r="N30" s="188">
        <f t="shared" si="9"/>
        <v>0</v>
      </c>
      <c r="O30" s="75"/>
    </row>
    <row r="31" spans="2:15" x14ac:dyDescent="0.25">
      <c r="B31" s="34">
        <f t="shared" si="5"/>
        <v>14</v>
      </c>
      <c r="C31" s="184"/>
      <c r="D31" s="185"/>
      <c r="E31" s="313"/>
      <c r="F31" s="225"/>
      <c r="G31" s="188">
        <f>'CEN - PAY'!I34/31</f>
        <v>0</v>
      </c>
      <c r="H31" s="313"/>
      <c r="I31" s="188">
        <f t="shared" si="6"/>
        <v>0</v>
      </c>
      <c r="J31" s="313"/>
      <c r="K31" s="188">
        <f t="shared" si="7"/>
        <v>0</v>
      </c>
      <c r="L31" s="313"/>
      <c r="M31" s="188">
        <f t="shared" si="8"/>
        <v>0</v>
      </c>
      <c r="N31" s="188">
        <f t="shared" si="9"/>
        <v>0</v>
      </c>
      <c r="O31" s="75"/>
    </row>
    <row r="32" spans="2:15" x14ac:dyDescent="0.25">
      <c r="B32" s="34">
        <f t="shared" si="5"/>
        <v>15</v>
      </c>
      <c r="C32" s="184"/>
      <c r="D32" s="185"/>
      <c r="E32" s="313"/>
      <c r="F32" s="225"/>
      <c r="G32" s="188">
        <f>'CEN - PAY'!I35/31</f>
        <v>0</v>
      </c>
      <c r="H32" s="313"/>
      <c r="I32" s="188">
        <f t="shared" si="6"/>
        <v>0</v>
      </c>
      <c r="J32" s="313"/>
      <c r="K32" s="188">
        <f t="shared" si="7"/>
        <v>0</v>
      </c>
      <c r="L32" s="313"/>
      <c r="M32" s="188">
        <f t="shared" si="8"/>
        <v>0</v>
      </c>
      <c r="N32" s="188">
        <f t="shared" si="9"/>
        <v>0</v>
      </c>
      <c r="O32" s="75"/>
    </row>
    <row r="33" spans="2:15" x14ac:dyDescent="0.25">
      <c r="B33" s="34">
        <f t="shared" si="5"/>
        <v>16</v>
      </c>
      <c r="C33" s="184"/>
      <c r="D33" s="185"/>
      <c r="E33" s="313"/>
      <c r="F33" s="225"/>
      <c r="G33" s="188">
        <f>'CEN - PAY'!I36/31</f>
        <v>0</v>
      </c>
      <c r="H33" s="313"/>
      <c r="I33" s="188">
        <f t="shared" si="6"/>
        <v>0</v>
      </c>
      <c r="J33" s="313"/>
      <c r="K33" s="188">
        <f t="shared" si="7"/>
        <v>0</v>
      </c>
      <c r="L33" s="313"/>
      <c r="M33" s="188">
        <f t="shared" si="8"/>
        <v>0</v>
      </c>
      <c r="N33" s="188">
        <f t="shared" si="9"/>
        <v>0</v>
      </c>
      <c r="O33" s="75"/>
    </row>
    <row r="34" spans="2:15" x14ac:dyDescent="0.25">
      <c r="B34" s="34">
        <f>+B23+1</f>
        <v>17</v>
      </c>
      <c r="C34" s="184"/>
      <c r="D34" s="185"/>
      <c r="E34" s="313"/>
      <c r="F34" s="225"/>
      <c r="G34" s="188">
        <f>'CEN - PAY'!I47/31</f>
        <v>0</v>
      </c>
      <c r="H34" s="313"/>
      <c r="I34" s="188">
        <f t="shared" si="0"/>
        <v>0</v>
      </c>
      <c r="J34" s="313"/>
      <c r="K34" s="188">
        <f t="shared" si="1"/>
        <v>0</v>
      </c>
      <c r="L34" s="313"/>
      <c r="M34" s="188">
        <f t="shared" si="2"/>
        <v>0</v>
      </c>
      <c r="N34" s="188">
        <f t="shared" si="3"/>
        <v>0</v>
      </c>
      <c r="O34" s="75"/>
    </row>
    <row r="35" spans="2:15" ht="16.5" thickBot="1" x14ac:dyDescent="0.3">
      <c r="B35" s="180"/>
      <c r="C35" s="183"/>
      <c r="D35" s="29"/>
      <c r="E35" s="329"/>
      <c r="F35" s="327">
        <f>SUM(F8:F34)</f>
        <v>0</v>
      </c>
      <c r="G35" s="327"/>
      <c r="H35" s="327"/>
      <c r="I35" s="327">
        <f>SUM(I8:I34)</f>
        <v>0</v>
      </c>
      <c r="J35" s="327"/>
      <c r="K35" s="327">
        <f>SUM(K8:K34)</f>
        <v>0</v>
      </c>
      <c r="L35" s="327"/>
      <c r="M35" s="327">
        <f>SUM(M8:M34)</f>
        <v>0</v>
      </c>
      <c r="N35" s="327">
        <f>SUM(N8:N34)</f>
        <v>0</v>
      </c>
    </row>
    <row r="36" spans="2:15" x14ac:dyDescent="0.25">
      <c r="E36" s="205"/>
      <c r="F36" s="205">
        <f>F35-'CEN - PAY'!L49</f>
        <v>0</v>
      </c>
      <c r="G36" s="205"/>
      <c r="H36" s="205"/>
      <c r="I36" s="205"/>
      <c r="J36" s="205"/>
      <c r="K36" s="205"/>
      <c r="L36" s="205"/>
      <c r="M36" s="205"/>
      <c r="N36" s="205">
        <f>N35-'CEN - PAY'!J49</f>
        <v>0</v>
      </c>
    </row>
  </sheetData>
  <mergeCells count="9">
    <mergeCell ref="B2:N2"/>
    <mergeCell ref="B3:N3"/>
    <mergeCell ref="G4:G6"/>
    <mergeCell ref="H4:N5"/>
    <mergeCell ref="B4:B6"/>
    <mergeCell ref="C4:C6"/>
    <mergeCell ref="D4:D6"/>
    <mergeCell ref="F4:F6"/>
    <mergeCell ref="E4:E6"/>
  </mergeCells>
  <pageMargins left="0.7" right="0.7" top="0.75" bottom="0.75" header="0.3" footer="0.3"/>
  <pageSetup paperSize="9" orientation="landscape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00B0F0"/>
    <pageSetUpPr fitToPage="1"/>
  </sheetPr>
  <dimension ref="A1:Z68"/>
  <sheetViews>
    <sheetView showWhiteSpace="0" topLeftCell="A25" zoomScaleNormal="100" zoomScaleSheetLayoutView="100" workbookViewId="0">
      <selection activeCell="W72" sqref="W72:Y75"/>
    </sheetView>
  </sheetViews>
  <sheetFormatPr defaultRowHeight="30.75" x14ac:dyDescent="0.25"/>
  <cols>
    <col min="1" max="1" width="9.375" style="31" customWidth="1"/>
    <col min="2" max="2" width="6.75" style="4" customWidth="1"/>
    <col min="3" max="3" width="24.625" style="4" customWidth="1"/>
    <col min="4" max="4" width="12.875" style="4" customWidth="1"/>
    <col min="5" max="5" width="9.625" style="57" customWidth="1"/>
    <col min="6" max="6" width="13.375" style="4" customWidth="1"/>
    <col min="7" max="7" width="8.5" style="4" customWidth="1"/>
    <col min="8" max="8" width="9.75" style="4" customWidth="1"/>
    <col min="9" max="9" width="13.125" style="4" customWidth="1"/>
    <col min="10" max="10" width="11.25" style="4" customWidth="1"/>
    <col min="11" max="11" width="13.125" style="4" customWidth="1"/>
    <col min="12" max="12" width="10.625" style="4" customWidth="1"/>
    <col min="13" max="13" width="11.5" style="4" customWidth="1"/>
    <col min="14" max="14" width="10.375" style="4" customWidth="1"/>
    <col min="15" max="15" width="11" style="4" bestFit="1" customWidth="1"/>
    <col min="16" max="16" width="11.875" style="4" customWidth="1"/>
    <col min="17" max="17" width="15.125" style="4" bestFit="1" customWidth="1"/>
    <col min="18" max="18" width="13.125" style="4" customWidth="1"/>
    <col min="19" max="19" width="12.75" style="4" customWidth="1"/>
    <col min="20" max="20" width="12.125" style="4" bestFit="1" customWidth="1"/>
    <col min="21" max="21" width="3.75" style="57" customWidth="1"/>
    <col min="22" max="22" width="14.25" style="4" customWidth="1"/>
    <col min="23" max="23" width="10.625" style="4" customWidth="1"/>
    <col min="24" max="24" width="11.625" style="4" bestFit="1" customWidth="1"/>
    <col min="25" max="25" width="11" style="4" bestFit="1" customWidth="1"/>
    <col min="26" max="26" width="5.625" style="4" customWidth="1"/>
    <col min="27" max="16384" width="9" style="4"/>
  </cols>
  <sheetData>
    <row r="1" spans="1:25" ht="23.25" customHeight="1" x14ac:dyDescent="0.25">
      <c r="A1" s="98">
        <v>94</v>
      </c>
      <c r="Q1" s="5"/>
      <c r="R1" s="5"/>
      <c r="S1" s="5"/>
      <c r="T1" s="5"/>
      <c r="U1" s="52"/>
      <c r="V1" s="3"/>
      <c r="W1" s="3"/>
    </row>
    <row r="2" spans="1:25" ht="23.25" x14ac:dyDescent="0.25">
      <c r="A2" s="98"/>
      <c r="Q2" s="5"/>
      <c r="R2" s="5"/>
      <c r="S2" s="5"/>
      <c r="T2" s="5"/>
      <c r="U2" s="53"/>
      <c r="V2" s="2"/>
      <c r="W2" s="2"/>
      <c r="X2" s="864" t="s">
        <v>40</v>
      </c>
      <c r="Y2" s="864"/>
    </row>
    <row r="3" spans="1:25" ht="15.75" customHeight="1" x14ac:dyDescent="0.25">
      <c r="A3" s="98"/>
      <c r="B3" s="877" t="s">
        <v>42</v>
      </c>
      <c r="C3" s="877"/>
      <c r="D3" s="877"/>
      <c r="E3" s="877"/>
      <c r="F3" s="877"/>
      <c r="G3" s="877"/>
      <c r="H3" s="877"/>
      <c r="I3" s="877"/>
      <c r="J3" s="877"/>
      <c r="K3" s="877"/>
      <c r="L3" s="877"/>
      <c r="M3" s="877"/>
      <c r="N3" s="877"/>
      <c r="O3" s="877"/>
      <c r="P3" s="877"/>
      <c r="Q3" s="877"/>
      <c r="R3" s="877"/>
      <c r="S3" s="877"/>
      <c r="T3" s="877"/>
      <c r="U3" s="877"/>
      <c r="V3" s="877"/>
      <c r="W3" s="877"/>
      <c r="X3" s="877"/>
      <c r="Y3" s="877"/>
    </row>
    <row r="4" spans="1:25" ht="15.75" customHeight="1" x14ac:dyDescent="0.25">
      <c r="A4" s="98"/>
      <c r="B4" s="878" t="s">
        <v>43</v>
      </c>
      <c r="C4" s="878"/>
      <c r="D4" s="878"/>
      <c r="E4" s="878"/>
      <c r="F4" s="878"/>
      <c r="G4" s="878"/>
      <c r="H4" s="878"/>
      <c r="I4" s="878"/>
      <c r="J4" s="878"/>
      <c r="K4" s="878"/>
      <c r="L4" s="878"/>
      <c r="M4" s="878"/>
      <c r="N4" s="878"/>
      <c r="O4" s="878"/>
      <c r="P4" s="878"/>
      <c r="Q4" s="878"/>
      <c r="R4" s="878"/>
      <c r="S4" s="878"/>
      <c r="T4" s="878"/>
      <c r="U4" s="878"/>
      <c r="V4" s="878"/>
      <c r="W4" s="878"/>
      <c r="X4" s="878"/>
      <c r="Y4" s="878"/>
    </row>
    <row r="5" spans="1:25" ht="15.75" customHeight="1" x14ac:dyDescent="0.25">
      <c r="A5" s="98"/>
      <c r="B5" s="878" t="s">
        <v>44</v>
      </c>
      <c r="C5" s="878"/>
      <c r="D5" s="878"/>
      <c r="E5" s="878"/>
      <c r="F5" s="878"/>
      <c r="G5" s="878"/>
      <c r="H5" s="878"/>
      <c r="I5" s="878"/>
      <c r="J5" s="878"/>
      <c r="K5" s="878"/>
      <c r="L5" s="878"/>
      <c r="M5" s="878"/>
      <c r="N5" s="878"/>
      <c r="O5" s="878"/>
      <c r="P5" s="878"/>
      <c r="Q5" s="878"/>
      <c r="R5" s="878"/>
      <c r="S5" s="878"/>
      <c r="T5" s="878"/>
      <c r="U5" s="878"/>
      <c r="V5" s="878"/>
      <c r="W5" s="878"/>
      <c r="X5" s="878"/>
      <c r="Y5" s="878"/>
    </row>
    <row r="6" spans="1:25" ht="15.75" customHeight="1" x14ac:dyDescent="0.25">
      <c r="A6" s="98"/>
      <c r="B6" s="877" t="s">
        <v>45</v>
      </c>
      <c r="C6" s="877"/>
      <c r="D6" s="877"/>
      <c r="E6" s="877"/>
      <c r="F6" s="877"/>
      <c r="G6" s="877"/>
      <c r="H6" s="877"/>
      <c r="I6" s="877"/>
      <c r="J6" s="877"/>
      <c r="K6" s="877"/>
      <c r="L6" s="877"/>
      <c r="M6" s="877"/>
      <c r="N6" s="877"/>
      <c r="O6" s="877"/>
      <c r="P6" s="877"/>
      <c r="Q6" s="877"/>
      <c r="R6" s="877"/>
      <c r="S6" s="877"/>
      <c r="T6" s="877"/>
      <c r="U6" s="877"/>
      <c r="V6" s="877"/>
      <c r="W6" s="877"/>
      <c r="X6" s="877"/>
      <c r="Y6" s="877"/>
    </row>
    <row r="7" spans="1:25" ht="15.75" customHeight="1" x14ac:dyDescent="0.25">
      <c r="A7" s="98"/>
      <c r="Q7" s="2"/>
      <c r="R7" s="2"/>
      <c r="S7" s="2"/>
      <c r="T7" s="2"/>
      <c r="U7" s="53"/>
      <c r="V7" s="2"/>
      <c r="W7" s="2"/>
      <c r="X7" s="2"/>
      <c r="Y7" s="2"/>
    </row>
    <row r="8" spans="1:25" ht="22.5" x14ac:dyDescent="0.25">
      <c r="A8" s="98"/>
      <c r="B8" s="882" t="s">
        <v>13</v>
      </c>
      <c r="C8" s="882"/>
      <c r="D8" s="882"/>
      <c r="E8" s="882"/>
      <c r="F8" s="882"/>
      <c r="G8" s="882"/>
      <c r="H8" s="882"/>
      <c r="I8" s="882"/>
      <c r="J8" s="882"/>
      <c r="K8" s="882"/>
      <c r="L8" s="882"/>
      <c r="M8" s="882"/>
      <c r="N8" s="882"/>
      <c r="O8" s="882"/>
      <c r="P8" s="882"/>
      <c r="Q8" s="882"/>
      <c r="R8" s="882"/>
      <c r="S8" s="882"/>
      <c r="T8" s="882"/>
      <c r="U8" s="882"/>
      <c r="V8" s="882"/>
      <c r="W8" s="882"/>
      <c r="X8" s="882"/>
      <c r="Y8" s="882"/>
    </row>
    <row r="9" spans="1:25" ht="20.25" x14ac:dyDescent="0.25">
      <c r="A9" s="98"/>
      <c r="B9" s="867" t="s">
        <v>113</v>
      </c>
      <c r="C9" s="867"/>
      <c r="D9" s="867"/>
      <c r="E9" s="867"/>
      <c r="F9" s="867"/>
      <c r="G9" s="867"/>
      <c r="H9" s="867"/>
      <c r="I9" s="867"/>
      <c r="J9" s="867"/>
      <c r="K9" s="867"/>
      <c r="L9" s="867"/>
      <c r="M9" s="867"/>
      <c r="N9" s="867"/>
      <c r="O9" s="867"/>
      <c r="P9" s="867"/>
      <c r="Q9" s="867"/>
      <c r="R9" s="867"/>
      <c r="S9" s="867"/>
      <c r="T9" s="867"/>
      <c r="U9" s="867"/>
      <c r="V9" s="867"/>
      <c r="W9" s="867"/>
      <c r="X9" s="867"/>
      <c r="Y9" s="867"/>
    </row>
    <row r="10" spans="1:25" ht="20.25" x14ac:dyDescent="0.25">
      <c r="A10" s="98"/>
      <c r="B10" s="879" t="s">
        <v>41</v>
      </c>
      <c r="C10" s="879"/>
      <c r="D10" s="879"/>
      <c r="E10" s="879"/>
      <c r="F10" s="879"/>
      <c r="G10" s="879"/>
      <c r="H10" s="879"/>
      <c r="I10" s="879"/>
      <c r="J10" s="879"/>
      <c r="K10" s="879"/>
      <c r="L10" s="879"/>
      <c r="M10" s="879"/>
      <c r="N10" s="879"/>
      <c r="O10" s="879"/>
      <c r="P10" s="879"/>
      <c r="Q10" s="879"/>
      <c r="R10" s="879"/>
      <c r="S10" s="879"/>
      <c r="T10" s="879"/>
      <c r="U10" s="879"/>
      <c r="V10" s="879"/>
      <c r="W10" s="879"/>
      <c r="X10" s="879"/>
      <c r="Y10" s="879"/>
    </row>
    <row r="11" spans="1:25" ht="20.25" x14ac:dyDescent="0.25">
      <c r="A11" s="98"/>
      <c r="B11" s="879" t="str">
        <f>'GEN.AD - PAY'!B11</f>
        <v>(1st Quincena)</v>
      </c>
      <c r="C11" s="879"/>
      <c r="D11" s="879"/>
      <c r="E11" s="879"/>
      <c r="F11" s="879"/>
      <c r="G11" s="879"/>
      <c r="H11" s="879"/>
      <c r="I11" s="879"/>
      <c r="J11" s="879"/>
      <c r="K11" s="879"/>
      <c r="L11" s="879"/>
      <c r="M11" s="879"/>
      <c r="N11" s="879"/>
      <c r="O11" s="879"/>
      <c r="P11" s="879"/>
      <c r="Q11" s="879"/>
      <c r="R11" s="879"/>
      <c r="S11" s="879"/>
      <c r="T11" s="879"/>
      <c r="U11" s="879"/>
      <c r="V11" s="879"/>
      <c r="W11" s="879"/>
      <c r="X11" s="879"/>
      <c r="Y11" s="879"/>
    </row>
    <row r="12" spans="1:25" ht="15.75" x14ac:dyDescent="0.25">
      <c r="A12" s="98"/>
      <c r="B12" s="9"/>
      <c r="C12" s="6"/>
      <c r="D12" s="866" t="s">
        <v>106</v>
      </c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</row>
    <row r="13" spans="1:25" s="8" customFormat="1" ht="24.95" customHeight="1" x14ac:dyDescent="0.25">
      <c r="A13" s="98"/>
      <c r="B13" s="865" t="s">
        <v>88</v>
      </c>
      <c r="C13" s="865"/>
      <c r="D13" s="867"/>
      <c r="E13" s="178"/>
      <c r="F13" s="169"/>
      <c r="G13" s="169"/>
      <c r="H13" s="169"/>
      <c r="I13" s="169"/>
      <c r="J13" s="169"/>
      <c r="K13" s="169"/>
      <c r="L13" s="169"/>
      <c r="M13" s="169"/>
      <c r="N13" s="169"/>
      <c r="O13" s="169"/>
      <c r="P13" s="169"/>
      <c r="Q13" s="9"/>
      <c r="R13" s="9"/>
      <c r="S13" s="9"/>
      <c r="T13" s="9"/>
      <c r="U13" s="169" t="s">
        <v>103</v>
      </c>
      <c r="V13" s="169"/>
      <c r="W13" s="832" t="str">
        <f>SUMMARY!B10</f>
        <v>2026-01-016</v>
      </c>
      <c r="X13" s="832"/>
      <c r="Y13" s="832"/>
    </row>
    <row r="14" spans="1:25" s="8" customFormat="1" ht="24.95" customHeight="1" x14ac:dyDescent="0.25">
      <c r="A14" s="98"/>
      <c r="B14" s="9"/>
      <c r="C14" s="9"/>
      <c r="D14" s="867"/>
      <c r="E14" s="6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169"/>
      <c r="V14" s="169"/>
      <c r="W14" s="9"/>
      <c r="X14" s="9"/>
      <c r="Y14" s="9"/>
    </row>
    <row r="15" spans="1:25" s="8" customFormat="1" ht="15.75" customHeight="1" x14ac:dyDescent="0.25">
      <c r="A15" s="98"/>
      <c r="B15" s="872" t="s">
        <v>0</v>
      </c>
      <c r="C15" s="872"/>
      <c r="D15" s="872"/>
      <c r="E15" s="872"/>
      <c r="F15" s="872"/>
      <c r="G15" s="872"/>
      <c r="H15" s="872"/>
      <c r="I15" s="872"/>
      <c r="J15" s="872"/>
      <c r="K15" s="872"/>
      <c r="L15" s="872"/>
      <c r="M15" s="872"/>
      <c r="N15" s="872"/>
      <c r="O15" s="872"/>
      <c r="P15" s="872"/>
      <c r="Q15" s="872"/>
      <c r="R15" s="872"/>
      <c r="S15" s="872"/>
      <c r="T15" s="872"/>
      <c r="U15" s="872"/>
      <c r="V15" s="872"/>
      <c r="W15" s="872"/>
      <c r="X15" s="872"/>
      <c r="Y15" s="872"/>
    </row>
    <row r="16" spans="1:25" ht="9" customHeight="1" thickBot="1" x14ac:dyDescent="0.3">
      <c r="A16" s="98"/>
      <c r="B16" s="9"/>
      <c r="C16" s="10"/>
      <c r="D16" s="10"/>
      <c r="E16" s="54"/>
      <c r="F16" s="10"/>
      <c r="G16" s="10"/>
      <c r="H16" s="10"/>
      <c r="I16" s="10"/>
      <c r="J16" s="9"/>
      <c r="K16" s="9"/>
      <c r="L16" s="9"/>
      <c r="M16" s="9"/>
      <c r="N16" s="9"/>
      <c r="O16" s="9"/>
      <c r="P16" s="9"/>
      <c r="Q16" s="10"/>
      <c r="R16" s="10"/>
      <c r="S16" s="10"/>
      <c r="T16" s="10"/>
      <c r="U16" s="54"/>
      <c r="V16" s="10"/>
      <c r="W16" s="10"/>
      <c r="X16" s="10"/>
      <c r="Y16" s="10"/>
    </row>
    <row r="17" spans="1:26" ht="16.5" customHeight="1" thickBot="1" x14ac:dyDescent="0.3">
      <c r="A17" s="98"/>
      <c r="B17" s="802" t="s">
        <v>6</v>
      </c>
      <c r="C17" s="777" t="s">
        <v>1</v>
      </c>
      <c r="D17" s="777" t="s">
        <v>2</v>
      </c>
      <c r="E17" s="802" t="s">
        <v>14</v>
      </c>
      <c r="F17" s="841" t="s">
        <v>4</v>
      </c>
      <c r="G17" s="833"/>
      <c r="H17" s="833"/>
      <c r="I17" s="833"/>
      <c r="J17" s="833"/>
      <c r="K17" s="834"/>
      <c r="L17" s="833" t="s">
        <v>3</v>
      </c>
      <c r="M17" s="833"/>
      <c r="N17" s="833"/>
      <c r="O17" s="833"/>
      <c r="P17" s="833"/>
      <c r="Q17" s="834"/>
      <c r="R17" s="802" t="s">
        <v>16</v>
      </c>
      <c r="S17" s="856" t="s">
        <v>51</v>
      </c>
      <c r="T17" s="861" t="s">
        <v>52</v>
      </c>
      <c r="U17" s="777" t="s">
        <v>59</v>
      </c>
      <c r="V17" s="841" t="s">
        <v>60</v>
      </c>
      <c r="W17" s="833"/>
      <c r="X17" s="833"/>
      <c r="Y17" s="834"/>
      <c r="Z17" s="11"/>
    </row>
    <row r="18" spans="1:26" ht="19.5" customHeight="1" x14ac:dyDescent="0.25">
      <c r="A18" s="98"/>
      <c r="B18" s="803"/>
      <c r="C18" s="778"/>
      <c r="D18" s="778"/>
      <c r="E18" s="803"/>
      <c r="F18" s="844" t="s">
        <v>48</v>
      </c>
      <c r="G18" s="887" t="s">
        <v>50</v>
      </c>
      <c r="H18" s="892" t="s">
        <v>49</v>
      </c>
      <c r="I18" s="859" t="s">
        <v>5</v>
      </c>
      <c r="J18" s="859" t="s">
        <v>53</v>
      </c>
      <c r="K18" s="848" t="s">
        <v>137</v>
      </c>
      <c r="L18" s="873" t="s">
        <v>54</v>
      </c>
      <c r="M18" s="859" t="s">
        <v>55</v>
      </c>
      <c r="N18" s="859" t="s">
        <v>56</v>
      </c>
      <c r="O18" s="890" t="s">
        <v>57</v>
      </c>
      <c r="P18" s="859" t="s">
        <v>58</v>
      </c>
      <c r="Q18" s="846" t="s">
        <v>17</v>
      </c>
      <c r="R18" s="803"/>
      <c r="S18" s="857"/>
      <c r="T18" s="862"/>
      <c r="U18" s="778"/>
      <c r="V18" s="850" t="s">
        <v>61</v>
      </c>
      <c r="W18" s="852" t="s">
        <v>62</v>
      </c>
      <c r="X18" s="883" t="s">
        <v>57</v>
      </c>
      <c r="Y18" s="885" t="s">
        <v>63</v>
      </c>
      <c r="Z18" s="11"/>
    </row>
    <row r="19" spans="1:26" ht="26.25" customHeight="1" thickBot="1" x14ac:dyDescent="0.3">
      <c r="A19" s="98"/>
      <c r="B19" s="803"/>
      <c r="C19" s="778"/>
      <c r="D19" s="778"/>
      <c r="E19" s="803"/>
      <c r="F19" s="845"/>
      <c r="G19" s="888"/>
      <c r="H19" s="893"/>
      <c r="I19" s="860"/>
      <c r="J19" s="860"/>
      <c r="K19" s="849"/>
      <c r="L19" s="874"/>
      <c r="M19" s="860"/>
      <c r="N19" s="860"/>
      <c r="O19" s="891"/>
      <c r="P19" s="860"/>
      <c r="Q19" s="847"/>
      <c r="R19" s="804"/>
      <c r="S19" s="858"/>
      <c r="T19" s="863"/>
      <c r="U19" s="778"/>
      <c r="V19" s="851"/>
      <c r="W19" s="853"/>
      <c r="X19" s="884"/>
      <c r="Y19" s="886"/>
      <c r="Z19" s="11"/>
    </row>
    <row r="20" spans="1:26" ht="18.75" customHeight="1" x14ac:dyDescent="0.25">
      <c r="A20" s="98"/>
      <c r="B20" s="12"/>
      <c r="C20" s="12"/>
      <c r="D20" s="12"/>
      <c r="E20" s="55"/>
      <c r="F20" s="84"/>
      <c r="G20" s="85"/>
      <c r="H20" s="85"/>
      <c r="I20" s="13"/>
      <c r="J20" s="13"/>
      <c r="K20" s="210"/>
      <c r="L20" s="39"/>
      <c r="M20" s="13"/>
      <c r="N20" s="13"/>
      <c r="O20" s="13"/>
      <c r="P20" s="13"/>
      <c r="Q20" s="14"/>
      <c r="R20" s="12"/>
      <c r="S20" s="48"/>
      <c r="T20" s="43"/>
      <c r="U20" s="55"/>
      <c r="V20" s="46"/>
      <c r="W20" s="47"/>
      <c r="X20" s="47"/>
      <c r="Y20" s="43"/>
    </row>
    <row r="21" spans="1:26" ht="18.75" customHeight="1" x14ac:dyDescent="0.25">
      <c r="A21" s="98"/>
      <c r="B21" s="33">
        <v>1</v>
      </c>
      <c r="C21" s="72">
        <f>VLOOKUP(B21,'WTAX-CEN'!B:N,2,0)</f>
        <v>0</v>
      </c>
      <c r="D21" s="72" t="e">
        <f>VLOOKUP(C21,'WTAX-CEN'!C:O,2,0)</f>
        <v>#N/A</v>
      </c>
      <c r="E21" s="306">
        <f>VLOOKUP(B21,'WTAX-CEN'!B:N,4,0)</f>
        <v>0</v>
      </c>
      <c r="F21" s="86"/>
      <c r="G21" s="88"/>
      <c r="H21" s="88"/>
      <c r="I21" s="37">
        <f>SUM(F21:H21)</f>
        <v>0</v>
      </c>
      <c r="J21" s="332">
        <f>'WTAX-CEN'!N8</f>
        <v>0</v>
      </c>
      <c r="K21" s="211">
        <f>ROUND(I21-J21,2)</f>
        <v>0</v>
      </c>
      <c r="L21" s="40">
        <f>'WTAX-CEN'!F8</f>
        <v>0</v>
      </c>
      <c r="M21" s="37">
        <f>'CEN - DEDS'!R20</f>
        <v>0</v>
      </c>
      <c r="N21" s="37">
        <f>'CEN - DEDS'!X20</f>
        <v>0</v>
      </c>
      <c r="O21" s="37">
        <f>'CEN - DEDS'!Y20</f>
        <v>0</v>
      </c>
      <c r="P21" s="37">
        <f>'CEN - DEDS'!AE20</f>
        <v>0</v>
      </c>
      <c r="Q21" s="38">
        <f>ROUND(SUM(L21:P21),2)</f>
        <v>0</v>
      </c>
      <c r="R21" s="49">
        <f>K21-Q21</f>
        <v>0</v>
      </c>
      <c r="S21" s="76">
        <f>ROUND(R21/2,0)</f>
        <v>0</v>
      </c>
      <c r="T21" s="77">
        <f>R21-S21</f>
        <v>0</v>
      </c>
      <c r="U21" s="33">
        <f>B21</f>
        <v>1</v>
      </c>
      <c r="V21" s="36">
        <f>ROUND('CEN - PAY'!I21*0.12,2)</f>
        <v>0</v>
      </c>
      <c r="W21" s="37">
        <v>100</v>
      </c>
      <c r="X21" s="37">
        <f>MIN((I21*0.05)-'CEN - DEDS'!Y20,2500)</f>
        <v>0</v>
      </c>
      <c r="Y21" s="41">
        <v>200</v>
      </c>
    </row>
    <row r="22" spans="1:26" ht="18.75" customHeight="1" x14ac:dyDescent="0.25">
      <c r="A22" s="98"/>
      <c r="B22" s="33">
        <f>+B21+1</f>
        <v>2</v>
      </c>
      <c r="C22" s="72">
        <f>VLOOKUP(B22,'WTAX-CEN'!B:N,2,0)</f>
        <v>0</v>
      </c>
      <c r="D22" s="72" t="e">
        <f>VLOOKUP(C22,'WTAX-CEN'!C:O,2,0)</f>
        <v>#N/A</v>
      </c>
      <c r="E22" s="306">
        <f>VLOOKUP(B22,'WTAX-CEN'!B:N,4,0)</f>
        <v>0</v>
      </c>
      <c r="F22" s="86"/>
      <c r="G22" s="88"/>
      <c r="H22" s="88"/>
      <c r="I22" s="37">
        <f t="shared" ref="I22:I47" si="0">SUM(F22:H22)</f>
        <v>0</v>
      </c>
      <c r="J22" s="332">
        <f>'WTAX-CEN'!N9</f>
        <v>0</v>
      </c>
      <c r="K22" s="211">
        <f t="shared" ref="K22:K47" si="1">ROUND(I22-J22,2)</f>
        <v>0</v>
      </c>
      <c r="L22" s="40">
        <f>'WTAX-CEN'!F9</f>
        <v>0</v>
      </c>
      <c r="M22" s="37">
        <f>'CEN - DEDS'!R21</f>
        <v>0</v>
      </c>
      <c r="N22" s="37">
        <f>'CEN - DEDS'!X21</f>
        <v>0</v>
      </c>
      <c r="O22" s="37">
        <f>'CEN - DEDS'!Y21</f>
        <v>0</v>
      </c>
      <c r="P22" s="37">
        <f>'CEN - DEDS'!AE21</f>
        <v>0</v>
      </c>
      <c r="Q22" s="38">
        <f t="shared" ref="Q22:Q47" si="2">ROUND(SUM(L22:P22),2)</f>
        <v>0</v>
      </c>
      <c r="R22" s="49">
        <f t="shared" ref="R22:R47" si="3">K22-Q22</f>
        <v>0</v>
      </c>
      <c r="S22" s="76">
        <f t="shared" ref="S22:S47" si="4">ROUND(R22/2,0)</f>
        <v>0</v>
      </c>
      <c r="T22" s="77">
        <f t="shared" ref="T22:T47" si="5">R22-S22</f>
        <v>0</v>
      </c>
      <c r="U22" s="33">
        <f t="shared" ref="U22:U47" si="6">B22</f>
        <v>2</v>
      </c>
      <c r="V22" s="36">
        <f>ROUND('CEN - PAY'!I22*0.12,2)</f>
        <v>0</v>
      </c>
      <c r="W22" s="37">
        <f>W21</f>
        <v>100</v>
      </c>
      <c r="X22" s="37">
        <f>MIN((I22*0.05)-'CEN - DEDS'!Y21,2500)</f>
        <v>0</v>
      </c>
      <c r="Y22" s="41">
        <f>Y21</f>
        <v>200</v>
      </c>
    </row>
    <row r="23" spans="1:26" ht="18.75" customHeight="1" x14ac:dyDescent="0.25">
      <c r="A23" s="98"/>
      <c r="B23" s="33">
        <f t="shared" ref="B23:B36" si="7">+B22+1</f>
        <v>3</v>
      </c>
      <c r="C23" s="72">
        <f>VLOOKUP(B23,'WTAX-CEN'!B:N,2,0)</f>
        <v>0</v>
      </c>
      <c r="D23" s="72" t="e">
        <f>VLOOKUP(C23,'WTAX-CEN'!C:O,2,0)</f>
        <v>#N/A</v>
      </c>
      <c r="E23" s="306">
        <f>VLOOKUP(B23,'WTAX-CEN'!B:N,4,0)</f>
        <v>0</v>
      </c>
      <c r="F23" s="86"/>
      <c r="G23" s="88"/>
      <c r="H23" s="88"/>
      <c r="I23" s="37">
        <f t="shared" si="0"/>
        <v>0</v>
      </c>
      <c r="J23" s="332">
        <f>'WTAX-CEN'!N10</f>
        <v>0</v>
      </c>
      <c r="K23" s="211">
        <f t="shared" si="1"/>
        <v>0</v>
      </c>
      <c r="L23" s="40">
        <f>'WTAX-CEN'!F10</f>
        <v>0</v>
      </c>
      <c r="M23" s="37">
        <f>'CEN - DEDS'!R22</f>
        <v>0</v>
      </c>
      <c r="N23" s="37">
        <f>'CEN - DEDS'!X22</f>
        <v>0</v>
      </c>
      <c r="O23" s="37">
        <f>'CEN - DEDS'!Y22</f>
        <v>0</v>
      </c>
      <c r="P23" s="37">
        <f>'CEN - DEDS'!AE22</f>
        <v>0</v>
      </c>
      <c r="Q23" s="38">
        <f t="shared" si="2"/>
        <v>0</v>
      </c>
      <c r="R23" s="49">
        <f t="shared" si="3"/>
        <v>0</v>
      </c>
      <c r="S23" s="76">
        <f t="shared" si="4"/>
        <v>0</v>
      </c>
      <c r="T23" s="77">
        <f t="shared" si="5"/>
        <v>0</v>
      </c>
      <c r="U23" s="33">
        <f t="shared" si="6"/>
        <v>3</v>
      </c>
      <c r="V23" s="36">
        <f>ROUND('CEN - PAY'!I23*0.12,2)</f>
        <v>0</v>
      </c>
      <c r="W23" s="37">
        <f t="shared" ref="W23:W36" si="8">W22</f>
        <v>100</v>
      </c>
      <c r="X23" s="37">
        <f>MIN((I23*0.05)-'CEN - DEDS'!Y22,2500)</f>
        <v>0</v>
      </c>
      <c r="Y23" s="41">
        <f t="shared" ref="Y23:Y36" si="9">Y22</f>
        <v>200</v>
      </c>
    </row>
    <row r="24" spans="1:26" ht="18.75" customHeight="1" x14ac:dyDescent="0.25">
      <c r="A24" s="98"/>
      <c r="B24" s="33">
        <f t="shared" si="7"/>
        <v>4</v>
      </c>
      <c r="C24" s="72">
        <f>VLOOKUP(B24,'WTAX-CEN'!B:N,2,0)</f>
        <v>0</v>
      </c>
      <c r="D24" s="72" t="e">
        <f>VLOOKUP(C24,'WTAX-CEN'!C:O,2,0)</f>
        <v>#N/A</v>
      </c>
      <c r="E24" s="306">
        <f>VLOOKUP(B24,'WTAX-CEN'!B:N,4,0)</f>
        <v>0</v>
      </c>
      <c r="F24" s="86"/>
      <c r="G24" s="88"/>
      <c r="H24" s="88"/>
      <c r="I24" s="37">
        <f t="shared" si="0"/>
        <v>0</v>
      </c>
      <c r="J24" s="332">
        <f>'WTAX-CEN'!N11</f>
        <v>0</v>
      </c>
      <c r="K24" s="211">
        <f t="shared" si="1"/>
        <v>0</v>
      </c>
      <c r="L24" s="40">
        <f>'WTAX-CEN'!F11</f>
        <v>0</v>
      </c>
      <c r="M24" s="37">
        <f>'CEN - DEDS'!R23</f>
        <v>0</v>
      </c>
      <c r="N24" s="37">
        <f>'CEN - DEDS'!X23</f>
        <v>0</v>
      </c>
      <c r="O24" s="37">
        <f>'CEN - DEDS'!Y23</f>
        <v>0</v>
      </c>
      <c r="P24" s="37">
        <f>'CEN - DEDS'!AE23</f>
        <v>0</v>
      </c>
      <c r="Q24" s="38">
        <f t="shared" si="2"/>
        <v>0</v>
      </c>
      <c r="R24" s="49">
        <f t="shared" si="3"/>
        <v>0</v>
      </c>
      <c r="S24" s="76">
        <f t="shared" si="4"/>
        <v>0</v>
      </c>
      <c r="T24" s="77">
        <f t="shared" si="5"/>
        <v>0</v>
      </c>
      <c r="U24" s="33">
        <f t="shared" si="6"/>
        <v>4</v>
      </c>
      <c r="V24" s="36">
        <f>ROUND('CEN - PAY'!I24*0.12,2)</f>
        <v>0</v>
      </c>
      <c r="W24" s="37">
        <f t="shared" si="8"/>
        <v>100</v>
      </c>
      <c r="X24" s="37">
        <f>MIN((I24*0.05)-'CEN - DEDS'!Y23,2500)</f>
        <v>0</v>
      </c>
      <c r="Y24" s="41">
        <f t="shared" si="9"/>
        <v>200</v>
      </c>
    </row>
    <row r="25" spans="1:26" ht="18.75" customHeight="1" x14ac:dyDescent="0.25">
      <c r="A25" s="98"/>
      <c r="B25" s="33">
        <f t="shared" si="7"/>
        <v>5</v>
      </c>
      <c r="C25" s="72">
        <f>VLOOKUP(B25,'WTAX-CEN'!B:N,2,0)</f>
        <v>0</v>
      </c>
      <c r="D25" s="72" t="e">
        <f>VLOOKUP(C25,'WTAX-CEN'!C:O,2,0)</f>
        <v>#N/A</v>
      </c>
      <c r="E25" s="306">
        <f>VLOOKUP(B25,'WTAX-CEN'!B:N,4,0)</f>
        <v>0</v>
      </c>
      <c r="F25" s="86"/>
      <c r="G25" s="88"/>
      <c r="H25" s="88"/>
      <c r="I25" s="37">
        <f t="shared" si="0"/>
        <v>0</v>
      </c>
      <c r="J25" s="332">
        <f>'WTAX-CEN'!N12</f>
        <v>0</v>
      </c>
      <c r="K25" s="211">
        <f t="shared" si="1"/>
        <v>0</v>
      </c>
      <c r="L25" s="40">
        <f>'WTAX-CEN'!F12</f>
        <v>0</v>
      </c>
      <c r="M25" s="37">
        <f>'CEN - DEDS'!R24</f>
        <v>0</v>
      </c>
      <c r="N25" s="37">
        <f>'CEN - DEDS'!X24</f>
        <v>0</v>
      </c>
      <c r="O25" s="37">
        <f>'CEN - DEDS'!Y24</f>
        <v>0</v>
      </c>
      <c r="P25" s="37">
        <f>'CEN - DEDS'!AE24</f>
        <v>0</v>
      </c>
      <c r="Q25" s="38">
        <f t="shared" si="2"/>
        <v>0</v>
      </c>
      <c r="R25" s="49">
        <f t="shared" si="3"/>
        <v>0</v>
      </c>
      <c r="S25" s="76">
        <f t="shared" si="4"/>
        <v>0</v>
      </c>
      <c r="T25" s="77">
        <f t="shared" si="5"/>
        <v>0</v>
      </c>
      <c r="U25" s="33">
        <f t="shared" si="6"/>
        <v>5</v>
      </c>
      <c r="V25" s="36">
        <f>ROUND('CEN - PAY'!I25*0.12,2)</f>
        <v>0</v>
      </c>
      <c r="W25" s="37">
        <f t="shared" si="8"/>
        <v>100</v>
      </c>
      <c r="X25" s="37">
        <f>MIN((I25*0.05)-'CEN - DEDS'!Y24,2500)</f>
        <v>0</v>
      </c>
      <c r="Y25" s="41">
        <f t="shared" si="9"/>
        <v>200</v>
      </c>
    </row>
    <row r="26" spans="1:26" ht="18.75" customHeight="1" x14ac:dyDescent="0.25">
      <c r="A26" s="98"/>
      <c r="B26" s="33">
        <f t="shared" si="7"/>
        <v>6</v>
      </c>
      <c r="C26" s="72">
        <f>VLOOKUP(B26,'WTAX-CEN'!B:N,2,0)</f>
        <v>0</v>
      </c>
      <c r="D26" s="72" t="e">
        <f>VLOOKUP(C26,'WTAX-CEN'!C:O,2,0)</f>
        <v>#N/A</v>
      </c>
      <c r="E26" s="306">
        <f>VLOOKUP(B26,'WTAX-CEN'!B:N,4,0)</f>
        <v>0</v>
      </c>
      <c r="F26" s="86"/>
      <c r="G26" s="88"/>
      <c r="H26" s="88"/>
      <c r="I26" s="37">
        <f t="shared" si="0"/>
        <v>0</v>
      </c>
      <c r="J26" s="332">
        <f>'WTAX-CEN'!N13</f>
        <v>0</v>
      </c>
      <c r="K26" s="211">
        <f t="shared" si="1"/>
        <v>0</v>
      </c>
      <c r="L26" s="40">
        <f>'WTAX-CEN'!F13</f>
        <v>0</v>
      </c>
      <c r="M26" s="37">
        <f>'CEN - DEDS'!R25</f>
        <v>0</v>
      </c>
      <c r="N26" s="37">
        <f>'CEN - DEDS'!X25</f>
        <v>0</v>
      </c>
      <c r="O26" s="37">
        <f>'CEN - DEDS'!Y25</f>
        <v>0</v>
      </c>
      <c r="P26" s="37">
        <f>'CEN - DEDS'!AE25</f>
        <v>0</v>
      </c>
      <c r="Q26" s="38">
        <f t="shared" si="2"/>
        <v>0</v>
      </c>
      <c r="R26" s="49">
        <f t="shared" si="3"/>
        <v>0</v>
      </c>
      <c r="S26" s="76">
        <f t="shared" si="4"/>
        <v>0</v>
      </c>
      <c r="T26" s="77">
        <f t="shared" si="5"/>
        <v>0</v>
      </c>
      <c r="U26" s="33">
        <f t="shared" si="6"/>
        <v>6</v>
      </c>
      <c r="V26" s="36">
        <f>ROUND('CEN - PAY'!I26*0.12,2)</f>
        <v>0</v>
      </c>
      <c r="W26" s="37">
        <f t="shared" si="8"/>
        <v>100</v>
      </c>
      <c r="X26" s="37">
        <f>MIN((I26*0.05)-'CEN - DEDS'!Y25,2500)</f>
        <v>0</v>
      </c>
      <c r="Y26" s="41">
        <f t="shared" si="9"/>
        <v>200</v>
      </c>
    </row>
    <row r="27" spans="1:26" ht="18.75" customHeight="1" x14ac:dyDescent="0.25">
      <c r="A27" s="98"/>
      <c r="B27" s="33">
        <f t="shared" si="7"/>
        <v>7</v>
      </c>
      <c r="C27" s="72">
        <f>VLOOKUP(B27,'WTAX-CEN'!B:N,2,0)</f>
        <v>0</v>
      </c>
      <c r="D27" s="72" t="e">
        <f>VLOOKUP(C27,'WTAX-CEN'!C:O,2,0)</f>
        <v>#N/A</v>
      </c>
      <c r="E27" s="306">
        <f>VLOOKUP(B27,'WTAX-CEN'!B:N,4,0)</f>
        <v>0</v>
      </c>
      <c r="F27" s="86"/>
      <c r="G27" s="88"/>
      <c r="H27" s="88"/>
      <c r="I27" s="37">
        <f t="shared" si="0"/>
        <v>0</v>
      </c>
      <c r="J27" s="332">
        <f>'WTAX-CEN'!N14</f>
        <v>0</v>
      </c>
      <c r="K27" s="211">
        <f t="shared" si="1"/>
        <v>0</v>
      </c>
      <c r="L27" s="40">
        <f>'WTAX-CEN'!F14</f>
        <v>0</v>
      </c>
      <c r="M27" s="37">
        <f>'CEN - DEDS'!R26</f>
        <v>0</v>
      </c>
      <c r="N27" s="37">
        <f>'CEN - DEDS'!X26</f>
        <v>0</v>
      </c>
      <c r="O27" s="37">
        <f>'CEN - DEDS'!Y26</f>
        <v>0</v>
      </c>
      <c r="P27" s="37">
        <f>'CEN - DEDS'!AE26</f>
        <v>0</v>
      </c>
      <c r="Q27" s="38">
        <f t="shared" si="2"/>
        <v>0</v>
      </c>
      <c r="R27" s="49">
        <f t="shared" si="3"/>
        <v>0</v>
      </c>
      <c r="S27" s="76">
        <f t="shared" si="4"/>
        <v>0</v>
      </c>
      <c r="T27" s="77">
        <f t="shared" si="5"/>
        <v>0</v>
      </c>
      <c r="U27" s="33">
        <f t="shared" si="6"/>
        <v>7</v>
      </c>
      <c r="V27" s="36">
        <f>ROUND('CEN - PAY'!I27*0.12,2)</f>
        <v>0</v>
      </c>
      <c r="W27" s="37">
        <f t="shared" si="8"/>
        <v>100</v>
      </c>
      <c r="X27" s="37">
        <f>MIN((I27*0.05)-'CEN - DEDS'!Y26,2500)</f>
        <v>0</v>
      </c>
      <c r="Y27" s="41">
        <f t="shared" si="9"/>
        <v>200</v>
      </c>
    </row>
    <row r="28" spans="1:26" ht="18.75" customHeight="1" x14ac:dyDescent="0.25">
      <c r="A28" s="98"/>
      <c r="B28" s="33">
        <f t="shared" si="7"/>
        <v>8</v>
      </c>
      <c r="C28" s="72">
        <f>VLOOKUP(B28,'WTAX-CEN'!B:N,2,0)</f>
        <v>0</v>
      </c>
      <c r="D28" s="72" t="e">
        <f>VLOOKUP(C28,'WTAX-CEN'!C:O,2,0)</f>
        <v>#N/A</v>
      </c>
      <c r="E28" s="306">
        <f>VLOOKUP(B28,'WTAX-CEN'!B:N,4,0)</f>
        <v>0</v>
      </c>
      <c r="F28" s="86"/>
      <c r="G28" s="88"/>
      <c r="H28" s="88"/>
      <c r="I28" s="37">
        <f t="shared" si="0"/>
        <v>0</v>
      </c>
      <c r="J28" s="332">
        <f>'WTAX-CEN'!N15</f>
        <v>0</v>
      </c>
      <c r="K28" s="211">
        <f t="shared" si="1"/>
        <v>0</v>
      </c>
      <c r="L28" s="40">
        <f>'WTAX-CEN'!F15</f>
        <v>0</v>
      </c>
      <c r="M28" s="37">
        <f>'CEN - DEDS'!R27</f>
        <v>0</v>
      </c>
      <c r="N28" s="37">
        <f>'CEN - DEDS'!X27</f>
        <v>0</v>
      </c>
      <c r="O28" s="37">
        <f>'CEN - DEDS'!Y27</f>
        <v>0</v>
      </c>
      <c r="P28" s="37">
        <f>'CEN - DEDS'!AE27</f>
        <v>0</v>
      </c>
      <c r="Q28" s="38">
        <f t="shared" si="2"/>
        <v>0</v>
      </c>
      <c r="R28" s="49">
        <f t="shared" si="3"/>
        <v>0</v>
      </c>
      <c r="S28" s="76">
        <f t="shared" si="4"/>
        <v>0</v>
      </c>
      <c r="T28" s="77">
        <f t="shared" si="5"/>
        <v>0</v>
      </c>
      <c r="U28" s="33">
        <f t="shared" si="6"/>
        <v>8</v>
      </c>
      <c r="V28" s="36">
        <f>ROUND('CEN - PAY'!I28*0.12,2)</f>
        <v>0</v>
      </c>
      <c r="W28" s="37">
        <f t="shared" si="8"/>
        <v>100</v>
      </c>
      <c r="X28" s="37">
        <f>MIN((I28*0.05)-'CEN - DEDS'!Y27,2500)</f>
        <v>0</v>
      </c>
      <c r="Y28" s="41">
        <f t="shared" si="9"/>
        <v>200</v>
      </c>
    </row>
    <row r="29" spans="1:26" ht="18.75" customHeight="1" x14ac:dyDescent="0.25">
      <c r="A29" s="98"/>
      <c r="B29" s="33">
        <f t="shared" si="7"/>
        <v>9</v>
      </c>
      <c r="C29" s="72">
        <f>VLOOKUP(B29,'WTAX-CEN'!B:N,2,0)</f>
        <v>0</v>
      </c>
      <c r="D29" s="72" t="e">
        <f>VLOOKUP(C29,'WTAX-CEN'!C:O,2,0)</f>
        <v>#N/A</v>
      </c>
      <c r="E29" s="306">
        <f>VLOOKUP(B29,'WTAX-CEN'!B:N,4,0)</f>
        <v>0</v>
      </c>
      <c r="F29" s="86"/>
      <c r="G29" s="88"/>
      <c r="H29" s="88"/>
      <c r="I29" s="37">
        <f t="shared" si="0"/>
        <v>0</v>
      </c>
      <c r="J29" s="332">
        <f>'WTAX-CEN'!N16</f>
        <v>0</v>
      </c>
      <c r="K29" s="211">
        <f t="shared" si="1"/>
        <v>0</v>
      </c>
      <c r="L29" s="40">
        <f>'WTAX-CEN'!F16</f>
        <v>0</v>
      </c>
      <c r="M29" s="37">
        <f>'CEN - DEDS'!R28</f>
        <v>0</v>
      </c>
      <c r="N29" s="37">
        <f>'CEN - DEDS'!X28</f>
        <v>0</v>
      </c>
      <c r="O29" s="37">
        <f>'CEN - DEDS'!Y28</f>
        <v>0</v>
      </c>
      <c r="P29" s="37">
        <f>'CEN - DEDS'!AE28</f>
        <v>0</v>
      </c>
      <c r="Q29" s="38">
        <f t="shared" si="2"/>
        <v>0</v>
      </c>
      <c r="R29" s="49">
        <f t="shared" si="3"/>
        <v>0</v>
      </c>
      <c r="S29" s="76">
        <f t="shared" si="4"/>
        <v>0</v>
      </c>
      <c r="T29" s="77">
        <f t="shared" si="5"/>
        <v>0</v>
      </c>
      <c r="U29" s="33">
        <f t="shared" si="6"/>
        <v>9</v>
      </c>
      <c r="V29" s="36">
        <f>ROUND('CEN - PAY'!I29*0.12,2)</f>
        <v>0</v>
      </c>
      <c r="W29" s="37">
        <f t="shared" si="8"/>
        <v>100</v>
      </c>
      <c r="X29" s="37">
        <f>MIN((I29*0.05)-'CEN - DEDS'!Y28,2500)</f>
        <v>0</v>
      </c>
      <c r="Y29" s="41">
        <f t="shared" si="9"/>
        <v>200</v>
      </c>
    </row>
    <row r="30" spans="1:26" ht="18.75" customHeight="1" x14ac:dyDescent="0.25">
      <c r="A30" s="98"/>
      <c r="B30" s="33">
        <f t="shared" si="7"/>
        <v>10</v>
      </c>
      <c r="C30" s="72">
        <f>VLOOKUP(B30,'WTAX-CEN'!B:N,2,0)</f>
        <v>0</v>
      </c>
      <c r="D30" s="72" t="e">
        <f>VLOOKUP(C30,'WTAX-CEN'!C:O,2,0)</f>
        <v>#N/A</v>
      </c>
      <c r="E30" s="306">
        <f>VLOOKUP(B30,'WTAX-CEN'!B:N,4,0)</f>
        <v>0</v>
      </c>
      <c r="F30" s="86"/>
      <c r="G30" s="91"/>
      <c r="H30" s="91"/>
      <c r="I30" s="37">
        <f t="shared" si="0"/>
        <v>0</v>
      </c>
      <c r="J30" s="332">
        <f>'WTAX-CEN'!N17</f>
        <v>0</v>
      </c>
      <c r="K30" s="211">
        <f t="shared" si="1"/>
        <v>0</v>
      </c>
      <c r="L30" s="40">
        <f>'WTAX-CEN'!F17</f>
        <v>0</v>
      </c>
      <c r="M30" s="37">
        <f>'CEN - DEDS'!R29</f>
        <v>0</v>
      </c>
      <c r="N30" s="37">
        <f>'CEN - DEDS'!X29</f>
        <v>0</v>
      </c>
      <c r="O30" s="37">
        <f>'CEN - DEDS'!Y29</f>
        <v>0</v>
      </c>
      <c r="P30" s="37">
        <f>'CEN - DEDS'!AE29</f>
        <v>0</v>
      </c>
      <c r="Q30" s="38">
        <f t="shared" si="2"/>
        <v>0</v>
      </c>
      <c r="R30" s="49">
        <f t="shared" si="3"/>
        <v>0</v>
      </c>
      <c r="S30" s="76">
        <f t="shared" si="4"/>
        <v>0</v>
      </c>
      <c r="T30" s="77">
        <f t="shared" si="5"/>
        <v>0</v>
      </c>
      <c r="U30" s="33">
        <f t="shared" si="6"/>
        <v>10</v>
      </c>
      <c r="V30" s="36">
        <f>ROUND('CEN - PAY'!I30*0.12,2)</f>
        <v>0</v>
      </c>
      <c r="W30" s="37">
        <f t="shared" si="8"/>
        <v>100</v>
      </c>
      <c r="X30" s="37">
        <f>MIN((I30*0.05)-'CEN - DEDS'!Y29,2500)</f>
        <v>0</v>
      </c>
      <c r="Y30" s="41">
        <f t="shared" si="9"/>
        <v>200</v>
      </c>
    </row>
    <row r="31" spans="1:26" ht="18.75" customHeight="1" x14ac:dyDescent="0.25">
      <c r="A31" s="98"/>
      <c r="B31" s="33">
        <f t="shared" si="7"/>
        <v>11</v>
      </c>
      <c r="C31" s="72">
        <f>VLOOKUP(B31,'WTAX-CEN'!B:N,2,0)</f>
        <v>0</v>
      </c>
      <c r="D31" s="72" t="e">
        <f>VLOOKUP(C31,'WTAX-CEN'!C:O,2,0)</f>
        <v>#N/A</v>
      </c>
      <c r="E31" s="306">
        <f>VLOOKUP(B31,'WTAX-CEN'!B:N,4,0)</f>
        <v>0</v>
      </c>
      <c r="F31" s="89"/>
      <c r="G31" s="91"/>
      <c r="H31" s="91"/>
      <c r="I31" s="37">
        <f t="shared" si="0"/>
        <v>0</v>
      </c>
      <c r="J31" s="332">
        <f>'WTAX-CEN'!N18</f>
        <v>0</v>
      </c>
      <c r="K31" s="211">
        <f t="shared" si="1"/>
        <v>0</v>
      </c>
      <c r="L31" s="40">
        <f>'WTAX-CEN'!F18</f>
        <v>0</v>
      </c>
      <c r="M31" s="37">
        <f>'CEN - DEDS'!R30</f>
        <v>0</v>
      </c>
      <c r="N31" s="37">
        <f>'CEN - DEDS'!X30</f>
        <v>0</v>
      </c>
      <c r="O31" s="37">
        <f>'CEN - DEDS'!Y30</f>
        <v>0</v>
      </c>
      <c r="P31" s="37">
        <f>'CEN - DEDS'!AE30</f>
        <v>0</v>
      </c>
      <c r="Q31" s="38">
        <f t="shared" si="2"/>
        <v>0</v>
      </c>
      <c r="R31" s="49">
        <f t="shared" si="3"/>
        <v>0</v>
      </c>
      <c r="S31" s="76">
        <f t="shared" si="4"/>
        <v>0</v>
      </c>
      <c r="T31" s="77">
        <f t="shared" si="5"/>
        <v>0</v>
      </c>
      <c r="U31" s="33">
        <f t="shared" si="6"/>
        <v>11</v>
      </c>
      <c r="V31" s="36">
        <f>ROUND('CEN - PAY'!I31*0.12,2)</f>
        <v>0</v>
      </c>
      <c r="W31" s="37">
        <f t="shared" si="8"/>
        <v>100</v>
      </c>
      <c r="X31" s="37">
        <f>MIN((I31*0.05)-'CEN - DEDS'!Y30,2500)</f>
        <v>0</v>
      </c>
      <c r="Y31" s="41">
        <f t="shared" si="9"/>
        <v>200</v>
      </c>
    </row>
    <row r="32" spans="1:26" ht="18.75" customHeight="1" x14ac:dyDescent="0.25">
      <c r="A32" s="98"/>
      <c r="B32" s="33">
        <f t="shared" si="7"/>
        <v>12</v>
      </c>
      <c r="C32" s="72">
        <f>VLOOKUP(B32,'WTAX-CEN'!B:N,2,0)</f>
        <v>0</v>
      </c>
      <c r="D32" s="72" t="e">
        <f>VLOOKUP(C32,'WTAX-CEN'!C:O,2,0)</f>
        <v>#N/A</v>
      </c>
      <c r="E32" s="306">
        <f>VLOOKUP(B32,'WTAX-CEN'!B:N,4,0)</f>
        <v>0</v>
      </c>
      <c r="F32" s="89"/>
      <c r="G32" s="91"/>
      <c r="H32" s="91"/>
      <c r="I32" s="37">
        <f t="shared" si="0"/>
        <v>0</v>
      </c>
      <c r="J32" s="332">
        <f>'WTAX-CEN'!N19</f>
        <v>0</v>
      </c>
      <c r="K32" s="211">
        <f t="shared" si="1"/>
        <v>0</v>
      </c>
      <c r="L32" s="40">
        <f>'WTAX-CEN'!F19</f>
        <v>0</v>
      </c>
      <c r="M32" s="37">
        <f>'CEN - DEDS'!R31</f>
        <v>0</v>
      </c>
      <c r="N32" s="37">
        <f>'CEN - DEDS'!X31</f>
        <v>0</v>
      </c>
      <c r="O32" s="37">
        <f>'CEN - DEDS'!Y31</f>
        <v>0</v>
      </c>
      <c r="P32" s="37">
        <f>'CEN - DEDS'!AE31</f>
        <v>0</v>
      </c>
      <c r="Q32" s="38">
        <f t="shared" si="2"/>
        <v>0</v>
      </c>
      <c r="R32" s="49">
        <f t="shared" si="3"/>
        <v>0</v>
      </c>
      <c r="S32" s="76">
        <f t="shared" si="4"/>
        <v>0</v>
      </c>
      <c r="T32" s="77">
        <f t="shared" si="5"/>
        <v>0</v>
      </c>
      <c r="U32" s="33">
        <f t="shared" si="6"/>
        <v>12</v>
      </c>
      <c r="V32" s="36">
        <f>ROUND('CEN - PAY'!I32*0.12,2)</f>
        <v>0</v>
      </c>
      <c r="W32" s="37">
        <f t="shared" si="8"/>
        <v>100</v>
      </c>
      <c r="X32" s="37">
        <f>MIN((I32*0.05)-'CEN - DEDS'!Y31,2500)</f>
        <v>0</v>
      </c>
      <c r="Y32" s="41">
        <f t="shared" si="9"/>
        <v>200</v>
      </c>
    </row>
    <row r="33" spans="1:25" ht="18.75" customHeight="1" x14ac:dyDescent="0.25">
      <c r="A33" s="98"/>
      <c r="B33" s="33">
        <f t="shared" si="7"/>
        <v>13</v>
      </c>
      <c r="C33" s="72">
        <f>VLOOKUP(B33,'WTAX-CEN'!B:N,2,0)</f>
        <v>0</v>
      </c>
      <c r="D33" s="72" t="e">
        <f>VLOOKUP(C33,'WTAX-CEN'!C:O,2,0)</f>
        <v>#N/A</v>
      </c>
      <c r="E33" s="306">
        <f>VLOOKUP(B33,'WTAX-CEN'!B:N,4,0)</f>
        <v>0</v>
      </c>
      <c r="F33" s="89"/>
      <c r="G33" s="91"/>
      <c r="H33" s="91"/>
      <c r="I33" s="37">
        <f t="shared" si="0"/>
        <v>0</v>
      </c>
      <c r="J33" s="332">
        <f>'WTAX-CEN'!N20</f>
        <v>0</v>
      </c>
      <c r="K33" s="211">
        <f t="shared" si="1"/>
        <v>0</v>
      </c>
      <c r="L33" s="40">
        <f>'WTAX-CEN'!F20</f>
        <v>0</v>
      </c>
      <c r="M33" s="37">
        <f>'CEN - DEDS'!R32</f>
        <v>0</v>
      </c>
      <c r="N33" s="37">
        <f>'CEN - DEDS'!X32</f>
        <v>0</v>
      </c>
      <c r="O33" s="37">
        <f>'CEN - DEDS'!Y32</f>
        <v>0</v>
      </c>
      <c r="P33" s="37">
        <f>'CEN - DEDS'!AE32</f>
        <v>0</v>
      </c>
      <c r="Q33" s="38">
        <f t="shared" si="2"/>
        <v>0</v>
      </c>
      <c r="R33" s="49">
        <f t="shared" si="3"/>
        <v>0</v>
      </c>
      <c r="S33" s="76">
        <f t="shared" si="4"/>
        <v>0</v>
      </c>
      <c r="T33" s="77">
        <f t="shared" si="5"/>
        <v>0</v>
      </c>
      <c r="U33" s="33">
        <f t="shared" si="6"/>
        <v>13</v>
      </c>
      <c r="V33" s="36">
        <f>ROUND('CEN - PAY'!I33*0.12,2)</f>
        <v>0</v>
      </c>
      <c r="W33" s="37">
        <f t="shared" si="8"/>
        <v>100</v>
      </c>
      <c r="X33" s="37">
        <f>MIN((I33*0.05)-'CEN - DEDS'!Y32,2500)</f>
        <v>0</v>
      </c>
      <c r="Y33" s="41">
        <f t="shared" si="9"/>
        <v>200</v>
      </c>
    </row>
    <row r="34" spans="1:25" ht="18.75" customHeight="1" x14ac:dyDescent="0.25">
      <c r="A34" s="98"/>
      <c r="B34" s="33">
        <f t="shared" si="7"/>
        <v>14</v>
      </c>
      <c r="C34" s="72">
        <f>VLOOKUP(B34,'WTAX-CEN'!B:N,2,0)</f>
        <v>0</v>
      </c>
      <c r="D34" s="72" t="e">
        <f>VLOOKUP(C34,'WTAX-CEN'!C:O,2,0)</f>
        <v>#N/A</v>
      </c>
      <c r="E34" s="306">
        <f>VLOOKUP(B34,'WTAX-CEN'!B:N,4,0)</f>
        <v>0</v>
      </c>
      <c r="F34" s="86"/>
      <c r="G34" s="91"/>
      <c r="H34" s="91"/>
      <c r="I34" s="37">
        <f t="shared" si="0"/>
        <v>0</v>
      </c>
      <c r="J34" s="332">
        <f>'WTAX-CEN'!N21</f>
        <v>0</v>
      </c>
      <c r="K34" s="211">
        <f t="shared" si="1"/>
        <v>0</v>
      </c>
      <c r="L34" s="40">
        <f>'WTAX-CEN'!F21</f>
        <v>0</v>
      </c>
      <c r="M34" s="37">
        <f>'CEN - DEDS'!R33</f>
        <v>0</v>
      </c>
      <c r="N34" s="37">
        <f>'CEN - DEDS'!X33</f>
        <v>0</v>
      </c>
      <c r="O34" s="37">
        <f>'CEN - DEDS'!Y33</f>
        <v>0</v>
      </c>
      <c r="P34" s="37">
        <f>'CEN - DEDS'!AE33</f>
        <v>0</v>
      </c>
      <c r="Q34" s="38">
        <f t="shared" si="2"/>
        <v>0</v>
      </c>
      <c r="R34" s="49">
        <f t="shared" si="3"/>
        <v>0</v>
      </c>
      <c r="S34" s="76">
        <f t="shared" si="4"/>
        <v>0</v>
      </c>
      <c r="T34" s="77">
        <f t="shared" si="5"/>
        <v>0</v>
      </c>
      <c r="U34" s="33">
        <f t="shared" si="6"/>
        <v>14</v>
      </c>
      <c r="V34" s="36">
        <f>ROUND('CEN - PAY'!I34*0.12,2)</f>
        <v>0</v>
      </c>
      <c r="W34" s="37">
        <f t="shared" si="8"/>
        <v>100</v>
      </c>
      <c r="X34" s="37">
        <f>MIN((I34*0.05)-'CEN - DEDS'!Y33,2500)</f>
        <v>0</v>
      </c>
      <c r="Y34" s="41">
        <f t="shared" si="9"/>
        <v>200</v>
      </c>
    </row>
    <row r="35" spans="1:25" ht="18.75" customHeight="1" x14ac:dyDescent="0.25">
      <c r="A35" s="98"/>
      <c r="B35" s="33">
        <f t="shared" si="7"/>
        <v>15</v>
      </c>
      <c r="C35" s="72">
        <f>VLOOKUP(B35,'WTAX-CEN'!B:N,2,0)</f>
        <v>0</v>
      </c>
      <c r="D35" s="72" t="e">
        <f>VLOOKUP(C35,'WTAX-CEN'!C:O,2,0)</f>
        <v>#N/A</v>
      </c>
      <c r="E35" s="306">
        <f>VLOOKUP(B35,'WTAX-CEN'!B:N,4,0)</f>
        <v>0</v>
      </c>
      <c r="F35" s="89"/>
      <c r="G35" s="91"/>
      <c r="H35" s="91"/>
      <c r="I35" s="37">
        <f t="shared" si="0"/>
        <v>0</v>
      </c>
      <c r="J35" s="332">
        <f>'WTAX-CEN'!N22</f>
        <v>0</v>
      </c>
      <c r="K35" s="211">
        <f t="shared" si="1"/>
        <v>0</v>
      </c>
      <c r="L35" s="40">
        <f>'WTAX-CEN'!F22</f>
        <v>0</v>
      </c>
      <c r="M35" s="37">
        <f>'CEN - DEDS'!R34</f>
        <v>0</v>
      </c>
      <c r="N35" s="37">
        <f>'CEN - DEDS'!X34</f>
        <v>0</v>
      </c>
      <c r="O35" s="37">
        <f>'CEN - DEDS'!Y34</f>
        <v>0</v>
      </c>
      <c r="P35" s="37">
        <f>'CEN - DEDS'!AE34</f>
        <v>0</v>
      </c>
      <c r="Q35" s="38">
        <f t="shared" si="2"/>
        <v>0</v>
      </c>
      <c r="R35" s="49">
        <f t="shared" si="3"/>
        <v>0</v>
      </c>
      <c r="S35" s="76">
        <f t="shared" si="4"/>
        <v>0</v>
      </c>
      <c r="T35" s="77">
        <f t="shared" si="5"/>
        <v>0</v>
      </c>
      <c r="U35" s="33">
        <f t="shared" si="6"/>
        <v>15</v>
      </c>
      <c r="V35" s="36">
        <f>ROUND('CEN - PAY'!I35*0.12,2)</f>
        <v>0</v>
      </c>
      <c r="W35" s="37">
        <f t="shared" si="8"/>
        <v>100</v>
      </c>
      <c r="X35" s="37">
        <f>MIN((I35*0.05)-'CEN - DEDS'!Y34,2500)</f>
        <v>0</v>
      </c>
      <c r="Y35" s="41">
        <f t="shared" si="9"/>
        <v>200</v>
      </c>
    </row>
    <row r="36" spans="1:25" ht="18.75" customHeight="1" x14ac:dyDescent="0.25">
      <c r="A36" s="98"/>
      <c r="B36" s="33">
        <f t="shared" si="7"/>
        <v>16</v>
      </c>
      <c r="C36" s="72">
        <f>VLOOKUP(B36,'WTAX-CEN'!B:N,2,0)</f>
        <v>0</v>
      </c>
      <c r="D36" s="72" t="e">
        <f>VLOOKUP(C36,'WTAX-CEN'!C:O,2,0)</f>
        <v>#N/A</v>
      </c>
      <c r="E36" s="306">
        <f>VLOOKUP(B36,'WTAX-CEN'!B:N,4,0)</f>
        <v>0</v>
      </c>
      <c r="F36" s="89"/>
      <c r="G36" s="91"/>
      <c r="H36" s="91"/>
      <c r="I36" s="37">
        <f t="shared" si="0"/>
        <v>0</v>
      </c>
      <c r="J36" s="332">
        <f>'WTAX-CEN'!N23</f>
        <v>0</v>
      </c>
      <c r="K36" s="211">
        <f t="shared" si="1"/>
        <v>0</v>
      </c>
      <c r="L36" s="40">
        <f>'WTAX-CEN'!F23</f>
        <v>0</v>
      </c>
      <c r="M36" s="37">
        <f>'CEN - DEDS'!R35</f>
        <v>0</v>
      </c>
      <c r="N36" s="37">
        <f>'CEN - DEDS'!X35</f>
        <v>0</v>
      </c>
      <c r="O36" s="37">
        <f>'CEN - DEDS'!Y35</f>
        <v>0</v>
      </c>
      <c r="P36" s="37">
        <f>'CEN - DEDS'!AE35</f>
        <v>0</v>
      </c>
      <c r="Q36" s="38">
        <f t="shared" si="2"/>
        <v>0</v>
      </c>
      <c r="R36" s="49">
        <f t="shared" si="3"/>
        <v>0</v>
      </c>
      <c r="S36" s="76">
        <f t="shared" si="4"/>
        <v>0</v>
      </c>
      <c r="T36" s="77">
        <f t="shared" si="5"/>
        <v>0</v>
      </c>
      <c r="U36" s="33">
        <f t="shared" si="6"/>
        <v>16</v>
      </c>
      <c r="V36" s="36">
        <f>ROUND('CEN - PAY'!I36*0.12,2)</f>
        <v>0</v>
      </c>
      <c r="W36" s="37">
        <f t="shared" si="8"/>
        <v>100</v>
      </c>
      <c r="X36" s="37">
        <f>MIN((I36*0.05)-'CEN - DEDS'!Y35,2500)</f>
        <v>0</v>
      </c>
      <c r="Y36" s="41">
        <f t="shared" si="9"/>
        <v>200</v>
      </c>
    </row>
    <row r="37" spans="1:25" ht="18.75" customHeight="1" x14ac:dyDescent="0.25">
      <c r="A37" s="98"/>
      <c r="B37" s="33">
        <f t="shared" ref="B37:B46" si="10">+B26+1</f>
        <v>7</v>
      </c>
      <c r="C37" s="72">
        <f>VLOOKUP(B37,'WTAX-CEN'!B:N,2,0)</f>
        <v>0</v>
      </c>
      <c r="D37" s="72" t="e">
        <f>VLOOKUP(C37,'WTAX-CEN'!C:O,2,0)</f>
        <v>#N/A</v>
      </c>
      <c r="E37" s="306">
        <f>VLOOKUP(B37,'WTAX-CEN'!B:N,4,0)</f>
        <v>0</v>
      </c>
      <c r="F37" s="89"/>
      <c r="G37" s="91"/>
      <c r="H37" s="91"/>
      <c r="I37" s="37">
        <f t="shared" ref="I37:I46" si="11">SUM(F37:H37)</f>
        <v>0</v>
      </c>
      <c r="J37" s="332">
        <f>'WTAX-CEN'!N24</f>
        <v>0</v>
      </c>
      <c r="K37" s="211">
        <f t="shared" ref="K37:K46" si="12">ROUND(I37-J37,2)</f>
        <v>0</v>
      </c>
      <c r="L37" s="40">
        <f>'WTAX-CEN'!F24</f>
        <v>0</v>
      </c>
      <c r="M37" s="37">
        <f>'CEN - DEDS'!R26</f>
        <v>0</v>
      </c>
      <c r="N37" s="37">
        <f>'CEN - DEDS'!X26</f>
        <v>0</v>
      </c>
      <c r="O37" s="37">
        <f>'CEN - DEDS'!Y26</f>
        <v>0</v>
      </c>
      <c r="P37" s="37">
        <f>'CEN - DEDS'!AE26</f>
        <v>0</v>
      </c>
      <c r="Q37" s="38">
        <f t="shared" ref="Q37:Q46" si="13">ROUND(SUM(L37:P37),2)</f>
        <v>0</v>
      </c>
      <c r="R37" s="49">
        <f t="shared" ref="R37:R46" si="14">K37-Q37</f>
        <v>0</v>
      </c>
      <c r="S37" s="76">
        <f t="shared" ref="S37:S46" si="15">ROUND(R37/2,0)</f>
        <v>0</v>
      </c>
      <c r="T37" s="77">
        <f t="shared" ref="T37:T46" si="16">R37-S37</f>
        <v>0</v>
      </c>
      <c r="U37" s="33">
        <f t="shared" ref="U37:U46" si="17">B37</f>
        <v>7</v>
      </c>
      <c r="V37" s="36">
        <f>ROUND('CEN - PAY'!I37*0.12,2)</f>
        <v>0</v>
      </c>
      <c r="W37" s="37">
        <f t="shared" ref="W37:W46" si="18">W26</f>
        <v>100</v>
      </c>
      <c r="X37" s="37">
        <f>MIN((I37*0.05)-'CEN - DEDS'!Y26,2500)</f>
        <v>0</v>
      </c>
      <c r="Y37" s="41">
        <f t="shared" ref="Y37:Y46" si="19">Y26</f>
        <v>200</v>
      </c>
    </row>
    <row r="38" spans="1:25" ht="18.75" customHeight="1" x14ac:dyDescent="0.25">
      <c r="A38" s="98"/>
      <c r="B38" s="33">
        <f t="shared" si="10"/>
        <v>8</v>
      </c>
      <c r="C38" s="72">
        <f>VLOOKUP(B38,'WTAX-CEN'!B:N,2,0)</f>
        <v>0</v>
      </c>
      <c r="D38" s="72" t="e">
        <f>VLOOKUP(C38,'WTAX-CEN'!C:O,2,0)</f>
        <v>#N/A</v>
      </c>
      <c r="E38" s="306">
        <f>VLOOKUP(B38,'WTAX-CEN'!B:N,4,0)</f>
        <v>0</v>
      </c>
      <c r="F38" s="89"/>
      <c r="G38" s="91"/>
      <c r="H38" s="91"/>
      <c r="I38" s="37">
        <f t="shared" si="11"/>
        <v>0</v>
      </c>
      <c r="J38" s="332">
        <f>'WTAX-CEN'!N25</f>
        <v>0</v>
      </c>
      <c r="K38" s="211">
        <f t="shared" si="12"/>
        <v>0</v>
      </c>
      <c r="L38" s="40">
        <f>'WTAX-CEN'!F25</f>
        <v>0</v>
      </c>
      <c r="M38" s="37">
        <f>'CEN - DEDS'!R27</f>
        <v>0</v>
      </c>
      <c r="N38" s="37">
        <f>'CEN - DEDS'!X27</f>
        <v>0</v>
      </c>
      <c r="O38" s="37">
        <f>'CEN - DEDS'!Y27</f>
        <v>0</v>
      </c>
      <c r="P38" s="37">
        <f>'CEN - DEDS'!AE27</f>
        <v>0</v>
      </c>
      <c r="Q38" s="38">
        <f t="shared" si="13"/>
        <v>0</v>
      </c>
      <c r="R38" s="49">
        <f t="shared" si="14"/>
        <v>0</v>
      </c>
      <c r="S38" s="76">
        <f t="shared" si="15"/>
        <v>0</v>
      </c>
      <c r="T38" s="77">
        <f t="shared" si="16"/>
        <v>0</v>
      </c>
      <c r="U38" s="33">
        <f t="shared" si="17"/>
        <v>8</v>
      </c>
      <c r="V38" s="36">
        <f>ROUND('CEN - PAY'!I38*0.12,2)</f>
        <v>0</v>
      </c>
      <c r="W38" s="37">
        <f t="shared" si="18"/>
        <v>100</v>
      </c>
      <c r="X38" s="37">
        <f>MIN((I38*0.05)-'CEN - DEDS'!Y27,2500)</f>
        <v>0</v>
      </c>
      <c r="Y38" s="41">
        <f t="shared" si="19"/>
        <v>200</v>
      </c>
    </row>
    <row r="39" spans="1:25" ht="18.75" customHeight="1" x14ac:dyDescent="0.25">
      <c r="A39" s="98"/>
      <c r="B39" s="33">
        <f t="shared" si="10"/>
        <v>9</v>
      </c>
      <c r="C39" s="72">
        <f>VLOOKUP(B39,'WTAX-CEN'!B:N,2,0)</f>
        <v>0</v>
      </c>
      <c r="D39" s="72" t="e">
        <f>VLOOKUP(C39,'WTAX-CEN'!C:O,2,0)</f>
        <v>#N/A</v>
      </c>
      <c r="E39" s="306">
        <f>VLOOKUP(B39,'WTAX-CEN'!B:N,4,0)</f>
        <v>0</v>
      </c>
      <c r="F39" s="89"/>
      <c r="G39" s="91"/>
      <c r="H39" s="91"/>
      <c r="I39" s="37">
        <f t="shared" si="11"/>
        <v>0</v>
      </c>
      <c r="J39" s="332">
        <f>'WTAX-CEN'!N26</f>
        <v>0</v>
      </c>
      <c r="K39" s="211">
        <f t="shared" si="12"/>
        <v>0</v>
      </c>
      <c r="L39" s="40">
        <f>'WTAX-CEN'!F26</f>
        <v>0</v>
      </c>
      <c r="M39" s="37">
        <f>'CEN - DEDS'!R28</f>
        <v>0</v>
      </c>
      <c r="N39" s="37">
        <f>'CEN - DEDS'!X28</f>
        <v>0</v>
      </c>
      <c r="O39" s="37">
        <f>'CEN - DEDS'!Y28</f>
        <v>0</v>
      </c>
      <c r="P39" s="37">
        <f>'CEN - DEDS'!AE28</f>
        <v>0</v>
      </c>
      <c r="Q39" s="38">
        <f t="shared" si="13"/>
        <v>0</v>
      </c>
      <c r="R39" s="49">
        <f t="shared" si="14"/>
        <v>0</v>
      </c>
      <c r="S39" s="76">
        <f t="shared" si="15"/>
        <v>0</v>
      </c>
      <c r="T39" s="77">
        <f t="shared" si="16"/>
        <v>0</v>
      </c>
      <c r="U39" s="33">
        <f t="shared" si="17"/>
        <v>9</v>
      </c>
      <c r="V39" s="36">
        <f>ROUND('CEN - PAY'!I39*0.12,2)</f>
        <v>0</v>
      </c>
      <c r="W39" s="37">
        <f t="shared" si="18"/>
        <v>100</v>
      </c>
      <c r="X39" s="37">
        <f>MIN((I39*0.05)-'CEN - DEDS'!Y28,2500)</f>
        <v>0</v>
      </c>
      <c r="Y39" s="41">
        <f t="shared" si="19"/>
        <v>200</v>
      </c>
    </row>
    <row r="40" spans="1:25" ht="18.75" customHeight="1" x14ac:dyDescent="0.25">
      <c r="A40" s="98"/>
      <c r="B40" s="33">
        <f t="shared" si="10"/>
        <v>10</v>
      </c>
      <c r="C40" s="72">
        <f>VLOOKUP(B40,'WTAX-CEN'!B:N,2,0)</f>
        <v>0</v>
      </c>
      <c r="D40" s="72" t="e">
        <f>VLOOKUP(C40,'WTAX-CEN'!C:O,2,0)</f>
        <v>#N/A</v>
      </c>
      <c r="E40" s="306">
        <f>VLOOKUP(B40,'WTAX-CEN'!B:N,4,0)</f>
        <v>0</v>
      </c>
      <c r="F40" s="89"/>
      <c r="G40" s="91"/>
      <c r="H40" s="91"/>
      <c r="I40" s="37">
        <f t="shared" si="11"/>
        <v>0</v>
      </c>
      <c r="J40" s="332">
        <f>'WTAX-CEN'!N27</f>
        <v>0</v>
      </c>
      <c r="K40" s="211">
        <f t="shared" si="12"/>
        <v>0</v>
      </c>
      <c r="L40" s="40">
        <f>'WTAX-CEN'!F27</f>
        <v>0</v>
      </c>
      <c r="M40" s="37">
        <f>'CEN - DEDS'!R29</f>
        <v>0</v>
      </c>
      <c r="N40" s="37">
        <f>'CEN - DEDS'!X29</f>
        <v>0</v>
      </c>
      <c r="O40" s="37">
        <f>'CEN - DEDS'!Y29</f>
        <v>0</v>
      </c>
      <c r="P40" s="37">
        <f>'CEN - DEDS'!AE29</f>
        <v>0</v>
      </c>
      <c r="Q40" s="38">
        <f t="shared" si="13"/>
        <v>0</v>
      </c>
      <c r="R40" s="49">
        <f t="shared" si="14"/>
        <v>0</v>
      </c>
      <c r="S40" s="76">
        <f t="shared" si="15"/>
        <v>0</v>
      </c>
      <c r="T40" s="77">
        <f t="shared" si="16"/>
        <v>0</v>
      </c>
      <c r="U40" s="33">
        <f t="shared" si="17"/>
        <v>10</v>
      </c>
      <c r="V40" s="36">
        <f>ROUND('CEN - PAY'!I40*0.12,2)</f>
        <v>0</v>
      </c>
      <c r="W40" s="37">
        <f t="shared" si="18"/>
        <v>100</v>
      </c>
      <c r="X40" s="37">
        <f>MIN((I40*0.05)-'CEN - DEDS'!Y29,2500)</f>
        <v>0</v>
      </c>
      <c r="Y40" s="41">
        <f t="shared" si="19"/>
        <v>200</v>
      </c>
    </row>
    <row r="41" spans="1:25" ht="18.75" customHeight="1" x14ac:dyDescent="0.25">
      <c r="A41" s="98"/>
      <c r="B41" s="33">
        <f t="shared" si="10"/>
        <v>11</v>
      </c>
      <c r="C41" s="72">
        <f>VLOOKUP(B41,'WTAX-CEN'!B:N,2,0)</f>
        <v>0</v>
      </c>
      <c r="D41" s="72" t="e">
        <f>VLOOKUP(C41,'WTAX-CEN'!C:O,2,0)</f>
        <v>#N/A</v>
      </c>
      <c r="E41" s="306">
        <f>VLOOKUP(B41,'WTAX-CEN'!B:N,4,0)</f>
        <v>0</v>
      </c>
      <c r="F41" s="89"/>
      <c r="G41" s="91"/>
      <c r="H41" s="91"/>
      <c r="I41" s="37">
        <f t="shared" si="11"/>
        <v>0</v>
      </c>
      <c r="J41" s="332">
        <f>'WTAX-CEN'!N28</f>
        <v>0</v>
      </c>
      <c r="K41" s="211">
        <f t="shared" si="12"/>
        <v>0</v>
      </c>
      <c r="L41" s="40">
        <f>'WTAX-CEN'!F28</f>
        <v>0</v>
      </c>
      <c r="M41" s="37">
        <f>'CEN - DEDS'!R30</f>
        <v>0</v>
      </c>
      <c r="N41" s="37">
        <f>'CEN - DEDS'!X30</f>
        <v>0</v>
      </c>
      <c r="O41" s="37">
        <f>'CEN - DEDS'!Y30</f>
        <v>0</v>
      </c>
      <c r="P41" s="37">
        <f>'CEN - DEDS'!AE30</f>
        <v>0</v>
      </c>
      <c r="Q41" s="38">
        <f t="shared" si="13"/>
        <v>0</v>
      </c>
      <c r="R41" s="49">
        <f t="shared" si="14"/>
        <v>0</v>
      </c>
      <c r="S41" s="76">
        <f t="shared" si="15"/>
        <v>0</v>
      </c>
      <c r="T41" s="77">
        <f t="shared" si="16"/>
        <v>0</v>
      </c>
      <c r="U41" s="33">
        <f t="shared" si="17"/>
        <v>11</v>
      </c>
      <c r="V41" s="36">
        <f>ROUND('CEN - PAY'!I41*0.12,2)</f>
        <v>0</v>
      </c>
      <c r="W41" s="37">
        <f t="shared" si="18"/>
        <v>100</v>
      </c>
      <c r="X41" s="37">
        <f>MIN((I41*0.05)-'CEN - DEDS'!Y30,2500)</f>
        <v>0</v>
      </c>
      <c r="Y41" s="41">
        <f t="shared" si="19"/>
        <v>200</v>
      </c>
    </row>
    <row r="42" spans="1:25" ht="18.75" customHeight="1" x14ac:dyDescent="0.25">
      <c r="A42" s="98"/>
      <c r="B42" s="33">
        <f t="shared" si="10"/>
        <v>12</v>
      </c>
      <c r="C42" s="72">
        <f>VLOOKUP(B42,'WTAX-CEN'!B:N,2,0)</f>
        <v>0</v>
      </c>
      <c r="D42" s="72" t="e">
        <f>VLOOKUP(C42,'WTAX-CEN'!C:O,2,0)</f>
        <v>#N/A</v>
      </c>
      <c r="E42" s="306">
        <f>VLOOKUP(B42,'WTAX-CEN'!B:N,4,0)</f>
        <v>0</v>
      </c>
      <c r="F42" s="89"/>
      <c r="G42" s="91"/>
      <c r="H42" s="91"/>
      <c r="I42" s="37">
        <f t="shared" si="11"/>
        <v>0</v>
      </c>
      <c r="J42" s="332">
        <f>'WTAX-CEN'!N29</f>
        <v>0</v>
      </c>
      <c r="K42" s="211">
        <f t="shared" si="12"/>
        <v>0</v>
      </c>
      <c r="L42" s="40">
        <f>'WTAX-CEN'!F29</f>
        <v>0</v>
      </c>
      <c r="M42" s="37">
        <f>'CEN - DEDS'!R31</f>
        <v>0</v>
      </c>
      <c r="N42" s="37">
        <f>'CEN - DEDS'!X31</f>
        <v>0</v>
      </c>
      <c r="O42" s="37">
        <f>'CEN - DEDS'!Y31</f>
        <v>0</v>
      </c>
      <c r="P42" s="37">
        <f>'CEN - DEDS'!AE31</f>
        <v>0</v>
      </c>
      <c r="Q42" s="38">
        <f t="shared" si="13"/>
        <v>0</v>
      </c>
      <c r="R42" s="49">
        <f t="shared" si="14"/>
        <v>0</v>
      </c>
      <c r="S42" s="76">
        <f t="shared" si="15"/>
        <v>0</v>
      </c>
      <c r="T42" s="77">
        <f t="shared" si="16"/>
        <v>0</v>
      </c>
      <c r="U42" s="33">
        <f t="shared" si="17"/>
        <v>12</v>
      </c>
      <c r="V42" s="36">
        <f>ROUND('CEN - PAY'!I42*0.12,2)</f>
        <v>0</v>
      </c>
      <c r="W42" s="37">
        <f t="shared" si="18"/>
        <v>100</v>
      </c>
      <c r="X42" s="37">
        <f>MIN((I42*0.05)-'CEN - DEDS'!Y31,2500)</f>
        <v>0</v>
      </c>
      <c r="Y42" s="41">
        <f t="shared" si="19"/>
        <v>200</v>
      </c>
    </row>
    <row r="43" spans="1:25" ht="18.75" customHeight="1" x14ac:dyDescent="0.25">
      <c r="A43" s="98"/>
      <c r="B43" s="33">
        <f t="shared" si="10"/>
        <v>13</v>
      </c>
      <c r="C43" s="72">
        <f>VLOOKUP(B43,'WTAX-CEN'!B:N,2,0)</f>
        <v>0</v>
      </c>
      <c r="D43" s="72" t="e">
        <f>VLOOKUP(C43,'WTAX-CEN'!C:O,2,0)</f>
        <v>#N/A</v>
      </c>
      <c r="E43" s="306">
        <f>VLOOKUP(B43,'WTAX-CEN'!B:N,4,0)</f>
        <v>0</v>
      </c>
      <c r="F43" s="89"/>
      <c r="G43" s="91"/>
      <c r="H43" s="91"/>
      <c r="I43" s="37">
        <f t="shared" si="11"/>
        <v>0</v>
      </c>
      <c r="J43" s="332">
        <f>'WTAX-CEN'!N30</f>
        <v>0</v>
      </c>
      <c r="K43" s="211">
        <f t="shared" si="12"/>
        <v>0</v>
      </c>
      <c r="L43" s="40">
        <f>'WTAX-CEN'!F30</f>
        <v>0</v>
      </c>
      <c r="M43" s="37">
        <f>'CEN - DEDS'!R32</f>
        <v>0</v>
      </c>
      <c r="N43" s="37">
        <f>'CEN - DEDS'!X32</f>
        <v>0</v>
      </c>
      <c r="O43" s="37">
        <f>'CEN - DEDS'!Y32</f>
        <v>0</v>
      </c>
      <c r="P43" s="37">
        <f>'CEN - DEDS'!AE32</f>
        <v>0</v>
      </c>
      <c r="Q43" s="38">
        <f t="shared" si="13"/>
        <v>0</v>
      </c>
      <c r="R43" s="49">
        <f t="shared" si="14"/>
        <v>0</v>
      </c>
      <c r="S43" s="76">
        <f t="shared" si="15"/>
        <v>0</v>
      </c>
      <c r="T43" s="77">
        <f t="shared" si="16"/>
        <v>0</v>
      </c>
      <c r="U43" s="33">
        <f t="shared" si="17"/>
        <v>13</v>
      </c>
      <c r="V43" s="36">
        <f>ROUND('CEN - PAY'!I43*0.12,2)</f>
        <v>0</v>
      </c>
      <c r="W43" s="37">
        <f t="shared" si="18"/>
        <v>100</v>
      </c>
      <c r="X43" s="37">
        <f>MIN((I43*0.05)-'CEN - DEDS'!Y32,2500)</f>
        <v>0</v>
      </c>
      <c r="Y43" s="41">
        <f t="shared" si="19"/>
        <v>200</v>
      </c>
    </row>
    <row r="44" spans="1:25" ht="18.75" customHeight="1" x14ac:dyDescent="0.25">
      <c r="A44" s="98"/>
      <c r="B44" s="33">
        <f t="shared" si="10"/>
        <v>14</v>
      </c>
      <c r="C44" s="72">
        <f>VLOOKUP(B44,'WTAX-CEN'!B:N,2,0)</f>
        <v>0</v>
      </c>
      <c r="D44" s="72" t="e">
        <f>VLOOKUP(C44,'WTAX-CEN'!C:O,2,0)</f>
        <v>#N/A</v>
      </c>
      <c r="E44" s="306">
        <f>VLOOKUP(B44,'WTAX-CEN'!B:N,4,0)</f>
        <v>0</v>
      </c>
      <c r="F44" s="89"/>
      <c r="G44" s="91"/>
      <c r="H44" s="91"/>
      <c r="I44" s="37">
        <f t="shared" si="11"/>
        <v>0</v>
      </c>
      <c r="J44" s="332">
        <f>'WTAX-CEN'!N31</f>
        <v>0</v>
      </c>
      <c r="K44" s="211">
        <f t="shared" si="12"/>
        <v>0</v>
      </c>
      <c r="L44" s="40">
        <f>'WTAX-CEN'!F31</f>
        <v>0</v>
      </c>
      <c r="M44" s="37">
        <f>'CEN - DEDS'!R33</f>
        <v>0</v>
      </c>
      <c r="N44" s="37">
        <f>'CEN - DEDS'!X33</f>
        <v>0</v>
      </c>
      <c r="O44" s="37">
        <f>'CEN - DEDS'!Y33</f>
        <v>0</v>
      </c>
      <c r="P44" s="37">
        <f>'CEN - DEDS'!AE33</f>
        <v>0</v>
      </c>
      <c r="Q44" s="38">
        <f t="shared" si="13"/>
        <v>0</v>
      </c>
      <c r="R44" s="49">
        <f t="shared" si="14"/>
        <v>0</v>
      </c>
      <c r="S44" s="76">
        <f t="shared" si="15"/>
        <v>0</v>
      </c>
      <c r="T44" s="77">
        <f t="shared" si="16"/>
        <v>0</v>
      </c>
      <c r="U44" s="33">
        <f t="shared" si="17"/>
        <v>14</v>
      </c>
      <c r="V44" s="36">
        <f>ROUND('CEN - PAY'!I44*0.12,2)</f>
        <v>0</v>
      </c>
      <c r="W44" s="37">
        <f t="shared" si="18"/>
        <v>100</v>
      </c>
      <c r="X44" s="37">
        <f>MIN((I44*0.05)-'CEN - DEDS'!Y33,2500)</f>
        <v>0</v>
      </c>
      <c r="Y44" s="41">
        <f t="shared" si="19"/>
        <v>200</v>
      </c>
    </row>
    <row r="45" spans="1:25" ht="18.75" customHeight="1" x14ac:dyDescent="0.25">
      <c r="A45" s="98"/>
      <c r="B45" s="33">
        <f t="shared" si="10"/>
        <v>15</v>
      </c>
      <c r="C45" s="72">
        <f>VLOOKUP(B45,'WTAX-CEN'!B:N,2,0)</f>
        <v>0</v>
      </c>
      <c r="D45" s="72" t="e">
        <f>VLOOKUP(C45,'WTAX-CEN'!C:O,2,0)</f>
        <v>#N/A</v>
      </c>
      <c r="E45" s="306">
        <f>VLOOKUP(B45,'WTAX-CEN'!B:N,4,0)</f>
        <v>0</v>
      </c>
      <c r="F45" s="89"/>
      <c r="G45" s="91"/>
      <c r="H45" s="91"/>
      <c r="I45" s="37">
        <f t="shared" si="11"/>
        <v>0</v>
      </c>
      <c r="J45" s="332">
        <f>'WTAX-CEN'!N32</f>
        <v>0</v>
      </c>
      <c r="K45" s="211">
        <f t="shared" si="12"/>
        <v>0</v>
      </c>
      <c r="L45" s="40">
        <f>'WTAX-CEN'!F32</f>
        <v>0</v>
      </c>
      <c r="M45" s="37">
        <f>'CEN - DEDS'!R34</f>
        <v>0</v>
      </c>
      <c r="N45" s="37">
        <f>'CEN - DEDS'!X34</f>
        <v>0</v>
      </c>
      <c r="O45" s="37">
        <f>'CEN - DEDS'!Y34</f>
        <v>0</v>
      </c>
      <c r="P45" s="37">
        <f>'CEN - DEDS'!AE34</f>
        <v>0</v>
      </c>
      <c r="Q45" s="38">
        <f t="shared" si="13"/>
        <v>0</v>
      </c>
      <c r="R45" s="49">
        <f t="shared" si="14"/>
        <v>0</v>
      </c>
      <c r="S45" s="76">
        <f t="shared" si="15"/>
        <v>0</v>
      </c>
      <c r="T45" s="77">
        <f t="shared" si="16"/>
        <v>0</v>
      </c>
      <c r="U45" s="33">
        <f t="shared" si="17"/>
        <v>15</v>
      </c>
      <c r="V45" s="36">
        <f>ROUND('CEN - PAY'!I45*0.12,2)</f>
        <v>0</v>
      </c>
      <c r="W45" s="37">
        <f t="shared" si="18"/>
        <v>100</v>
      </c>
      <c r="X45" s="37">
        <f>MIN((I45*0.05)-'CEN - DEDS'!Y34,2500)</f>
        <v>0</v>
      </c>
      <c r="Y45" s="41">
        <f t="shared" si="19"/>
        <v>200</v>
      </c>
    </row>
    <row r="46" spans="1:25" ht="18.75" customHeight="1" x14ac:dyDescent="0.25">
      <c r="A46" s="98"/>
      <c r="B46" s="33">
        <f t="shared" si="10"/>
        <v>16</v>
      </c>
      <c r="C46" s="72">
        <f>VLOOKUP(B46,'WTAX-CEN'!B:N,2,0)</f>
        <v>0</v>
      </c>
      <c r="D46" s="72" t="e">
        <f>VLOOKUP(C46,'WTAX-CEN'!C:O,2,0)</f>
        <v>#N/A</v>
      </c>
      <c r="E46" s="306">
        <f>VLOOKUP(B46,'WTAX-CEN'!B:N,4,0)</f>
        <v>0</v>
      </c>
      <c r="F46" s="89"/>
      <c r="G46" s="91"/>
      <c r="H46" s="91"/>
      <c r="I46" s="37">
        <f t="shared" si="11"/>
        <v>0</v>
      </c>
      <c r="J46" s="332">
        <f>'WTAX-CEN'!N33</f>
        <v>0</v>
      </c>
      <c r="K46" s="211">
        <f t="shared" si="12"/>
        <v>0</v>
      </c>
      <c r="L46" s="40">
        <f>'WTAX-CEN'!F33</f>
        <v>0</v>
      </c>
      <c r="M46" s="37">
        <f>'CEN - DEDS'!R35</f>
        <v>0</v>
      </c>
      <c r="N46" s="37">
        <f>'CEN - DEDS'!X35</f>
        <v>0</v>
      </c>
      <c r="O46" s="37">
        <f>'CEN - DEDS'!Y35</f>
        <v>0</v>
      </c>
      <c r="P46" s="37">
        <f>'CEN - DEDS'!AE35</f>
        <v>0</v>
      </c>
      <c r="Q46" s="38">
        <f t="shared" si="13"/>
        <v>0</v>
      </c>
      <c r="R46" s="49">
        <f t="shared" si="14"/>
        <v>0</v>
      </c>
      <c r="S46" s="76">
        <f t="shared" si="15"/>
        <v>0</v>
      </c>
      <c r="T46" s="77">
        <f t="shared" si="16"/>
        <v>0</v>
      </c>
      <c r="U46" s="33">
        <f t="shared" si="17"/>
        <v>16</v>
      </c>
      <c r="V46" s="36">
        <f>ROUND('CEN - PAY'!I46*0.12,2)</f>
        <v>0</v>
      </c>
      <c r="W46" s="37">
        <f t="shared" si="18"/>
        <v>100</v>
      </c>
      <c r="X46" s="37">
        <f>MIN((I46*0.05)-'CEN - DEDS'!Y35,2500)</f>
        <v>0</v>
      </c>
      <c r="Y46" s="41">
        <f t="shared" si="19"/>
        <v>200</v>
      </c>
    </row>
    <row r="47" spans="1:25" ht="18.75" customHeight="1" x14ac:dyDescent="0.25">
      <c r="A47" s="98"/>
      <c r="B47" s="33">
        <f>+B36+1</f>
        <v>17</v>
      </c>
      <c r="C47" s="72">
        <f>VLOOKUP(B47,'WTAX-CEN'!B:N,2,0)</f>
        <v>0</v>
      </c>
      <c r="D47" s="72" t="e">
        <f>VLOOKUP(C47,'WTAX-CEN'!C:O,2,0)</f>
        <v>#N/A</v>
      </c>
      <c r="E47" s="306">
        <f>VLOOKUP(B47,'WTAX-CEN'!B:N,4,0)</f>
        <v>0</v>
      </c>
      <c r="F47" s="89"/>
      <c r="G47" s="91"/>
      <c r="H47" s="91"/>
      <c r="I47" s="37">
        <f t="shared" si="0"/>
        <v>0</v>
      </c>
      <c r="J47" s="332">
        <f>'WTAX-CEN'!N34</f>
        <v>0</v>
      </c>
      <c r="K47" s="211">
        <f t="shared" si="1"/>
        <v>0</v>
      </c>
      <c r="L47" s="40">
        <f>'WTAX-CEN'!F34</f>
        <v>0</v>
      </c>
      <c r="M47" s="37">
        <f>'CEN - DEDS'!R46</f>
        <v>0</v>
      </c>
      <c r="N47" s="37">
        <f>'CEN - DEDS'!X46</f>
        <v>0</v>
      </c>
      <c r="O47" s="37">
        <f>'CEN - DEDS'!Y46</f>
        <v>0</v>
      </c>
      <c r="P47" s="37">
        <f>'CEN - DEDS'!AE46</f>
        <v>0</v>
      </c>
      <c r="Q47" s="38">
        <f t="shared" si="2"/>
        <v>0</v>
      </c>
      <c r="R47" s="49">
        <f t="shared" si="3"/>
        <v>0</v>
      </c>
      <c r="S47" s="76">
        <f t="shared" si="4"/>
        <v>0</v>
      </c>
      <c r="T47" s="77">
        <f t="shared" si="5"/>
        <v>0</v>
      </c>
      <c r="U47" s="33">
        <f t="shared" si="6"/>
        <v>17</v>
      </c>
      <c r="V47" s="36">
        <f>ROUND('CEN - PAY'!I47*0.12,2)</f>
        <v>0</v>
      </c>
      <c r="W47" s="37">
        <f>W36</f>
        <v>100</v>
      </c>
      <c r="X47" s="37">
        <f>MIN((I47*0.05)-'CEN - DEDS'!Y46,2500)</f>
        <v>0</v>
      </c>
      <c r="Y47" s="41">
        <f>Y36</f>
        <v>200</v>
      </c>
    </row>
    <row r="48" spans="1:25" ht="18.75" customHeight="1" x14ac:dyDescent="0.25">
      <c r="A48" s="98"/>
      <c r="B48" s="63"/>
      <c r="C48" s="64"/>
      <c r="D48" s="64"/>
      <c r="E48" s="63"/>
      <c r="F48" s="89"/>
      <c r="G48" s="91"/>
      <c r="H48" s="91"/>
      <c r="I48" s="66"/>
      <c r="J48" s="333"/>
      <c r="K48" s="212"/>
      <c r="L48" s="68"/>
      <c r="M48" s="66"/>
      <c r="N48" s="66"/>
      <c r="O48" s="66"/>
      <c r="P48" s="66"/>
      <c r="Q48" s="69"/>
      <c r="R48" s="70"/>
      <c r="S48" s="68"/>
      <c r="T48" s="71"/>
      <c r="U48" s="63"/>
      <c r="V48" s="65"/>
      <c r="W48" s="66"/>
      <c r="X48" s="66"/>
      <c r="Y48" s="71"/>
    </row>
    <row r="49" spans="1:26" ht="18.75" customHeight="1" thickBot="1" x14ac:dyDescent="0.3">
      <c r="A49" s="98"/>
      <c r="B49" s="64"/>
      <c r="C49" s="64"/>
      <c r="D49" s="64"/>
      <c r="E49" s="63"/>
      <c r="F49" s="92">
        <f>SUM(F21:F48)</f>
        <v>0</v>
      </c>
      <c r="G49" s="93"/>
      <c r="H49" s="93">
        <f t="shared" ref="H49:T49" si="20">SUM(H21:H48)</f>
        <v>0</v>
      </c>
      <c r="I49" s="79">
        <f t="shared" si="20"/>
        <v>0</v>
      </c>
      <c r="J49" s="334">
        <f t="shared" si="20"/>
        <v>0</v>
      </c>
      <c r="K49" s="213">
        <f t="shared" si="20"/>
        <v>0</v>
      </c>
      <c r="L49" s="155">
        <f t="shared" si="20"/>
        <v>0</v>
      </c>
      <c r="M49" s="152">
        <f t="shared" si="20"/>
        <v>0</v>
      </c>
      <c r="N49" s="152">
        <f t="shared" si="20"/>
        <v>0</v>
      </c>
      <c r="O49" s="152">
        <f t="shared" si="20"/>
        <v>0</v>
      </c>
      <c r="P49" s="152">
        <f t="shared" si="20"/>
        <v>0</v>
      </c>
      <c r="Q49" s="153">
        <f t="shared" si="20"/>
        <v>0</v>
      </c>
      <c r="R49" s="154">
        <f t="shared" si="20"/>
        <v>0</v>
      </c>
      <c r="S49" s="155">
        <f t="shared" si="20"/>
        <v>0</v>
      </c>
      <c r="T49" s="156">
        <f t="shared" si="20"/>
        <v>0</v>
      </c>
      <c r="U49" s="63"/>
      <c r="V49" s="157">
        <f>SUM(V21:V48)</f>
        <v>0</v>
      </c>
      <c r="W49" s="152">
        <f>SUM(W21:W48)</f>
        <v>2700</v>
      </c>
      <c r="X49" s="152">
        <f>SUM(X21:X48)</f>
        <v>0</v>
      </c>
      <c r="Y49" s="156">
        <f>SUM(Y21:Y48)</f>
        <v>5400</v>
      </c>
    </row>
    <row r="50" spans="1:26" ht="21" customHeight="1" thickBot="1" x14ac:dyDescent="0.3">
      <c r="A50" s="98"/>
      <c r="B50" s="1" t="s">
        <v>21</v>
      </c>
      <c r="C50" s="854" t="s">
        <v>104</v>
      </c>
      <c r="D50" s="855"/>
      <c r="E50" s="855"/>
      <c r="F50" s="855"/>
      <c r="G50" s="855"/>
      <c r="H50" s="167"/>
      <c r="I50" s="167"/>
      <c r="J50" s="158"/>
      <c r="K50" s="158"/>
      <c r="L50" s="158"/>
      <c r="M50" s="158"/>
      <c r="N50" s="159"/>
      <c r="O50" s="1" t="s">
        <v>23</v>
      </c>
      <c r="P50" s="170" t="s">
        <v>89</v>
      </c>
      <c r="Q50" s="158"/>
      <c r="R50" s="158"/>
      <c r="S50" s="875"/>
      <c r="T50" s="875"/>
      <c r="U50" s="875"/>
      <c r="V50" s="875"/>
      <c r="W50" s="875"/>
      <c r="X50" s="875"/>
      <c r="Y50" s="876"/>
    </row>
    <row r="51" spans="1:26" ht="30.75" customHeight="1" x14ac:dyDescent="0.25">
      <c r="A51" s="98"/>
      <c r="B51" s="17" t="s">
        <v>22</v>
      </c>
      <c r="D51" s="8"/>
      <c r="E51" s="50"/>
      <c r="F51" s="8"/>
      <c r="G51" s="8"/>
      <c r="H51" s="8"/>
      <c r="I51" s="160"/>
      <c r="J51" s="160"/>
      <c r="K51" s="160"/>
      <c r="L51" s="160"/>
      <c r="M51" s="160"/>
      <c r="N51" s="147"/>
      <c r="O51" s="870" t="e" cm="1">
        <f t="array" aca="1" ref="O51" ca="1">PesosInWords2Caps(W51)</f>
        <v>#NAME?</v>
      </c>
      <c r="P51" s="871"/>
      <c r="Q51" s="871"/>
      <c r="R51" s="871"/>
      <c r="S51" s="871"/>
      <c r="T51" s="871"/>
      <c r="U51" s="871"/>
      <c r="V51" s="871"/>
      <c r="W51" s="868">
        <f>S49</f>
        <v>0</v>
      </c>
      <c r="X51" s="868"/>
      <c r="Y51" s="869"/>
    </row>
    <row r="52" spans="1:26" ht="21.75" customHeight="1" x14ac:dyDescent="0.25">
      <c r="A52" s="98"/>
      <c r="B52" s="17"/>
      <c r="C52" s="8"/>
      <c r="D52" s="8"/>
      <c r="E52" s="50"/>
      <c r="F52" s="8"/>
      <c r="G52" s="8"/>
      <c r="H52" s="8"/>
      <c r="I52" s="8"/>
      <c r="J52" s="8"/>
      <c r="K52" s="8"/>
      <c r="L52" s="8"/>
      <c r="M52" s="8"/>
      <c r="N52" s="18"/>
      <c r="O52" s="25"/>
      <c r="P52" s="8"/>
      <c r="Q52" s="8"/>
      <c r="R52" s="8"/>
      <c r="S52" s="9"/>
      <c r="T52" s="9"/>
      <c r="U52" s="6"/>
      <c r="V52" s="9"/>
      <c r="W52" s="9"/>
      <c r="X52" s="9"/>
      <c r="Y52" s="19"/>
    </row>
    <row r="53" spans="1:26" ht="21.75" customHeight="1" x14ac:dyDescent="0.25">
      <c r="A53" s="98"/>
      <c r="B53" s="17"/>
      <c r="N53" s="56"/>
      <c r="O53" s="149"/>
      <c r="P53" s="50"/>
      <c r="U53" s="6"/>
      <c r="Y53" s="19"/>
    </row>
    <row r="54" spans="1:26" ht="16.5" customHeight="1" x14ac:dyDescent="0.25">
      <c r="A54" s="98"/>
      <c r="B54" s="17"/>
      <c r="C54" s="820" t="s">
        <v>47</v>
      </c>
      <c r="D54" s="820"/>
      <c r="E54" s="325"/>
      <c r="F54" s="342">
        <f ca="1">NOW()</f>
        <v>46275.505203009256</v>
      </c>
      <c r="G54" s="164"/>
      <c r="H54" s="820" t="s">
        <v>95</v>
      </c>
      <c r="I54" s="820"/>
      <c r="J54" s="820"/>
      <c r="K54" s="820"/>
      <c r="L54" s="8"/>
      <c r="M54" s="342">
        <f ca="1">NOW()</f>
        <v>46275.505203009256</v>
      </c>
      <c r="N54" s="165"/>
      <c r="O54" s="161"/>
      <c r="P54" s="51"/>
      <c r="Q54" s="820" t="s">
        <v>97</v>
      </c>
      <c r="R54" s="820"/>
      <c r="S54" s="820"/>
      <c r="U54" s="6"/>
      <c r="V54" s="839"/>
      <c r="W54" s="839"/>
      <c r="X54" s="839"/>
      <c r="Y54" s="19"/>
    </row>
    <row r="55" spans="1:26" ht="15.75" x14ac:dyDescent="0.25">
      <c r="A55" s="98"/>
      <c r="B55" s="17"/>
      <c r="C55" s="827" t="s">
        <v>93</v>
      </c>
      <c r="D55" s="827"/>
      <c r="E55" s="6"/>
      <c r="F55" s="171" t="s">
        <v>29</v>
      </c>
      <c r="G55" s="9"/>
      <c r="H55" s="827" t="s">
        <v>94</v>
      </c>
      <c r="I55" s="827"/>
      <c r="J55" s="827"/>
      <c r="K55" s="827"/>
      <c r="L55" s="9"/>
      <c r="M55" s="171" t="s">
        <v>29</v>
      </c>
      <c r="N55" s="172"/>
      <c r="O55" s="161"/>
      <c r="P55" s="51"/>
      <c r="Q55" s="827" t="s">
        <v>96</v>
      </c>
      <c r="R55" s="827"/>
      <c r="S55" s="827"/>
      <c r="T55" s="9"/>
      <c r="U55" s="6"/>
      <c r="V55" s="840" t="s">
        <v>29</v>
      </c>
      <c r="W55" s="840"/>
      <c r="X55" s="840"/>
      <c r="Y55" s="19"/>
    </row>
    <row r="56" spans="1:26" ht="16.5" thickBot="1" x14ac:dyDescent="0.3">
      <c r="A56" s="98"/>
      <c r="B56" s="20"/>
      <c r="C56" s="21"/>
      <c r="D56" s="21"/>
      <c r="E56" s="326"/>
      <c r="F56" s="21"/>
      <c r="G56" s="21"/>
      <c r="H56" s="21"/>
      <c r="I56" s="21"/>
      <c r="J56" s="29"/>
      <c r="K56" s="29"/>
      <c r="L56" s="29"/>
      <c r="M56" s="29"/>
      <c r="N56" s="168"/>
      <c r="O56" s="162"/>
      <c r="P56" s="22"/>
      <c r="Q56" s="30"/>
      <c r="R56" s="30"/>
      <c r="S56" s="30"/>
      <c r="T56" s="10"/>
      <c r="U56" s="54"/>
      <c r="V56" s="10"/>
      <c r="W56" s="10"/>
      <c r="X56" s="10"/>
      <c r="Y56" s="23"/>
      <c r="Z56" s="842"/>
    </row>
    <row r="57" spans="1:26" ht="21" customHeight="1" thickBot="1" x14ac:dyDescent="0.3">
      <c r="A57" s="98"/>
      <c r="B57" s="1" t="s">
        <v>24</v>
      </c>
      <c r="C57" s="818" t="s">
        <v>105</v>
      </c>
      <c r="D57" s="818" t="s">
        <v>100</v>
      </c>
      <c r="E57" s="818"/>
      <c r="F57" s="818"/>
      <c r="G57" s="818"/>
      <c r="H57" s="818"/>
      <c r="I57" s="818"/>
      <c r="J57" s="818"/>
      <c r="K57" s="818"/>
      <c r="L57" s="828">
        <f>S49</f>
        <v>0</v>
      </c>
      <c r="M57" s="828"/>
      <c r="N57" s="829"/>
      <c r="O57" s="1" t="s">
        <v>25</v>
      </c>
      <c r="P57" s="835" t="s">
        <v>35</v>
      </c>
      <c r="Q57" s="835"/>
      <c r="R57" s="835"/>
      <c r="S57" s="835"/>
      <c r="T57" s="836"/>
      <c r="U57" s="1" t="s">
        <v>27</v>
      </c>
      <c r="V57" s="148"/>
      <c r="W57" s="148"/>
      <c r="X57" s="148"/>
      <c r="Y57" s="24"/>
      <c r="Z57" s="843"/>
    </row>
    <row r="58" spans="1:26" ht="30.75" customHeight="1" x14ac:dyDescent="0.25">
      <c r="A58" s="98"/>
      <c r="B58" s="17" t="s">
        <v>26</v>
      </c>
      <c r="C58" s="819"/>
      <c r="D58" s="819"/>
      <c r="E58" s="819"/>
      <c r="F58" s="819"/>
      <c r="G58" s="819"/>
      <c r="H58" s="819"/>
      <c r="I58" s="819"/>
      <c r="J58" s="819"/>
      <c r="K58" s="819"/>
      <c r="L58" s="830"/>
      <c r="M58" s="830"/>
      <c r="N58" s="831"/>
      <c r="O58" s="25"/>
      <c r="P58" s="837"/>
      <c r="Q58" s="837"/>
      <c r="R58" s="837"/>
      <c r="S58" s="837"/>
      <c r="T58" s="838"/>
      <c r="U58" s="149"/>
      <c r="V58" s="61" t="s">
        <v>90</v>
      </c>
      <c r="W58" s="820" t="str">
        <f>'GEN.AD - PAY'!$W$172</f>
        <v>01-101101-2026-01-0003</v>
      </c>
      <c r="X58" s="820"/>
      <c r="Y58" s="822"/>
      <c r="Z58" s="843"/>
    </row>
    <row r="59" spans="1:26" ht="24.95" customHeight="1" x14ac:dyDescent="0.25">
      <c r="A59" s="98"/>
      <c r="B59" s="17"/>
      <c r="C59" s="8" t="s">
        <v>28</v>
      </c>
      <c r="D59" s="8"/>
      <c r="E59" s="50"/>
      <c r="F59" s="8"/>
      <c r="G59" s="8"/>
      <c r="H59" s="8"/>
      <c r="I59" s="8"/>
      <c r="J59" s="8"/>
      <c r="K59" s="8"/>
      <c r="L59" s="8"/>
      <c r="M59" s="8"/>
      <c r="N59" s="18"/>
      <c r="O59" s="25"/>
      <c r="P59" s="8"/>
      <c r="T59" s="26"/>
      <c r="U59" s="150"/>
      <c r="V59" s="61" t="s">
        <v>91</v>
      </c>
      <c r="W59" s="918">
        <f>'GEN.AD - PAY'!$W$173</f>
        <v>46038</v>
      </c>
      <c r="X59" s="918"/>
      <c r="Y59" s="919"/>
      <c r="Z59" s="843"/>
    </row>
    <row r="60" spans="1:26" ht="24.95" customHeight="1" x14ac:dyDescent="0.25">
      <c r="A60" s="98"/>
      <c r="B60" s="17"/>
      <c r="E60" s="820" t="s">
        <v>102</v>
      </c>
      <c r="F60" s="820"/>
      <c r="G60" s="820"/>
      <c r="H60" s="820"/>
      <c r="I60" s="820"/>
      <c r="K60" s="821"/>
      <c r="L60" s="821"/>
      <c r="M60" s="8"/>
      <c r="N60" s="18"/>
      <c r="O60" s="25"/>
      <c r="P60" s="820" t="s">
        <v>99</v>
      </c>
      <c r="Q60" s="820"/>
      <c r="R60" s="820"/>
      <c r="S60" s="820"/>
      <c r="T60" s="26"/>
      <c r="U60" s="149"/>
      <c r="V60" s="61" t="s">
        <v>92</v>
      </c>
      <c r="W60" s="820" t="str">
        <f>'GEN.AD - PAY'!$W$174</f>
        <v>01-2026-01-0019</v>
      </c>
      <c r="X60" s="820"/>
      <c r="Y60" s="822"/>
      <c r="Z60" s="843"/>
    </row>
    <row r="61" spans="1:26" ht="24.95" customHeight="1" x14ac:dyDescent="0.25">
      <c r="A61" s="98"/>
      <c r="B61" s="17"/>
      <c r="E61" s="881" t="s">
        <v>101</v>
      </c>
      <c r="F61" s="881"/>
      <c r="G61" s="881"/>
      <c r="H61" s="881"/>
      <c r="I61" s="881"/>
      <c r="J61" s="9"/>
      <c r="K61" s="889" t="s">
        <v>29</v>
      </c>
      <c r="L61" s="889"/>
      <c r="M61" s="27"/>
      <c r="N61" s="165"/>
      <c r="O61" s="161"/>
      <c r="P61" s="827" t="s">
        <v>98</v>
      </c>
      <c r="Q61" s="827"/>
      <c r="R61" s="827"/>
      <c r="S61" s="827"/>
      <c r="T61" s="26"/>
      <c r="U61" s="150"/>
      <c r="V61" s="61" t="s">
        <v>91</v>
      </c>
      <c r="W61" s="918">
        <f>'GEN.AD - PAY'!$W$175</f>
        <v>46038</v>
      </c>
      <c r="X61" s="918"/>
      <c r="Y61" s="919"/>
      <c r="Z61" s="28"/>
    </row>
    <row r="62" spans="1:26" ht="16.5" thickBot="1" x14ac:dyDescent="0.3">
      <c r="A62" s="98"/>
      <c r="B62" s="20"/>
      <c r="C62" s="29"/>
      <c r="D62" s="29"/>
      <c r="E62" s="880"/>
      <c r="F62" s="880"/>
      <c r="G62" s="880"/>
      <c r="H62" s="880"/>
      <c r="I62" s="29"/>
      <c r="J62" s="30"/>
      <c r="K62" s="30"/>
      <c r="L62" s="30"/>
      <c r="M62" s="30"/>
      <c r="N62" s="168"/>
      <c r="O62" s="162"/>
      <c r="P62" s="30"/>
      <c r="Q62" s="30"/>
      <c r="R62" s="30"/>
      <c r="S62" s="30"/>
      <c r="T62" s="23"/>
      <c r="U62" s="151"/>
      <c r="V62" s="10"/>
      <c r="W62" s="10"/>
      <c r="X62" s="10"/>
      <c r="Y62" s="23"/>
    </row>
    <row r="64" spans="1:26" x14ac:dyDescent="0.25">
      <c r="C64" s="32"/>
    </row>
    <row r="65" spans="3:3" x14ac:dyDescent="0.25">
      <c r="C65" s="32"/>
    </row>
    <row r="66" spans="3:3" x14ac:dyDescent="0.25">
      <c r="C66" s="32"/>
    </row>
    <row r="67" spans="3:3" x14ac:dyDescent="0.25">
      <c r="C67" s="32"/>
    </row>
    <row r="68" spans="3:3" x14ac:dyDescent="0.25">
      <c r="C68" s="32"/>
    </row>
  </sheetData>
  <mergeCells count="68">
    <mergeCell ref="B8:Y8"/>
    <mergeCell ref="X2:Y2"/>
    <mergeCell ref="B3:Y3"/>
    <mergeCell ref="B4:Y4"/>
    <mergeCell ref="B5:Y5"/>
    <mergeCell ref="B6:Y6"/>
    <mergeCell ref="B15:Y15"/>
    <mergeCell ref="B11:Y11"/>
    <mergeCell ref="B17:B19"/>
    <mergeCell ref="C17:C19"/>
    <mergeCell ref="D17:D19"/>
    <mergeCell ref="E17:E19"/>
    <mergeCell ref="L18:L19"/>
    <mergeCell ref="Y18:Y19"/>
    <mergeCell ref="R17:R19"/>
    <mergeCell ref="S17:S19"/>
    <mergeCell ref="F18:F19"/>
    <mergeCell ref="G18:G19"/>
    <mergeCell ref="H18:H19"/>
    <mergeCell ref="I18:I19"/>
    <mergeCell ref="O18:O19"/>
    <mergeCell ref="P18:P19"/>
    <mergeCell ref="B9:Y9"/>
    <mergeCell ref="B10:Y10"/>
    <mergeCell ref="D12:D14"/>
    <mergeCell ref="B13:C13"/>
    <mergeCell ref="W13:Y13"/>
    <mergeCell ref="Q18:Q19"/>
    <mergeCell ref="V18:V19"/>
    <mergeCell ref="W18:W19"/>
    <mergeCell ref="X18:X19"/>
    <mergeCell ref="K18:K19"/>
    <mergeCell ref="M18:M19"/>
    <mergeCell ref="N18:N19"/>
    <mergeCell ref="T17:T19"/>
    <mergeCell ref="U17:U19"/>
    <mergeCell ref="V17:Y17"/>
    <mergeCell ref="Z56:Z60"/>
    <mergeCell ref="C57:C58"/>
    <mergeCell ref="D57:K58"/>
    <mergeCell ref="L57:N58"/>
    <mergeCell ref="P57:T58"/>
    <mergeCell ref="W58:Y58"/>
    <mergeCell ref="C54:D54"/>
    <mergeCell ref="H54:K54"/>
    <mergeCell ref="Q54:S54"/>
    <mergeCell ref="V54:X54"/>
    <mergeCell ref="W61:Y61"/>
    <mergeCell ref="C55:D55"/>
    <mergeCell ref="H55:K55"/>
    <mergeCell ref="Q55:S55"/>
    <mergeCell ref="V55:X55"/>
    <mergeCell ref="E62:H62"/>
    <mergeCell ref="J18:J19"/>
    <mergeCell ref="F17:K17"/>
    <mergeCell ref="L17:Q17"/>
    <mergeCell ref="E60:I60"/>
    <mergeCell ref="E61:I61"/>
    <mergeCell ref="O51:V51"/>
    <mergeCell ref="C50:G50"/>
    <mergeCell ref="S50:Y50"/>
    <mergeCell ref="W51:Y51"/>
    <mergeCell ref="W59:Y59"/>
    <mergeCell ref="K60:L60"/>
    <mergeCell ref="P60:S60"/>
    <mergeCell ref="W60:Y60"/>
    <mergeCell ref="K61:L61"/>
    <mergeCell ref="P61:S61"/>
  </mergeCells>
  <conditionalFormatting sqref="S21:T47">
    <cfRule type="cellIs" dxfId="13" priority="3" stopIfTrue="1" operator="equal">
      <formula>2500</formula>
    </cfRule>
    <cfRule type="cellIs" dxfId="12" priority="4" stopIfTrue="1" operator="equal">
      <formula>2500</formula>
    </cfRule>
  </conditionalFormatting>
  <conditionalFormatting sqref="S17:T47">
    <cfRule type="cellIs" dxfId="11" priority="2" stopIfTrue="1" operator="equal">
      <formula>2500</formula>
    </cfRule>
  </conditionalFormatting>
  <printOptions horizontalCentered="1"/>
  <pageMargins left="0.39370078740157483" right="0.39370078740157483" top="0.39370078740157483" bottom="0.19685039370078741" header="0" footer="0"/>
  <pageSetup paperSize="14" scale="51" fitToHeight="0" orientation="landscape" r:id="rId1"/>
  <headerFooter alignWithMargins="0">
    <oddHeader>&amp;R
&amp;16Sheet &amp;"Times New Roman,Bold"&amp;U&amp;P&amp;"Times New Roman,Regular"&amp;U of &amp;"Times New Roman,Bold"&amp;U&amp;N&amp;"Times New Roman,Regular"&amp;U Sheet/s</oddHead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rgb="FF00B0F0"/>
    <pageSetUpPr fitToPage="1"/>
  </sheetPr>
  <dimension ref="A1:AG54"/>
  <sheetViews>
    <sheetView showWhiteSpace="0" topLeftCell="B14" zoomScaleNormal="100" zoomScaleSheetLayoutView="100" workbookViewId="0">
      <pane xSplit="5" ySplit="5" topLeftCell="U19" activePane="bottomRight" state="frozen"/>
      <selection activeCell="W72" sqref="W72:Y75"/>
      <selection pane="topRight" activeCell="W72" sqref="W72:Y75"/>
      <selection pane="bottomLeft" activeCell="W72" sqref="W72:Y75"/>
      <selection pane="bottomRight" activeCell="W72" sqref="W72:Y75"/>
    </sheetView>
  </sheetViews>
  <sheetFormatPr defaultRowHeight="30.75" x14ac:dyDescent="0.25"/>
  <cols>
    <col min="1" max="1" width="9.375" style="31" customWidth="1"/>
    <col min="2" max="2" width="6.75" style="4" customWidth="1"/>
    <col min="3" max="3" width="24.625" style="4" customWidth="1"/>
    <col min="4" max="4" width="12.875" style="4" customWidth="1"/>
    <col min="5" max="5" width="9.625" style="57" customWidth="1"/>
    <col min="6" max="6" width="10.875" style="4" customWidth="1"/>
    <col min="7" max="7" width="12" style="4" customWidth="1"/>
    <col min="8" max="12" width="10.625" style="4" customWidth="1"/>
    <col min="13" max="13" width="12.25" style="4" customWidth="1"/>
    <col min="14" max="17" width="10.625" style="4" customWidth="1"/>
    <col min="18" max="18" width="11.75" style="4" customWidth="1"/>
    <col min="19" max="19" width="11.25" style="4" customWidth="1"/>
    <col min="20" max="20" width="10.625" style="4" customWidth="1"/>
    <col min="21" max="21" width="10.75" style="4" customWidth="1"/>
    <col min="22" max="23" width="9.875" style="4" customWidth="1"/>
    <col min="24" max="24" width="11.125" style="4" customWidth="1"/>
    <col min="25" max="25" width="10.875" style="4" customWidth="1"/>
    <col min="26" max="26" width="12.375" style="4" customWidth="1"/>
    <col min="27" max="27" width="10.625" style="4" customWidth="1"/>
    <col min="28" max="28" width="11.25" style="4" customWidth="1"/>
    <col min="29" max="30" width="9.875" style="4" customWidth="1"/>
    <col min="31" max="31" width="11.5" style="4" customWidth="1"/>
    <col min="32" max="32" width="13.875" style="4" customWidth="1"/>
    <col min="33" max="33" width="10.375" style="4" bestFit="1" customWidth="1"/>
    <col min="34" max="16384" width="9" style="4"/>
  </cols>
  <sheetData>
    <row r="1" spans="1:33" ht="23.25" customHeight="1" x14ac:dyDescent="0.25">
      <c r="A1" s="98">
        <v>94</v>
      </c>
      <c r="F1" s="5"/>
      <c r="X1" s="5"/>
      <c r="Y1" s="5"/>
      <c r="AE1" s="5"/>
      <c r="AF1" s="3"/>
    </row>
    <row r="2" spans="1:33" ht="23.25" x14ac:dyDescent="0.25">
      <c r="A2" s="98"/>
      <c r="F2" s="5"/>
      <c r="X2" s="5"/>
      <c r="Y2" s="5"/>
      <c r="AE2" s="864" t="s">
        <v>40</v>
      </c>
      <c r="AF2" s="864"/>
    </row>
    <row r="3" spans="1:33" ht="15.75" customHeight="1" x14ac:dyDescent="0.25">
      <c r="A3" s="98"/>
      <c r="B3" s="877" t="s">
        <v>42</v>
      </c>
      <c r="C3" s="877"/>
      <c r="D3" s="877"/>
      <c r="E3" s="877"/>
      <c r="F3" s="877"/>
      <c r="G3" s="877"/>
      <c r="H3" s="877"/>
      <c r="I3" s="877"/>
      <c r="J3" s="877"/>
      <c r="K3" s="877"/>
      <c r="L3" s="877"/>
      <c r="M3" s="877"/>
      <c r="N3" s="877"/>
      <c r="O3" s="877"/>
      <c r="P3" s="877"/>
      <c r="Q3" s="877"/>
      <c r="R3" s="877"/>
      <c r="S3" s="877"/>
      <c r="T3" s="877"/>
      <c r="U3" s="877"/>
      <c r="V3" s="877"/>
      <c r="W3" s="877"/>
      <c r="X3" s="877"/>
      <c r="Y3" s="877"/>
      <c r="Z3" s="877"/>
      <c r="AA3" s="877"/>
      <c r="AB3" s="877"/>
      <c r="AC3" s="877"/>
      <c r="AD3" s="877"/>
      <c r="AE3" s="877"/>
      <c r="AF3" s="877"/>
    </row>
    <row r="4" spans="1:33" ht="15.75" customHeight="1" x14ac:dyDescent="0.25">
      <c r="A4" s="98"/>
      <c r="B4" s="878" t="s">
        <v>43</v>
      </c>
      <c r="C4" s="878"/>
      <c r="D4" s="878"/>
      <c r="E4" s="878"/>
      <c r="F4" s="878"/>
      <c r="G4" s="878"/>
      <c r="H4" s="878"/>
      <c r="I4" s="878"/>
      <c r="J4" s="878"/>
      <c r="K4" s="878"/>
      <c r="L4" s="878"/>
      <c r="M4" s="878"/>
      <c r="N4" s="878"/>
      <c r="O4" s="878"/>
      <c r="P4" s="878"/>
      <c r="Q4" s="878"/>
      <c r="R4" s="878"/>
      <c r="S4" s="878"/>
      <c r="T4" s="878"/>
      <c r="U4" s="878"/>
      <c r="V4" s="878"/>
      <c r="W4" s="878"/>
      <c r="X4" s="878"/>
      <c r="Y4" s="878"/>
      <c r="Z4" s="878"/>
      <c r="AA4" s="878"/>
      <c r="AB4" s="878"/>
      <c r="AC4" s="878"/>
      <c r="AD4" s="878"/>
      <c r="AE4" s="878"/>
      <c r="AF4" s="878"/>
    </row>
    <row r="5" spans="1:33" ht="15.75" customHeight="1" x14ac:dyDescent="0.25">
      <c r="A5" s="98"/>
      <c r="B5" s="878" t="s">
        <v>44</v>
      </c>
      <c r="C5" s="878"/>
      <c r="D5" s="878"/>
      <c r="E5" s="878"/>
      <c r="F5" s="878"/>
      <c r="G5" s="878"/>
      <c r="H5" s="878"/>
      <c r="I5" s="878"/>
      <c r="J5" s="878"/>
      <c r="K5" s="878"/>
      <c r="L5" s="878"/>
      <c r="M5" s="878"/>
      <c r="N5" s="878"/>
      <c r="O5" s="878"/>
      <c r="P5" s="878"/>
      <c r="Q5" s="878"/>
      <c r="R5" s="878"/>
      <c r="S5" s="878"/>
      <c r="T5" s="878"/>
      <c r="U5" s="878"/>
      <c r="V5" s="878"/>
      <c r="W5" s="878"/>
      <c r="X5" s="878"/>
      <c r="Y5" s="878"/>
      <c r="Z5" s="878"/>
      <c r="AA5" s="878"/>
      <c r="AB5" s="878"/>
      <c r="AC5" s="878"/>
      <c r="AD5" s="878"/>
      <c r="AE5" s="878"/>
      <c r="AF5" s="878"/>
    </row>
    <row r="6" spans="1:33" ht="15.75" customHeight="1" x14ac:dyDescent="0.25">
      <c r="A6" s="98"/>
      <c r="B6" s="877" t="s">
        <v>45</v>
      </c>
      <c r="C6" s="877"/>
      <c r="D6" s="877"/>
      <c r="E6" s="877"/>
      <c r="F6" s="877"/>
      <c r="G6" s="877"/>
      <c r="H6" s="877"/>
      <c r="I6" s="877"/>
      <c r="J6" s="877"/>
      <c r="K6" s="877"/>
      <c r="L6" s="877"/>
      <c r="M6" s="877"/>
      <c r="N6" s="877"/>
      <c r="O6" s="877"/>
      <c r="P6" s="877"/>
      <c r="Q6" s="877"/>
      <c r="R6" s="877"/>
      <c r="S6" s="877"/>
      <c r="T6" s="877"/>
      <c r="U6" s="877"/>
      <c r="V6" s="877"/>
      <c r="W6" s="877"/>
      <c r="X6" s="877"/>
      <c r="Y6" s="877"/>
      <c r="Z6" s="877"/>
      <c r="AA6" s="877"/>
      <c r="AB6" s="877"/>
      <c r="AC6" s="877"/>
      <c r="AD6" s="877"/>
      <c r="AE6" s="877"/>
      <c r="AF6" s="877"/>
    </row>
    <row r="7" spans="1:33" ht="15.75" customHeight="1" x14ac:dyDescent="0.25">
      <c r="A7" s="98"/>
      <c r="F7" s="2"/>
      <c r="X7" s="2"/>
      <c r="Y7" s="2"/>
      <c r="AE7" s="2"/>
      <c r="AF7" s="2"/>
    </row>
    <row r="8" spans="1:33" ht="22.5" x14ac:dyDescent="0.25">
      <c r="A8" s="98"/>
      <c r="B8" s="882" t="s">
        <v>64</v>
      </c>
      <c r="C8" s="882"/>
      <c r="D8" s="882"/>
      <c r="E8" s="882"/>
      <c r="F8" s="882"/>
      <c r="G8" s="882"/>
      <c r="H8" s="882"/>
      <c r="I8" s="882"/>
      <c r="J8" s="882"/>
      <c r="K8" s="882"/>
      <c r="L8" s="882"/>
      <c r="M8" s="882"/>
      <c r="N8" s="882"/>
      <c r="O8" s="882"/>
      <c r="P8" s="882"/>
      <c r="Q8" s="882"/>
      <c r="R8" s="882"/>
      <c r="S8" s="882"/>
      <c r="T8" s="882"/>
      <c r="U8" s="882"/>
      <c r="V8" s="882"/>
      <c r="W8" s="882"/>
      <c r="X8" s="882"/>
      <c r="Y8" s="882"/>
      <c r="Z8" s="882"/>
      <c r="AA8" s="882"/>
      <c r="AB8" s="882"/>
      <c r="AC8" s="882"/>
      <c r="AD8" s="882"/>
      <c r="AE8" s="882"/>
      <c r="AF8" s="882"/>
    </row>
    <row r="9" spans="1:33" ht="20.25" x14ac:dyDescent="0.25">
      <c r="A9" s="98"/>
      <c r="B9" s="867" t="str">
        <f>'CEN - PAY'!B9</f>
        <v>Regular Employees - COLLEGE OF ENGINEERING</v>
      </c>
      <c r="C9" s="867"/>
      <c r="D9" s="867"/>
      <c r="E9" s="867"/>
      <c r="F9" s="867"/>
      <c r="G9" s="867"/>
      <c r="H9" s="867"/>
      <c r="I9" s="867"/>
      <c r="J9" s="867"/>
      <c r="K9" s="867"/>
      <c r="L9" s="867"/>
      <c r="M9" s="867"/>
      <c r="N9" s="867"/>
      <c r="O9" s="867"/>
      <c r="P9" s="867"/>
      <c r="Q9" s="867"/>
      <c r="R9" s="867"/>
      <c r="S9" s="867"/>
      <c r="T9" s="867"/>
      <c r="U9" s="867"/>
      <c r="V9" s="867"/>
      <c r="W9" s="867"/>
      <c r="X9" s="867"/>
      <c r="Y9" s="867"/>
      <c r="Z9" s="867"/>
      <c r="AA9" s="867"/>
      <c r="AB9" s="867"/>
      <c r="AC9" s="867"/>
      <c r="AD9" s="867"/>
      <c r="AE9" s="867"/>
      <c r="AF9" s="867"/>
    </row>
    <row r="10" spans="1:33" ht="20.25" x14ac:dyDescent="0.25">
      <c r="A10" s="98"/>
      <c r="B10" s="879" t="str">
        <f>'CEN - PAY'!B10</f>
        <v>For the period JANUARY 1-31, 2026</v>
      </c>
      <c r="C10" s="879"/>
      <c r="D10" s="879"/>
      <c r="E10" s="879"/>
      <c r="F10" s="879"/>
      <c r="G10" s="879"/>
      <c r="H10" s="879"/>
      <c r="I10" s="879"/>
      <c r="J10" s="879"/>
      <c r="K10" s="879"/>
      <c r="L10" s="879"/>
      <c r="M10" s="879"/>
      <c r="N10" s="879"/>
      <c r="O10" s="879"/>
      <c r="P10" s="879"/>
      <c r="Q10" s="879"/>
      <c r="R10" s="879"/>
      <c r="S10" s="879"/>
      <c r="T10" s="879"/>
      <c r="U10" s="879"/>
      <c r="V10" s="879"/>
      <c r="W10" s="879"/>
      <c r="X10" s="879"/>
      <c r="Y10" s="879"/>
      <c r="Z10" s="879"/>
      <c r="AA10" s="879"/>
      <c r="AB10" s="879"/>
      <c r="AC10" s="879"/>
      <c r="AD10" s="879"/>
      <c r="AE10" s="879"/>
      <c r="AF10" s="879"/>
    </row>
    <row r="11" spans="1:33" ht="15.75" x14ac:dyDescent="0.25">
      <c r="A11" s="98"/>
      <c r="B11" s="9"/>
      <c r="C11" s="6"/>
      <c r="D11" s="866" t="str">
        <f>+'CEN - PAY'!D12</f>
        <v>01</v>
      </c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</row>
    <row r="12" spans="1:33" s="8" customFormat="1" ht="24.95" customHeight="1" x14ac:dyDescent="0.25">
      <c r="A12" s="98"/>
      <c r="B12" s="865" t="s">
        <v>88</v>
      </c>
      <c r="C12" s="865"/>
      <c r="D12" s="867"/>
      <c r="E12" s="178"/>
      <c r="F12" s="169"/>
      <c r="G12" s="169"/>
      <c r="H12" s="169"/>
      <c r="I12" s="169"/>
      <c r="J12" s="169"/>
      <c r="K12" s="169"/>
      <c r="L12" s="169"/>
      <c r="M12" s="169"/>
      <c r="N12" s="169"/>
      <c r="O12" s="169"/>
      <c r="P12" s="169"/>
      <c r="Q12" s="169"/>
      <c r="R12" s="9"/>
      <c r="S12" s="9"/>
      <c r="T12" s="9"/>
      <c r="U12" s="9"/>
      <c r="AA12" s="7"/>
      <c r="AB12" s="169" t="s">
        <v>103</v>
      </c>
      <c r="AC12" s="169"/>
      <c r="AD12" s="832" t="str">
        <f>'CEN - PAY'!W13</f>
        <v>2026-01-016</v>
      </c>
      <c r="AE12" s="832"/>
      <c r="AF12" s="832"/>
    </row>
    <row r="13" spans="1:33" s="8" customFormat="1" ht="24.95" customHeight="1" x14ac:dyDescent="0.25">
      <c r="A13" s="98"/>
      <c r="B13" s="9"/>
      <c r="C13" s="9"/>
      <c r="D13" s="867"/>
      <c r="E13" s="6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AB13" s="169"/>
      <c r="AC13" s="169"/>
      <c r="AD13" s="9"/>
      <c r="AE13" s="9"/>
      <c r="AF13" s="9"/>
    </row>
    <row r="14" spans="1:33" s="8" customFormat="1" ht="15.75" customHeight="1" x14ac:dyDescent="0.25">
      <c r="A14" s="98"/>
      <c r="B14" s="872"/>
      <c r="C14" s="872"/>
      <c r="D14" s="872"/>
      <c r="E14" s="872"/>
      <c r="F14" s="872"/>
      <c r="G14" s="872"/>
      <c r="H14" s="872"/>
      <c r="I14" s="872"/>
      <c r="J14" s="872"/>
      <c r="K14" s="872"/>
      <c r="L14" s="872"/>
      <c r="M14" s="872"/>
      <c r="N14" s="872"/>
      <c r="O14" s="872"/>
      <c r="P14" s="872"/>
      <c r="Q14" s="872"/>
      <c r="R14" s="872"/>
      <c r="S14" s="872"/>
      <c r="T14" s="872"/>
      <c r="U14" s="872"/>
      <c r="V14" s="872"/>
      <c r="W14" s="872"/>
      <c r="X14" s="872"/>
      <c r="Y14" s="872"/>
      <c r="Z14" s="872"/>
    </row>
    <row r="15" spans="1:33" ht="9" customHeight="1" thickBot="1" x14ac:dyDescent="0.3">
      <c r="A15" s="98"/>
      <c r="B15" s="9"/>
      <c r="C15" s="10"/>
      <c r="D15" s="10"/>
      <c r="E15" s="54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9"/>
      <c r="T15" s="9"/>
      <c r="U15" s="9"/>
      <c r="V15" s="9"/>
      <c r="W15" s="9"/>
      <c r="X15" s="10"/>
      <c r="Y15" s="10"/>
      <c r="Z15" s="9"/>
      <c r="AA15" s="9"/>
      <c r="AB15" s="9"/>
      <c r="AC15" s="9"/>
      <c r="AD15" s="9"/>
      <c r="AE15" s="10"/>
      <c r="AF15" s="10"/>
    </row>
    <row r="16" spans="1:33" ht="16.5" customHeight="1" thickBot="1" x14ac:dyDescent="0.3">
      <c r="A16" s="98"/>
      <c r="B16" s="802" t="s">
        <v>6</v>
      </c>
      <c r="C16" s="777" t="s">
        <v>1</v>
      </c>
      <c r="D16" s="777" t="s">
        <v>2</v>
      </c>
      <c r="E16" s="802" t="s">
        <v>14</v>
      </c>
      <c r="F16" s="904" t="s">
        <v>54</v>
      </c>
      <c r="G16" s="841" t="s">
        <v>66</v>
      </c>
      <c r="H16" s="833"/>
      <c r="I16" s="833"/>
      <c r="J16" s="833"/>
      <c r="K16" s="833"/>
      <c r="L16" s="833"/>
      <c r="M16" s="833"/>
      <c r="N16" s="833"/>
      <c r="O16" s="833"/>
      <c r="P16" s="833"/>
      <c r="Q16" s="833"/>
      <c r="R16" s="834"/>
      <c r="S16" s="841" t="s">
        <v>63</v>
      </c>
      <c r="T16" s="833"/>
      <c r="U16" s="833"/>
      <c r="V16" s="833"/>
      <c r="W16" s="833"/>
      <c r="X16" s="834"/>
      <c r="Y16" s="904" t="s">
        <v>57</v>
      </c>
      <c r="Z16" s="841" t="s">
        <v>80</v>
      </c>
      <c r="AA16" s="833"/>
      <c r="AB16" s="833"/>
      <c r="AC16" s="833"/>
      <c r="AD16" s="833"/>
      <c r="AE16" s="834"/>
      <c r="AF16" s="802" t="s">
        <v>87</v>
      </c>
      <c r="AG16" s="11"/>
    </row>
    <row r="17" spans="1:33" ht="19.5" customHeight="1" x14ac:dyDescent="0.25">
      <c r="A17" s="98"/>
      <c r="B17" s="803"/>
      <c r="C17" s="778"/>
      <c r="D17" s="778"/>
      <c r="E17" s="803"/>
      <c r="F17" s="905"/>
      <c r="G17" s="911" t="s">
        <v>65</v>
      </c>
      <c r="H17" s="894" t="s">
        <v>110</v>
      </c>
      <c r="I17" s="887" t="s">
        <v>67</v>
      </c>
      <c r="J17" s="892" t="s">
        <v>68</v>
      </c>
      <c r="K17" s="896" t="s">
        <v>69</v>
      </c>
      <c r="L17" s="896" t="s">
        <v>70</v>
      </c>
      <c r="M17" s="896" t="s">
        <v>71</v>
      </c>
      <c r="N17" s="896" t="s">
        <v>72</v>
      </c>
      <c r="O17" s="894" t="s">
        <v>73</v>
      </c>
      <c r="P17" s="894" t="s">
        <v>111</v>
      </c>
      <c r="Q17" s="894" t="s">
        <v>78</v>
      </c>
      <c r="R17" s="909" t="s">
        <v>74</v>
      </c>
      <c r="S17" s="844" t="s">
        <v>75</v>
      </c>
      <c r="T17" s="913" t="s">
        <v>76</v>
      </c>
      <c r="U17" s="896" t="s">
        <v>71</v>
      </c>
      <c r="V17" s="896" t="s">
        <v>77</v>
      </c>
      <c r="W17" s="907" t="s">
        <v>78</v>
      </c>
      <c r="X17" s="902" t="s">
        <v>79</v>
      </c>
      <c r="Y17" s="905"/>
      <c r="Z17" s="898" t="s">
        <v>81</v>
      </c>
      <c r="AA17" s="900" t="s">
        <v>82</v>
      </c>
      <c r="AB17" s="896" t="s">
        <v>83</v>
      </c>
      <c r="AC17" s="892" t="s">
        <v>84</v>
      </c>
      <c r="AD17" s="907" t="s">
        <v>86</v>
      </c>
      <c r="AE17" s="915" t="s">
        <v>85</v>
      </c>
      <c r="AF17" s="803"/>
      <c r="AG17" s="11"/>
    </row>
    <row r="18" spans="1:33" ht="26.25" customHeight="1" thickBot="1" x14ac:dyDescent="0.3">
      <c r="A18" s="98"/>
      <c r="B18" s="803"/>
      <c r="C18" s="778"/>
      <c r="D18" s="778"/>
      <c r="E18" s="803"/>
      <c r="F18" s="906"/>
      <c r="G18" s="912"/>
      <c r="H18" s="895"/>
      <c r="I18" s="888"/>
      <c r="J18" s="893"/>
      <c r="K18" s="897"/>
      <c r="L18" s="897"/>
      <c r="M18" s="897"/>
      <c r="N18" s="897"/>
      <c r="O18" s="895"/>
      <c r="P18" s="895"/>
      <c r="Q18" s="895"/>
      <c r="R18" s="910"/>
      <c r="S18" s="845"/>
      <c r="T18" s="914"/>
      <c r="U18" s="897"/>
      <c r="V18" s="897"/>
      <c r="W18" s="908"/>
      <c r="X18" s="903"/>
      <c r="Y18" s="906"/>
      <c r="Z18" s="899"/>
      <c r="AA18" s="901"/>
      <c r="AB18" s="897"/>
      <c r="AC18" s="893"/>
      <c r="AD18" s="908"/>
      <c r="AE18" s="916"/>
      <c r="AF18" s="804"/>
      <c r="AG18" s="11"/>
    </row>
    <row r="19" spans="1:33" ht="18.75" customHeight="1" x14ac:dyDescent="0.25">
      <c r="A19" s="98"/>
      <c r="B19" s="12"/>
      <c r="C19" s="12"/>
      <c r="D19" s="12"/>
      <c r="E19" s="55"/>
      <c r="F19" s="12"/>
      <c r="G19" s="46"/>
      <c r="H19" s="173"/>
      <c r="I19" s="173"/>
      <c r="J19" s="173"/>
      <c r="K19" s="173"/>
      <c r="L19" s="173"/>
      <c r="M19" s="173"/>
      <c r="N19" s="173"/>
      <c r="O19" s="173"/>
      <c r="P19" s="173"/>
      <c r="Q19" s="173"/>
      <c r="R19" s="43"/>
      <c r="S19" s="174"/>
      <c r="T19" s="175"/>
      <c r="U19" s="173"/>
      <c r="V19" s="173"/>
      <c r="W19" s="173"/>
      <c r="X19" s="176"/>
      <c r="Y19" s="12"/>
      <c r="Z19" s="174"/>
      <c r="AA19" s="175"/>
      <c r="AB19" s="173"/>
      <c r="AC19" s="173"/>
      <c r="AD19" s="173"/>
      <c r="AE19" s="177"/>
      <c r="AF19" s="43"/>
    </row>
    <row r="20" spans="1:33" ht="18.75" customHeight="1" x14ac:dyDescent="0.25">
      <c r="A20" s="98"/>
      <c r="B20" s="33">
        <v>1</v>
      </c>
      <c r="C20" s="72">
        <f>'CEN - PAY'!C21</f>
        <v>0</v>
      </c>
      <c r="D20" s="72" t="e">
        <f>'CEN - PAY'!D21</f>
        <v>#N/A</v>
      </c>
      <c r="E20" s="306">
        <f>'CEN - PAY'!E21</f>
        <v>0</v>
      </c>
      <c r="F20" s="49">
        <f>'CEN - PAY'!L21</f>
        <v>0</v>
      </c>
      <c r="G20" s="36">
        <f>ROUND('CEN - PAY'!I21*0.09,2)</f>
        <v>0</v>
      </c>
      <c r="H20" s="88"/>
      <c r="I20" s="88"/>
      <c r="J20" s="88"/>
      <c r="K20" s="88"/>
      <c r="L20" s="88"/>
      <c r="M20" s="88"/>
      <c r="N20" s="88"/>
      <c r="O20" s="88"/>
      <c r="P20" s="88"/>
      <c r="Q20" s="88"/>
      <c r="R20" s="41">
        <f>SUM(G20:Q20)</f>
        <v>0</v>
      </c>
      <c r="S20" s="86"/>
      <c r="T20" s="87"/>
      <c r="U20" s="88"/>
      <c r="V20" s="88"/>
      <c r="W20" s="88"/>
      <c r="X20" s="38">
        <f>SUM(S20:W20)</f>
        <v>0</v>
      </c>
      <c r="Y20" s="49">
        <f>MIN(ROUNDDOWN('CEN - PAY'!I21*0.05/2,2),2500)</f>
        <v>0</v>
      </c>
      <c r="Z20" s="86"/>
      <c r="AA20" s="87"/>
      <c r="AB20" s="88"/>
      <c r="AC20" s="88"/>
      <c r="AD20" s="88"/>
      <c r="AE20" s="35">
        <f>SUM(Z20:AD20)</f>
        <v>0</v>
      </c>
      <c r="AF20" s="62">
        <f>SUM(F20,R20,X20,Y20,AE20)</f>
        <v>0</v>
      </c>
    </row>
    <row r="21" spans="1:33" ht="18.75" customHeight="1" x14ac:dyDescent="0.25">
      <c r="A21" s="98"/>
      <c r="B21" s="33">
        <f>+B20+1</f>
        <v>2</v>
      </c>
      <c r="C21" s="72">
        <f>'CEN - PAY'!C22</f>
        <v>0</v>
      </c>
      <c r="D21" s="72" t="e">
        <f>'CEN - PAY'!D22</f>
        <v>#N/A</v>
      </c>
      <c r="E21" s="306">
        <f>'CEN - PAY'!E22</f>
        <v>0</v>
      </c>
      <c r="F21" s="49">
        <f>'CEN - PAY'!L22</f>
        <v>0</v>
      </c>
      <c r="G21" s="36">
        <f>ROUND('CEN - PAY'!I22*0.09,2)</f>
        <v>0</v>
      </c>
      <c r="H21" s="88"/>
      <c r="I21" s="88"/>
      <c r="J21" s="88"/>
      <c r="K21" s="88"/>
      <c r="L21" s="88"/>
      <c r="M21" s="88"/>
      <c r="N21" s="88"/>
      <c r="O21" s="88"/>
      <c r="P21" s="88"/>
      <c r="Q21" s="88"/>
      <c r="R21" s="41">
        <f t="shared" ref="R21:R46" si="0">SUM(G21:Q21)</f>
        <v>0</v>
      </c>
      <c r="S21" s="86"/>
      <c r="T21" s="87"/>
      <c r="U21" s="88"/>
      <c r="V21" s="88"/>
      <c r="W21" s="88"/>
      <c r="X21" s="38">
        <f t="shared" ref="X21:X46" si="1">SUM(S21:W21)</f>
        <v>0</v>
      </c>
      <c r="Y21" s="49">
        <f>MIN(ROUNDDOWN('CEN - PAY'!I22*0.05/2,2),2500)</f>
        <v>0</v>
      </c>
      <c r="Z21" s="86"/>
      <c r="AA21" s="87"/>
      <c r="AB21" s="88"/>
      <c r="AC21" s="88"/>
      <c r="AD21" s="88"/>
      <c r="AE21" s="35">
        <f t="shared" ref="AE21:AE46" si="2">SUM(Z21:AD21)</f>
        <v>0</v>
      </c>
      <c r="AF21" s="62">
        <f t="shared" ref="AF21:AF46" si="3">SUM(F21,R21,X21,Y21,AE21)</f>
        <v>0</v>
      </c>
    </row>
    <row r="22" spans="1:33" ht="18.75" customHeight="1" x14ac:dyDescent="0.25">
      <c r="A22" s="98"/>
      <c r="B22" s="33">
        <f t="shared" ref="B22:B35" si="4">+B21+1</f>
        <v>3</v>
      </c>
      <c r="C22" s="72">
        <f>'CEN - PAY'!C23</f>
        <v>0</v>
      </c>
      <c r="D22" s="72" t="e">
        <f>'CEN - PAY'!D23</f>
        <v>#N/A</v>
      </c>
      <c r="E22" s="306">
        <f>'CEN - PAY'!E23</f>
        <v>0</v>
      </c>
      <c r="F22" s="49">
        <f>'CEN - PAY'!L23</f>
        <v>0</v>
      </c>
      <c r="G22" s="36">
        <f>ROUND('CEN - PAY'!I23*0.09,2)</f>
        <v>0</v>
      </c>
      <c r="H22" s="88"/>
      <c r="I22" s="88"/>
      <c r="J22" s="88"/>
      <c r="K22" s="88"/>
      <c r="L22" s="88"/>
      <c r="M22" s="88"/>
      <c r="N22" s="88"/>
      <c r="O22" s="88"/>
      <c r="P22" s="88"/>
      <c r="Q22" s="88"/>
      <c r="R22" s="41">
        <f t="shared" si="0"/>
        <v>0</v>
      </c>
      <c r="S22" s="86"/>
      <c r="T22" s="87"/>
      <c r="U22" s="88"/>
      <c r="V22" s="88"/>
      <c r="W22" s="88"/>
      <c r="X22" s="38">
        <f t="shared" si="1"/>
        <v>0</v>
      </c>
      <c r="Y22" s="49">
        <f>MIN(ROUNDDOWN('CEN - PAY'!I23*0.05/2,2),2500)</f>
        <v>0</v>
      </c>
      <c r="Z22" s="86"/>
      <c r="AA22" s="87"/>
      <c r="AB22" s="88"/>
      <c r="AC22" s="88"/>
      <c r="AD22" s="88"/>
      <c r="AE22" s="35">
        <f t="shared" si="2"/>
        <v>0</v>
      </c>
      <c r="AF22" s="62">
        <f t="shared" si="3"/>
        <v>0</v>
      </c>
    </row>
    <row r="23" spans="1:33" ht="18.75" customHeight="1" x14ac:dyDescent="0.25">
      <c r="A23" s="98"/>
      <c r="B23" s="33">
        <f t="shared" si="4"/>
        <v>4</v>
      </c>
      <c r="C23" s="72">
        <f>'CEN - PAY'!C24</f>
        <v>0</v>
      </c>
      <c r="D23" s="72" t="e">
        <f>'CEN - PAY'!D24</f>
        <v>#N/A</v>
      </c>
      <c r="E23" s="306">
        <f>'CEN - PAY'!E24</f>
        <v>0</v>
      </c>
      <c r="F23" s="49">
        <f>'CEN - PAY'!L24</f>
        <v>0</v>
      </c>
      <c r="G23" s="36">
        <f>ROUND('CEN - PAY'!I24*0.09,2)</f>
        <v>0</v>
      </c>
      <c r="H23" s="88"/>
      <c r="I23" s="88"/>
      <c r="J23" s="88"/>
      <c r="K23" s="88"/>
      <c r="L23" s="88"/>
      <c r="M23" s="88"/>
      <c r="N23" s="88"/>
      <c r="O23" s="88"/>
      <c r="P23" s="88"/>
      <c r="Q23" s="88"/>
      <c r="R23" s="41">
        <f t="shared" si="0"/>
        <v>0</v>
      </c>
      <c r="S23" s="86"/>
      <c r="T23" s="87"/>
      <c r="U23" s="88"/>
      <c r="V23" s="88"/>
      <c r="W23" s="88"/>
      <c r="X23" s="38">
        <f t="shared" si="1"/>
        <v>0</v>
      </c>
      <c r="Y23" s="49">
        <f>MIN(ROUNDDOWN('CEN - PAY'!I24*0.05/2,2),2500)</f>
        <v>0</v>
      </c>
      <c r="Z23" s="86"/>
      <c r="AA23" s="87"/>
      <c r="AB23" s="88"/>
      <c r="AC23" s="88"/>
      <c r="AD23" s="88"/>
      <c r="AE23" s="35">
        <f t="shared" si="2"/>
        <v>0</v>
      </c>
      <c r="AF23" s="62">
        <f t="shared" si="3"/>
        <v>0</v>
      </c>
    </row>
    <row r="24" spans="1:33" ht="18.75" customHeight="1" x14ac:dyDescent="0.25">
      <c r="A24" s="98"/>
      <c r="B24" s="33">
        <f t="shared" si="4"/>
        <v>5</v>
      </c>
      <c r="C24" s="72">
        <f>'CEN - PAY'!C25</f>
        <v>0</v>
      </c>
      <c r="D24" s="72" t="e">
        <f>'CEN - PAY'!D25</f>
        <v>#N/A</v>
      </c>
      <c r="E24" s="306">
        <f>'CEN - PAY'!E25</f>
        <v>0</v>
      </c>
      <c r="F24" s="49">
        <f>'CEN - PAY'!L25</f>
        <v>0</v>
      </c>
      <c r="G24" s="36">
        <f>ROUND('CEN - PAY'!I25*0.09,2)</f>
        <v>0</v>
      </c>
      <c r="H24" s="88"/>
      <c r="I24" s="88"/>
      <c r="J24" s="88"/>
      <c r="K24" s="88"/>
      <c r="L24" s="88"/>
      <c r="M24" s="88"/>
      <c r="N24" s="88"/>
      <c r="O24" s="88"/>
      <c r="P24" s="88"/>
      <c r="Q24" s="88"/>
      <c r="R24" s="41">
        <f t="shared" si="0"/>
        <v>0</v>
      </c>
      <c r="S24" s="86"/>
      <c r="T24" s="87"/>
      <c r="U24" s="88"/>
      <c r="V24" s="88"/>
      <c r="W24" s="88"/>
      <c r="X24" s="38">
        <f t="shared" si="1"/>
        <v>0</v>
      </c>
      <c r="Y24" s="49">
        <f>MIN(ROUNDDOWN('CEN - PAY'!I25*0.05/2,2),2500)</f>
        <v>0</v>
      </c>
      <c r="Z24" s="86"/>
      <c r="AA24" s="87"/>
      <c r="AB24" s="88"/>
      <c r="AC24" s="88"/>
      <c r="AD24" s="88"/>
      <c r="AE24" s="35">
        <f t="shared" si="2"/>
        <v>0</v>
      </c>
      <c r="AF24" s="62">
        <f t="shared" si="3"/>
        <v>0</v>
      </c>
      <c r="AG24" s="75"/>
    </row>
    <row r="25" spans="1:33" ht="18.75" customHeight="1" x14ac:dyDescent="0.25">
      <c r="A25" s="98"/>
      <c r="B25" s="33">
        <f t="shared" si="4"/>
        <v>6</v>
      </c>
      <c r="C25" s="72">
        <f>'CEN - PAY'!C26</f>
        <v>0</v>
      </c>
      <c r="D25" s="72" t="e">
        <f>'CEN - PAY'!D26</f>
        <v>#N/A</v>
      </c>
      <c r="E25" s="306">
        <f>'CEN - PAY'!E26</f>
        <v>0</v>
      </c>
      <c r="F25" s="49">
        <f>'CEN - PAY'!L26</f>
        <v>0</v>
      </c>
      <c r="G25" s="36">
        <f>ROUND('CEN - PAY'!I26*0.09,2)</f>
        <v>0</v>
      </c>
      <c r="H25" s="88"/>
      <c r="I25" s="88"/>
      <c r="J25" s="88"/>
      <c r="K25" s="88"/>
      <c r="L25" s="88"/>
      <c r="M25" s="88"/>
      <c r="N25" s="88"/>
      <c r="O25" s="88"/>
      <c r="P25" s="88"/>
      <c r="Q25" s="88"/>
      <c r="R25" s="41">
        <f t="shared" si="0"/>
        <v>0</v>
      </c>
      <c r="S25" s="86"/>
      <c r="T25" s="87"/>
      <c r="U25" s="88"/>
      <c r="V25" s="88"/>
      <c r="W25" s="88"/>
      <c r="X25" s="38">
        <f t="shared" si="1"/>
        <v>0</v>
      </c>
      <c r="Y25" s="49">
        <f>MIN(ROUNDDOWN('CEN - PAY'!I26*0.05/2,2),2500)</f>
        <v>0</v>
      </c>
      <c r="Z25" s="86"/>
      <c r="AA25" s="87"/>
      <c r="AB25" s="88"/>
      <c r="AC25" s="88"/>
      <c r="AD25" s="88"/>
      <c r="AE25" s="35">
        <f t="shared" si="2"/>
        <v>0</v>
      </c>
      <c r="AF25" s="62">
        <f t="shared" si="3"/>
        <v>0</v>
      </c>
    </row>
    <row r="26" spans="1:33" ht="18.75" customHeight="1" x14ac:dyDescent="0.25">
      <c r="A26" s="98"/>
      <c r="B26" s="33">
        <f t="shared" si="4"/>
        <v>7</v>
      </c>
      <c r="C26" s="72">
        <f>'CEN - PAY'!C27</f>
        <v>0</v>
      </c>
      <c r="D26" s="72" t="e">
        <f>'CEN - PAY'!D27</f>
        <v>#N/A</v>
      </c>
      <c r="E26" s="306">
        <f>'CEN - PAY'!E27</f>
        <v>0</v>
      </c>
      <c r="F26" s="49">
        <f>'CEN - PAY'!L27</f>
        <v>0</v>
      </c>
      <c r="G26" s="36">
        <f>ROUND('CEN - PAY'!I27*0.09,2)</f>
        <v>0</v>
      </c>
      <c r="H26" s="88"/>
      <c r="I26" s="88"/>
      <c r="J26" s="88"/>
      <c r="K26" s="88"/>
      <c r="L26" s="88"/>
      <c r="M26" s="88"/>
      <c r="N26" s="88"/>
      <c r="O26" s="88"/>
      <c r="P26" s="88"/>
      <c r="Q26" s="88"/>
      <c r="R26" s="41">
        <f t="shared" si="0"/>
        <v>0</v>
      </c>
      <c r="S26" s="86"/>
      <c r="T26" s="87"/>
      <c r="U26" s="88"/>
      <c r="V26" s="88"/>
      <c r="W26" s="88"/>
      <c r="X26" s="38">
        <f t="shared" si="1"/>
        <v>0</v>
      </c>
      <c r="Y26" s="49">
        <f>MIN(ROUNDDOWN('CEN - PAY'!I27*0.05/2,2),2500)</f>
        <v>0</v>
      </c>
      <c r="Z26" s="86"/>
      <c r="AA26" s="87"/>
      <c r="AB26" s="88"/>
      <c r="AC26" s="88"/>
      <c r="AD26" s="88"/>
      <c r="AE26" s="35">
        <f t="shared" si="2"/>
        <v>0</v>
      </c>
      <c r="AF26" s="62">
        <f t="shared" si="3"/>
        <v>0</v>
      </c>
    </row>
    <row r="27" spans="1:33" ht="18.75" customHeight="1" x14ac:dyDescent="0.25">
      <c r="A27" s="98"/>
      <c r="B27" s="33">
        <f t="shared" si="4"/>
        <v>8</v>
      </c>
      <c r="C27" s="72">
        <f>'CEN - PAY'!C28</f>
        <v>0</v>
      </c>
      <c r="D27" s="72" t="e">
        <f>'CEN - PAY'!D28</f>
        <v>#N/A</v>
      </c>
      <c r="E27" s="306">
        <f>'CEN - PAY'!E28</f>
        <v>0</v>
      </c>
      <c r="F27" s="49">
        <f>'CEN - PAY'!L28</f>
        <v>0</v>
      </c>
      <c r="G27" s="36">
        <f>ROUND('CEN - PAY'!I28*0.09,2)</f>
        <v>0</v>
      </c>
      <c r="H27" s="88"/>
      <c r="I27" s="88"/>
      <c r="J27" s="88"/>
      <c r="K27" s="88"/>
      <c r="L27" s="88"/>
      <c r="M27" s="88"/>
      <c r="N27" s="88"/>
      <c r="O27" s="88"/>
      <c r="P27" s="88"/>
      <c r="Q27" s="88"/>
      <c r="R27" s="41">
        <f t="shared" si="0"/>
        <v>0</v>
      </c>
      <c r="S27" s="86"/>
      <c r="T27" s="87"/>
      <c r="U27" s="88"/>
      <c r="V27" s="88"/>
      <c r="W27" s="88"/>
      <c r="X27" s="38">
        <f t="shared" si="1"/>
        <v>0</v>
      </c>
      <c r="Y27" s="49">
        <f>MIN(ROUNDDOWN('CEN - PAY'!I28*0.05/2,2),2500)</f>
        <v>0</v>
      </c>
      <c r="Z27" s="86"/>
      <c r="AA27" s="87"/>
      <c r="AB27" s="88"/>
      <c r="AC27" s="88"/>
      <c r="AD27" s="88"/>
      <c r="AE27" s="35">
        <f t="shared" si="2"/>
        <v>0</v>
      </c>
      <c r="AF27" s="62">
        <f t="shared" si="3"/>
        <v>0</v>
      </c>
    </row>
    <row r="28" spans="1:33" ht="18.75" customHeight="1" x14ac:dyDescent="0.25">
      <c r="A28" s="98"/>
      <c r="B28" s="33">
        <f t="shared" si="4"/>
        <v>9</v>
      </c>
      <c r="C28" s="72">
        <f>'CEN - PAY'!C29</f>
        <v>0</v>
      </c>
      <c r="D28" s="72" t="e">
        <f>'CEN - PAY'!D29</f>
        <v>#N/A</v>
      </c>
      <c r="E28" s="306">
        <f>'CEN - PAY'!E29</f>
        <v>0</v>
      </c>
      <c r="F28" s="49">
        <f>'CEN - PAY'!L29</f>
        <v>0</v>
      </c>
      <c r="G28" s="36">
        <f>ROUND('CEN - PAY'!I29*0.09,2)</f>
        <v>0</v>
      </c>
      <c r="H28" s="88"/>
      <c r="I28" s="88"/>
      <c r="J28" s="88"/>
      <c r="K28" s="88"/>
      <c r="L28" s="88"/>
      <c r="M28" s="88"/>
      <c r="N28" s="88"/>
      <c r="O28" s="88"/>
      <c r="P28" s="88"/>
      <c r="Q28" s="88"/>
      <c r="R28" s="41">
        <f t="shared" si="0"/>
        <v>0</v>
      </c>
      <c r="S28" s="86"/>
      <c r="T28" s="87"/>
      <c r="U28" s="88"/>
      <c r="V28" s="88"/>
      <c r="W28" s="88"/>
      <c r="X28" s="38">
        <f t="shared" si="1"/>
        <v>0</v>
      </c>
      <c r="Y28" s="49">
        <f>MIN(ROUNDDOWN('CEN - PAY'!I29*0.05/2,2),2500)</f>
        <v>0</v>
      </c>
      <c r="Z28" s="86"/>
      <c r="AA28" s="87"/>
      <c r="AB28" s="88"/>
      <c r="AC28" s="88"/>
      <c r="AD28" s="88"/>
      <c r="AE28" s="35">
        <f t="shared" si="2"/>
        <v>0</v>
      </c>
      <c r="AF28" s="62">
        <f t="shared" si="3"/>
        <v>0</v>
      </c>
    </row>
    <row r="29" spans="1:33" ht="18.75" customHeight="1" x14ac:dyDescent="0.25">
      <c r="A29" s="98"/>
      <c r="B29" s="33">
        <f t="shared" si="4"/>
        <v>10</v>
      </c>
      <c r="C29" s="72">
        <f>'CEN - PAY'!C30</f>
        <v>0</v>
      </c>
      <c r="D29" s="72" t="e">
        <f>'CEN - PAY'!D30</f>
        <v>#N/A</v>
      </c>
      <c r="E29" s="306">
        <f>'CEN - PAY'!E30</f>
        <v>0</v>
      </c>
      <c r="F29" s="49">
        <f>'CEN - PAY'!L30</f>
        <v>0</v>
      </c>
      <c r="G29" s="36">
        <f>ROUND('CEN - PAY'!I30*0.09,2)</f>
        <v>0</v>
      </c>
      <c r="H29" s="88"/>
      <c r="I29" s="88"/>
      <c r="J29" s="88"/>
      <c r="K29" s="88"/>
      <c r="L29" s="88"/>
      <c r="M29" s="88"/>
      <c r="N29" s="88"/>
      <c r="O29" s="88"/>
      <c r="P29" s="88"/>
      <c r="Q29" s="88"/>
      <c r="R29" s="41">
        <f t="shared" si="0"/>
        <v>0</v>
      </c>
      <c r="S29" s="86"/>
      <c r="T29" s="87"/>
      <c r="U29" s="88"/>
      <c r="V29" s="88"/>
      <c r="W29" s="88"/>
      <c r="X29" s="38">
        <f t="shared" si="1"/>
        <v>0</v>
      </c>
      <c r="Y29" s="49">
        <f>MIN(ROUNDDOWN('CEN - PAY'!I30*0.05/2,2),2500)</f>
        <v>0</v>
      </c>
      <c r="Z29" s="86"/>
      <c r="AA29" s="87"/>
      <c r="AB29" s="88"/>
      <c r="AC29" s="88"/>
      <c r="AD29" s="88"/>
      <c r="AE29" s="35">
        <f t="shared" si="2"/>
        <v>0</v>
      </c>
      <c r="AF29" s="62">
        <f t="shared" si="3"/>
        <v>0</v>
      </c>
    </row>
    <row r="30" spans="1:33" ht="18.75" customHeight="1" x14ac:dyDescent="0.25">
      <c r="A30" s="98"/>
      <c r="B30" s="33">
        <f t="shared" si="4"/>
        <v>11</v>
      </c>
      <c r="C30" s="72">
        <f>'CEN - PAY'!C31</f>
        <v>0</v>
      </c>
      <c r="D30" s="72" t="e">
        <f>'CEN - PAY'!D31</f>
        <v>#N/A</v>
      </c>
      <c r="E30" s="306">
        <f>'CEN - PAY'!E31</f>
        <v>0</v>
      </c>
      <c r="F30" s="49">
        <f>'CEN - PAY'!L31</f>
        <v>0</v>
      </c>
      <c r="G30" s="36">
        <f>ROUND('CEN - PAY'!I31*0.09,2)</f>
        <v>0</v>
      </c>
      <c r="H30" s="88"/>
      <c r="I30" s="88"/>
      <c r="J30" s="88"/>
      <c r="K30" s="88"/>
      <c r="L30" s="88"/>
      <c r="M30" s="88"/>
      <c r="N30" s="88"/>
      <c r="O30" s="88"/>
      <c r="P30" s="88"/>
      <c r="Q30" s="88"/>
      <c r="R30" s="41">
        <f t="shared" si="0"/>
        <v>0</v>
      </c>
      <c r="S30" s="86"/>
      <c r="T30" s="87"/>
      <c r="U30" s="88"/>
      <c r="V30" s="88"/>
      <c r="W30" s="88"/>
      <c r="X30" s="38">
        <f t="shared" si="1"/>
        <v>0</v>
      </c>
      <c r="Y30" s="49">
        <f>MIN(ROUNDDOWN('CEN - PAY'!I31*0.05/2,2),2500)</f>
        <v>0</v>
      </c>
      <c r="Z30" s="86"/>
      <c r="AA30" s="87"/>
      <c r="AB30" s="88"/>
      <c r="AC30" s="88"/>
      <c r="AD30" s="88"/>
      <c r="AE30" s="35">
        <f t="shared" si="2"/>
        <v>0</v>
      </c>
      <c r="AF30" s="62">
        <f t="shared" si="3"/>
        <v>0</v>
      </c>
    </row>
    <row r="31" spans="1:33" ht="18.75" customHeight="1" x14ac:dyDescent="0.25">
      <c r="A31" s="98"/>
      <c r="B31" s="33">
        <f t="shared" si="4"/>
        <v>12</v>
      </c>
      <c r="C31" s="72">
        <f>'CEN - PAY'!C32</f>
        <v>0</v>
      </c>
      <c r="D31" s="72" t="e">
        <f>'CEN - PAY'!D32</f>
        <v>#N/A</v>
      </c>
      <c r="E31" s="306">
        <f>'CEN - PAY'!E32</f>
        <v>0</v>
      </c>
      <c r="F31" s="49">
        <f>'CEN - PAY'!L32</f>
        <v>0</v>
      </c>
      <c r="G31" s="36">
        <f>ROUND('CEN - PAY'!I32*0.09,2)</f>
        <v>0</v>
      </c>
      <c r="H31" s="88"/>
      <c r="I31" s="88"/>
      <c r="J31" s="88"/>
      <c r="K31" s="88"/>
      <c r="L31" s="88"/>
      <c r="M31" s="88"/>
      <c r="N31" s="88"/>
      <c r="O31" s="88"/>
      <c r="P31" s="88"/>
      <c r="Q31" s="88"/>
      <c r="R31" s="41">
        <f t="shared" si="0"/>
        <v>0</v>
      </c>
      <c r="S31" s="86"/>
      <c r="T31" s="87"/>
      <c r="U31" s="88"/>
      <c r="V31" s="88"/>
      <c r="W31" s="88"/>
      <c r="X31" s="38">
        <f t="shared" si="1"/>
        <v>0</v>
      </c>
      <c r="Y31" s="49">
        <f>MIN(ROUNDDOWN('CEN - PAY'!I32*0.05/2,2),2500)</f>
        <v>0</v>
      </c>
      <c r="Z31" s="86"/>
      <c r="AA31" s="87"/>
      <c r="AB31" s="88"/>
      <c r="AC31" s="88"/>
      <c r="AD31" s="88"/>
      <c r="AE31" s="35">
        <f t="shared" si="2"/>
        <v>0</v>
      </c>
      <c r="AF31" s="62">
        <f t="shared" si="3"/>
        <v>0</v>
      </c>
    </row>
    <row r="32" spans="1:33" ht="18.75" customHeight="1" x14ac:dyDescent="0.25">
      <c r="A32" s="98"/>
      <c r="B32" s="33">
        <f t="shared" si="4"/>
        <v>13</v>
      </c>
      <c r="C32" s="72">
        <f>'CEN - PAY'!C33</f>
        <v>0</v>
      </c>
      <c r="D32" s="72" t="e">
        <f>'CEN - PAY'!D33</f>
        <v>#N/A</v>
      </c>
      <c r="E32" s="306">
        <f>'CEN - PAY'!E33</f>
        <v>0</v>
      </c>
      <c r="F32" s="49">
        <f>'CEN - PAY'!L33</f>
        <v>0</v>
      </c>
      <c r="G32" s="36">
        <f>ROUND('CEN - PAY'!I33*0.09,2)</f>
        <v>0</v>
      </c>
      <c r="H32" s="88"/>
      <c r="I32" s="88"/>
      <c r="J32" s="88"/>
      <c r="K32" s="88"/>
      <c r="L32" s="88"/>
      <c r="M32" s="88"/>
      <c r="N32" s="88"/>
      <c r="O32" s="88"/>
      <c r="P32" s="88"/>
      <c r="Q32" s="88"/>
      <c r="R32" s="41">
        <f t="shared" si="0"/>
        <v>0</v>
      </c>
      <c r="S32" s="86"/>
      <c r="T32" s="87"/>
      <c r="U32" s="88"/>
      <c r="V32" s="88"/>
      <c r="W32" s="88"/>
      <c r="X32" s="38">
        <f t="shared" si="1"/>
        <v>0</v>
      </c>
      <c r="Y32" s="49">
        <f>MIN(ROUNDDOWN('CEN - PAY'!I33*0.05/2,2),2500)</f>
        <v>0</v>
      </c>
      <c r="Z32" s="86"/>
      <c r="AA32" s="87"/>
      <c r="AB32" s="88"/>
      <c r="AC32" s="88"/>
      <c r="AD32" s="88"/>
      <c r="AE32" s="35">
        <f t="shared" si="2"/>
        <v>0</v>
      </c>
      <c r="AF32" s="62">
        <f t="shared" si="3"/>
        <v>0</v>
      </c>
    </row>
    <row r="33" spans="1:32" ht="18.75" customHeight="1" x14ac:dyDescent="0.25">
      <c r="A33" s="98"/>
      <c r="B33" s="33">
        <f t="shared" si="4"/>
        <v>14</v>
      </c>
      <c r="C33" s="72">
        <f>'CEN - PAY'!C34</f>
        <v>0</v>
      </c>
      <c r="D33" s="72" t="e">
        <f>'CEN - PAY'!D34</f>
        <v>#N/A</v>
      </c>
      <c r="E33" s="306">
        <f>'CEN - PAY'!E34</f>
        <v>0</v>
      </c>
      <c r="F33" s="49">
        <f>'CEN - PAY'!L34</f>
        <v>0</v>
      </c>
      <c r="G33" s="36">
        <f>ROUND('CEN - PAY'!I34*0.09,2)</f>
        <v>0</v>
      </c>
      <c r="H33" s="88"/>
      <c r="I33" s="88"/>
      <c r="J33" s="88"/>
      <c r="K33" s="88"/>
      <c r="L33" s="88"/>
      <c r="M33" s="88"/>
      <c r="N33" s="88"/>
      <c r="O33" s="88"/>
      <c r="P33" s="88"/>
      <c r="Q33" s="88"/>
      <c r="R33" s="41">
        <f t="shared" si="0"/>
        <v>0</v>
      </c>
      <c r="S33" s="86"/>
      <c r="T33" s="87"/>
      <c r="U33" s="88"/>
      <c r="V33" s="88"/>
      <c r="W33" s="88"/>
      <c r="X33" s="38">
        <f t="shared" si="1"/>
        <v>0</v>
      </c>
      <c r="Y33" s="49">
        <f>MIN(ROUNDDOWN('CEN - PAY'!I34*0.05/2,2),2500)</f>
        <v>0</v>
      </c>
      <c r="Z33" s="86"/>
      <c r="AA33" s="87"/>
      <c r="AB33" s="88"/>
      <c r="AC33" s="88"/>
      <c r="AD33" s="88"/>
      <c r="AE33" s="35">
        <f t="shared" si="2"/>
        <v>0</v>
      </c>
      <c r="AF33" s="62">
        <f t="shared" si="3"/>
        <v>0</v>
      </c>
    </row>
    <row r="34" spans="1:32" ht="18.75" customHeight="1" x14ac:dyDescent="0.25">
      <c r="A34" s="98"/>
      <c r="B34" s="33">
        <f t="shared" si="4"/>
        <v>15</v>
      </c>
      <c r="C34" s="72">
        <f>'CEN - PAY'!C35</f>
        <v>0</v>
      </c>
      <c r="D34" s="72" t="e">
        <f>'CEN - PAY'!D35</f>
        <v>#N/A</v>
      </c>
      <c r="E34" s="306">
        <f>'CEN - PAY'!E35</f>
        <v>0</v>
      </c>
      <c r="F34" s="49">
        <f>'CEN - PAY'!L35</f>
        <v>0</v>
      </c>
      <c r="G34" s="36">
        <f>ROUND('CEN - PAY'!I35*0.09,2)</f>
        <v>0</v>
      </c>
      <c r="H34" s="88"/>
      <c r="I34" s="88"/>
      <c r="J34" s="88"/>
      <c r="K34" s="88"/>
      <c r="L34" s="88"/>
      <c r="M34" s="88"/>
      <c r="N34" s="88"/>
      <c r="O34" s="88"/>
      <c r="P34" s="88"/>
      <c r="Q34" s="88"/>
      <c r="R34" s="41">
        <f t="shared" si="0"/>
        <v>0</v>
      </c>
      <c r="S34" s="86"/>
      <c r="T34" s="87"/>
      <c r="U34" s="88"/>
      <c r="V34" s="88"/>
      <c r="W34" s="88"/>
      <c r="X34" s="38">
        <f t="shared" si="1"/>
        <v>0</v>
      </c>
      <c r="Y34" s="49">
        <f>MIN(ROUNDDOWN('CEN - PAY'!I35*0.05/2,2),2500)</f>
        <v>0</v>
      </c>
      <c r="Z34" s="86"/>
      <c r="AA34" s="87"/>
      <c r="AB34" s="88"/>
      <c r="AC34" s="88"/>
      <c r="AD34" s="88"/>
      <c r="AE34" s="35">
        <f t="shared" si="2"/>
        <v>0</v>
      </c>
      <c r="AF34" s="62">
        <f t="shared" si="3"/>
        <v>0</v>
      </c>
    </row>
    <row r="35" spans="1:32" ht="18.75" customHeight="1" x14ac:dyDescent="0.25">
      <c r="A35" s="98"/>
      <c r="B35" s="33">
        <f t="shared" si="4"/>
        <v>16</v>
      </c>
      <c r="C35" s="72">
        <f>'CEN - PAY'!C36</f>
        <v>0</v>
      </c>
      <c r="D35" s="72" t="e">
        <f>'CEN - PAY'!D36</f>
        <v>#N/A</v>
      </c>
      <c r="E35" s="306">
        <f>'CEN - PAY'!E36</f>
        <v>0</v>
      </c>
      <c r="F35" s="49">
        <f>'CEN - PAY'!L36</f>
        <v>0</v>
      </c>
      <c r="G35" s="36">
        <f>ROUND('CEN - PAY'!I36*0.09,2)</f>
        <v>0</v>
      </c>
      <c r="H35" s="88"/>
      <c r="I35" s="88"/>
      <c r="J35" s="88"/>
      <c r="K35" s="88"/>
      <c r="L35" s="88"/>
      <c r="M35" s="88"/>
      <c r="N35" s="88"/>
      <c r="O35" s="88"/>
      <c r="P35" s="88"/>
      <c r="Q35" s="88"/>
      <c r="R35" s="41">
        <f t="shared" si="0"/>
        <v>0</v>
      </c>
      <c r="S35" s="86"/>
      <c r="T35" s="87"/>
      <c r="U35" s="88"/>
      <c r="V35" s="88"/>
      <c r="W35" s="88"/>
      <c r="X35" s="38">
        <f t="shared" si="1"/>
        <v>0</v>
      </c>
      <c r="Y35" s="49">
        <f>MIN(ROUNDDOWN('CEN - PAY'!I36*0.05/2,2),2500)</f>
        <v>0</v>
      </c>
      <c r="Z35" s="86"/>
      <c r="AA35" s="87"/>
      <c r="AB35" s="88"/>
      <c r="AC35" s="88"/>
      <c r="AD35" s="88"/>
      <c r="AE35" s="35">
        <f t="shared" si="2"/>
        <v>0</v>
      </c>
      <c r="AF35" s="62">
        <f t="shared" si="3"/>
        <v>0</v>
      </c>
    </row>
    <row r="36" spans="1:32" ht="18.75" customHeight="1" x14ac:dyDescent="0.25">
      <c r="A36" s="98"/>
      <c r="B36" s="33">
        <f t="shared" ref="B36:B45" si="5">+B25+1</f>
        <v>7</v>
      </c>
      <c r="C36" s="72">
        <f>'CEN - PAY'!C37</f>
        <v>0</v>
      </c>
      <c r="D36" s="72" t="e">
        <f>'CEN - PAY'!D37</f>
        <v>#N/A</v>
      </c>
      <c r="E36" s="306">
        <f>'CEN - PAY'!E37</f>
        <v>0</v>
      </c>
      <c r="F36" s="49">
        <f>'CEN - PAY'!L37</f>
        <v>0</v>
      </c>
      <c r="G36" s="36">
        <f>ROUND('CEN - PAY'!I37*0.09,2)</f>
        <v>0</v>
      </c>
      <c r="H36" s="88"/>
      <c r="I36" s="88"/>
      <c r="J36" s="88"/>
      <c r="K36" s="88"/>
      <c r="L36" s="88"/>
      <c r="M36" s="88"/>
      <c r="N36" s="88"/>
      <c r="O36" s="88"/>
      <c r="P36" s="88"/>
      <c r="Q36" s="88"/>
      <c r="R36" s="41">
        <f t="shared" ref="R36:R45" si="6">SUM(G36:Q36)</f>
        <v>0</v>
      </c>
      <c r="S36" s="86"/>
      <c r="T36" s="87"/>
      <c r="U36" s="88"/>
      <c r="V36" s="88"/>
      <c r="W36" s="88"/>
      <c r="X36" s="38">
        <f t="shared" ref="X36:X45" si="7">SUM(S36:W36)</f>
        <v>0</v>
      </c>
      <c r="Y36" s="49">
        <f>MIN(ROUNDDOWN('CEN - PAY'!I37*0.05/2,2),2500)</f>
        <v>0</v>
      </c>
      <c r="Z36" s="86"/>
      <c r="AA36" s="87"/>
      <c r="AB36" s="88"/>
      <c r="AC36" s="88"/>
      <c r="AD36" s="88"/>
      <c r="AE36" s="35">
        <f t="shared" ref="AE36:AE45" si="8">SUM(Z36:AD36)</f>
        <v>0</v>
      </c>
      <c r="AF36" s="62">
        <f t="shared" ref="AF36:AF45" si="9">SUM(F36,R36,X36,Y36,AE36)</f>
        <v>0</v>
      </c>
    </row>
    <row r="37" spans="1:32" ht="18.75" customHeight="1" x14ac:dyDescent="0.25">
      <c r="A37" s="98"/>
      <c r="B37" s="33">
        <f t="shared" si="5"/>
        <v>8</v>
      </c>
      <c r="C37" s="72">
        <f>'CEN - PAY'!C38</f>
        <v>0</v>
      </c>
      <c r="D37" s="72" t="e">
        <f>'CEN - PAY'!D38</f>
        <v>#N/A</v>
      </c>
      <c r="E37" s="306">
        <f>'CEN - PAY'!E38</f>
        <v>0</v>
      </c>
      <c r="F37" s="49">
        <f>'CEN - PAY'!L38</f>
        <v>0</v>
      </c>
      <c r="G37" s="36">
        <f>ROUND('CEN - PAY'!I38*0.09,2)</f>
        <v>0</v>
      </c>
      <c r="H37" s="88"/>
      <c r="I37" s="88"/>
      <c r="J37" s="88"/>
      <c r="K37" s="88"/>
      <c r="L37" s="88"/>
      <c r="M37" s="88"/>
      <c r="N37" s="88"/>
      <c r="O37" s="88"/>
      <c r="P37" s="88"/>
      <c r="Q37" s="88"/>
      <c r="R37" s="41">
        <f t="shared" si="6"/>
        <v>0</v>
      </c>
      <c r="S37" s="86"/>
      <c r="T37" s="87"/>
      <c r="U37" s="88"/>
      <c r="V37" s="88"/>
      <c r="W37" s="88"/>
      <c r="X37" s="38">
        <f t="shared" si="7"/>
        <v>0</v>
      </c>
      <c r="Y37" s="49">
        <f>MIN(ROUNDDOWN('CEN - PAY'!I38*0.05/2,2),2500)</f>
        <v>0</v>
      </c>
      <c r="Z37" s="86"/>
      <c r="AA37" s="87"/>
      <c r="AB37" s="88"/>
      <c r="AC37" s="88"/>
      <c r="AD37" s="88"/>
      <c r="AE37" s="35">
        <f t="shared" si="8"/>
        <v>0</v>
      </c>
      <c r="AF37" s="62">
        <f t="shared" si="9"/>
        <v>0</v>
      </c>
    </row>
    <row r="38" spans="1:32" ht="18.75" customHeight="1" x14ac:dyDescent="0.25">
      <c r="A38" s="98"/>
      <c r="B38" s="33">
        <f t="shared" si="5"/>
        <v>9</v>
      </c>
      <c r="C38" s="72">
        <f>'CEN - PAY'!C39</f>
        <v>0</v>
      </c>
      <c r="D38" s="72" t="e">
        <f>'CEN - PAY'!D39</f>
        <v>#N/A</v>
      </c>
      <c r="E38" s="306">
        <f>'CEN - PAY'!E39</f>
        <v>0</v>
      </c>
      <c r="F38" s="49">
        <f>'CEN - PAY'!L39</f>
        <v>0</v>
      </c>
      <c r="G38" s="36">
        <f>ROUND('CEN - PAY'!I39*0.09,2)</f>
        <v>0</v>
      </c>
      <c r="H38" s="88"/>
      <c r="I38" s="88"/>
      <c r="J38" s="88"/>
      <c r="K38" s="88"/>
      <c r="L38" s="88"/>
      <c r="M38" s="88"/>
      <c r="N38" s="88"/>
      <c r="O38" s="88"/>
      <c r="P38" s="88"/>
      <c r="Q38" s="88"/>
      <c r="R38" s="41">
        <f t="shared" si="6"/>
        <v>0</v>
      </c>
      <c r="S38" s="86"/>
      <c r="T38" s="87"/>
      <c r="U38" s="88"/>
      <c r="V38" s="88"/>
      <c r="W38" s="88"/>
      <c r="X38" s="38">
        <f t="shared" si="7"/>
        <v>0</v>
      </c>
      <c r="Y38" s="49">
        <f>MIN(ROUNDDOWN('CEN - PAY'!I39*0.05/2,2),2500)</f>
        <v>0</v>
      </c>
      <c r="Z38" s="86"/>
      <c r="AA38" s="87"/>
      <c r="AB38" s="88"/>
      <c r="AC38" s="88"/>
      <c r="AD38" s="88"/>
      <c r="AE38" s="35">
        <f t="shared" si="8"/>
        <v>0</v>
      </c>
      <c r="AF38" s="62">
        <f t="shared" si="9"/>
        <v>0</v>
      </c>
    </row>
    <row r="39" spans="1:32" ht="18.75" customHeight="1" x14ac:dyDescent="0.25">
      <c r="A39" s="98"/>
      <c r="B39" s="33">
        <f t="shared" si="5"/>
        <v>10</v>
      </c>
      <c r="C39" s="72">
        <f>'CEN - PAY'!C40</f>
        <v>0</v>
      </c>
      <c r="D39" s="72" t="e">
        <f>'CEN - PAY'!D40</f>
        <v>#N/A</v>
      </c>
      <c r="E39" s="306">
        <f>'CEN - PAY'!E40</f>
        <v>0</v>
      </c>
      <c r="F39" s="49">
        <f>'CEN - PAY'!L40</f>
        <v>0</v>
      </c>
      <c r="G39" s="36">
        <f>ROUND('CEN - PAY'!I40*0.09,2)</f>
        <v>0</v>
      </c>
      <c r="H39" s="88"/>
      <c r="I39" s="88"/>
      <c r="J39" s="88"/>
      <c r="K39" s="88"/>
      <c r="L39" s="88"/>
      <c r="M39" s="88"/>
      <c r="N39" s="88"/>
      <c r="O39" s="88"/>
      <c r="P39" s="88"/>
      <c r="Q39" s="88"/>
      <c r="R39" s="41">
        <f t="shared" si="6"/>
        <v>0</v>
      </c>
      <c r="S39" s="86"/>
      <c r="T39" s="87"/>
      <c r="U39" s="88"/>
      <c r="V39" s="88"/>
      <c r="W39" s="88"/>
      <c r="X39" s="38">
        <f t="shared" si="7"/>
        <v>0</v>
      </c>
      <c r="Y39" s="49">
        <f>MIN(ROUNDDOWN('CEN - PAY'!I40*0.05/2,2),2500)</f>
        <v>0</v>
      </c>
      <c r="Z39" s="86"/>
      <c r="AA39" s="87"/>
      <c r="AB39" s="88"/>
      <c r="AC39" s="88"/>
      <c r="AD39" s="88"/>
      <c r="AE39" s="35">
        <f t="shared" si="8"/>
        <v>0</v>
      </c>
      <c r="AF39" s="62">
        <f t="shared" si="9"/>
        <v>0</v>
      </c>
    </row>
    <row r="40" spans="1:32" ht="18.75" customHeight="1" x14ac:dyDescent="0.25">
      <c r="A40" s="98"/>
      <c r="B40" s="33">
        <f t="shared" si="5"/>
        <v>11</v>
      </c>
      <c r="C40" s="72">
        <f>'CEN - PAY'!C41</f>
        <v>0</v>
      </c>
      <c r="D40" s="72" t="e">
        <f>'CEN - PAY'!D41</f>
        <v>#N/A</v>
      </c>
      <c r="E40" s="306">
        <f>'CEN - PAY'!E41</f>
        <v>0</v>
      </c>
      <c r="F40" s="49">
        <f>'CEN - PAY'!L41</f>
        <v>0</v>
      </c>
      <c r="G40" s="36">
        <f>ROUND('CEN - PAY'!I41*0.09,2)</f>
        <v>0</v>
      </c>
      <c r="H40" s="88"/>
      <c r="I40" s="88"/>
      <c r="J40" s="88"/>
      <c r="K40" s="88"/>
      <c r="L40" s="88"/>
      <c r="M40" s="88"/>
      <c r="N40" s="88"/>
      <c r="O40" s="88"/>
      <c r="P40" s="88"/>
      <c r="Q40" s="88"/>
      <c r="R40" s="41">
        <f t="shared" si="6"/>
        <v>0</v>
      </c>
      <c r="S40" s="86"/>
      <c r="T40" s="87"/>
      <c r="U40" s="88"/>
      <c r="V40" s="88"/>
      <c r="W40" s="88"/>
      <c r="X40" s="38">
        <f t="shared" si="7"/>
        <v>0</v>
      </c>
      <c r="Y40" s="49">
        <f>MIN(ROUNDDOWN('CEN - PAY'!I41*0.05/2,2),2500)</f>
        <v>0</v>
      </c>
      <c r="Z40" s="86"/>
      <c r="AA40" s="87"/>
      <c r="AB40" s="88"/>
      <c r="AC40" s="88"/>
      <c r="AD40" s="88"/>
      <c r="AE40" s="35">
        <f t="shared" si="8"/>
        <v>0</v>
      </c>
      <c r="AF40" s="62">
        <f t="shared" si="9"/>
        <v>0</v>
      </c>
    </row>
    <row r="41" spans="1:32" ht="18.75" customHeight="1" x14ac:dyDescent="0.25">
      <c r="A41" s="98"/>
      <c r="B41" s="33">
        <f t="shared" si="5"/>
        <v>12</v>
      </c>
      <c r="C41" s="72">
        <f>'CEN - PAY'!C42</f>
        <v>0</v>
      </c>
      <c r="D41" s="72" t="e">
        <f>'CEN - PAY'!D42</f>
        <v>#N/A</v>
      </c>
      <c r="E41" s="306">
        <f>'CEN - PAY'!E42</f>
        <v>0</v>
      </c>
      <c r="F41" s="49">
        <f>'CEN - PAY'!L42</f>
        <v>0</v>
      </c>
      <c r="G41" s="36">
        <f>ROUND('CEN - PAY'!I42*0.09,2)</f>
        <v>0</v>
      </c>
      <c r="H41" s="88"/>
      <c r="I41" s="88"/>
      <c r="J41" s="88"/>
      <c r="K41" s="88"/>
      <c r="L41" s="88"/>
      <c r="M41" s="88"/>
      <c r="N41" s="88"/>
      <c r="O41" s="88"/>
      <c r="P41" s="88"/>
      <c r="Q41" s="88"/>
      <c r="R41" s="41">
        <f t="shared" si="6"/>
        <v>0</v>
      </c>
      <c r="S41" s="86"/>
      <c r="T41" s="87"/>
      <c r="U41" s="88"/>
      <c r="V41" s="88"/>
      <c r="W41" s="88"/>
      <c r="X41" s="38">
        <f t="shared" si="7"/>
        <v>0</v>
      </c>
      <c r="Y41" s="49">
        <f>MIN(ROUNDDOWN('CEN - PAY'!I42*0.05/2,2),2500)</f>
        <v>0</v>
      </c>
      <c r="Z41" s="86"/>
      <c r="AA41" s="87"/>
      <c r="AB41" s="88"/>
      <c r="AC41" s="88"/>
      <c r="AD41" s="88"/>
      <c r="AE41" s="35">
        <f t="shared" si="8"/>
        <v>0</v>
      </c>
      <c r="AF41" s="62">
        <f t="shared" si="9"/>
        <v>0</v>
      </c>
    </row>
    <row r="42" spans="1:32" ht="18.75" customHeight="1" x14ac:dyDescent="0.25">
      <c r="A42" s="98"/>
      <c r="B42" s="33">
        <f t="shared" si="5"/>
        <v>13</v>
      </c>
      <c r="C42" s="72">
        <f>'CEN - PAY'!C43</f>
        <v>0</v>
      </c>
      <c r="D42" s="72" t="e">
        <f>'CEN - PAY'!D43</f>
        <v>#N/A</v>
      </c>
      <c r="E42" s="306">
        <f>'CEN - PAY'!E43</f>
        <v>0</v>
      </c>
      <c r="F42" s="49">
        <f>'CEN - PAY'!L43</f>
        <v>0</v>
      </c>
      <c r="G42" s="36">
        <f>ROUND('CEN - PAY'!I43*0.09,2)</f>
        <v>0</v>
      </c>
      <c r="H42" s="88"/>
      <c r="I42" s="88"/>
      <c r="J42" s="88"/>
      <c r="K42" s="88"/>
      <c r="L42" s="88"/>
      <c r="M42" s="88"/>
      <c r="N42" s="88"/>
      <c r="O42" s="88"/>
      <c r="P42" s="88"/>
      <c r="Q42" s="88"/>
      <c r="R42" s="41">
        <f t="shared" si="6"/>
        <v>0</v>
      </c>
      <c r="S42" s="86"/>
      <c r="T42" s="87"/>
      <c r="U42" s="88"/>
      <c r="V42" s="88"/>
      <c r="W42" s="88"/>
      <c r="X42" s="38">
        <f t="shared" si="7"/>
        <v>0</v>
      </c>
      <c r="Y42" s="49">
        <f>MIN(ROUNDDOWN('CEN - PAY'!I43*0.05/2,2),2500)</f>
        <v>0</v>
      </c>
      <c r="Z42" s="86"/>
      <c r="AA42" s="87"/>
      <c r="AB42" s="88"/>
      <c r="AC42" s="88"/>
      <c r="AD42" s="88"/>
      <c r="AE42" s="35">
        <f t="shared" si="8"/>
        <v>0</v>
      </c>
      <c r="AF42" s="62">
        <f t="shared" si="9"/>
        <v>0</v>
      </c>
    </row>
    <row r="43" spans="1:32" ht="18.75" customHeight="1" x14ac:dyDescent="0.25">
      <c r="A43" s="98"/>
      <c r="B43" s="33">
        <f t="shared" si="5"/>
        <v>14</v>
      </c>
      <c r="C43" s="72">
        <f>'CEN - PAY'!C44</f>
        <v>0</v>
      </c>
      <c r="D43" s="72" t="e">
        <f>'CEN - PAY'!D44</f>
        <v>#N/A</v>
      </c>
      <c r="E43" s="306">
        <f>'CEN - PAY'!E44</f>
        <v>0</v>
      </c>
      <c r="F43" s="49">
        <f>'CEN - PAY'!L44</f>
        <v>0</v>
      </c>
      <c r="G43" s="36">
        <f>ROUND('CEN - PAY'!I44*0.09,2)</f>
        <v>0</v>
      </c>
      <c r="H43" s="88"/>
      <c r="I43" s="88"/>
      <c r="J43" s="88"/>
      <c r="K43" s="88"/>
      <c r="L43" s="88"/>
      <c r="M43" s="88"/>
      <c r="N43" s="88"/>
      <c r="O43" s="88"/>
      <c r="P43" s="88"/>
      <c r="Q43" s="88"/>
      <c r="R43" s="41">
        <f t="shared" si="6"/>
        <v>0</v>
      </c>
      <c r="S43" s="86"/>
      <c r="T43" s="87"/>
      <c r="U43" s="88"/>
      <c r="V43" s="88"/>
      <c r="W43" s="88"/>
      <c r="X43" s="38">
        <f t="shared" si="7"/>
        <v>0</v>
      </c>
      <c r="Y43" s="49">
        <f>MIN(ROUNDDOWN('CEN - PAY'!I44*0.05/2,2),2500)</f>
        <v>0</v>
      </c>
      <c r="Z43" s="86"/>
      <c r="AA43" s="87"/>
      <c r="AB43" s="88"/>
      <c r="AC43" s="88"/>
      <c r="AD43" s="88"/>
      <c r="AE43" s="35">
        <f t="shared" si="8"/>
        <v>0</v>
      </c>
      <c r="AF43" s="62">
        <f t="shared" si="9"/>
        <v>0</v>
      </c>
    </row>
    <row r="44" spans="1:32" ht="18.75" customHeight="1" x14ac:dyDescent="0.25">
      <c r="A44" s="98"/>
      <c r="B44" s="33">
        <f t="shared" si="5"/>
        <v>15</v>
      </c>
      <c r="C44" s="72">
        <f>'CEN - PAY'!C45</f>
        <v>0</v>
      </c>
      <c r="D44" s="72" t="e">
        <f>'CEN - PAY'!D45</f>
        <v>#N/A</v>
      </c>
      <c r="E44" s="306">
        <f>'CEN - PAY'!E45</f>
        <v>0</v>
      </c>
      <c r="F44" s="49">
        <f>'CEN - PAY'!L45</f>
        <v>0</v>
      </c>
      <c r="G44" s="36">
        <f>ROUND('CEN - PAY'!I45*0.09,2)</f>
        <v>0</v>
      </c>
      <c r="H44" s="88"/>
      <c r="I44" s="88"/>
      <c r="J44" s="88"/>
      <c r="K44" s="88"/>
      <c r="L44" s="88"/>
      <c r="M44" s="88"/>
      <c r="N44" s="88"/>
      <c r="O44" s="88"/>
      <c r="P44" s="88"/>
      <c r="Q44" s="88"/>
      <c r="R44" s="41">
        <f t="shared" si="6"/>
        <v>0</v>
      </c>
      <c r="S44" s="86"/>
      <c r="T44" s="87"/>
      <c r="U44" s="88"/>
      <c r="V44" s="88"/>
      <c r="W44" s="88"/>
      <c r="X44" s="38">
        <f t="shared" si="7"/>
        <v>0</v>
      </c>
      <c r="Y44" s="49">
        <f>MIN(ROUNDDOWN('CEN - PAY'!I45*0.05/2,2),2500)</f>
        <v>0</v>
      </c>
      <c r="Z44" s="86"/>
      <c r="AA44" s="87"/>
      <c r="AB44" s="88"/>
      <c r="AC44" s="88"/>
      <c r="AD44" s="88"/>
      <c r="AE44" s="35">
        <f t="shared" si="8"/>
        <v>0</v>
      </c>
      <c r="AF44" s="62">
        <f t="shared" si="9"/>
        <v>0</v>
      </c>
    </row>
    <row r="45" spans="1:32" ht="18.75" customHeight="1" x14ac:dyDescent="0.25">
      <c r="A45" s="98"/>
      <c r="B45" s="33">
        <f t="shared" si="5"/>
        <v>16</v>
      </c>
      <c r="C45" s="72">
        <f>'CEN - PAY'!C46</f>
        <v>0</v>
      </c>
      <c r="D45" s="72" t="e">
        <f>'CEN - PAY'!D46</f>
        <v>#N/A</v>
      </c>
      <c r="E45" s="306">
        <f>'CEN - PAY'!E46</f>
        <v>0</v>
      </c>
      <c r="F45" s="49">
        <f>'CEN - PAY'!L46</f>
        <v>0</v>
      </c>
      <c r="G45" s="36">
        <f>ROUND('CEN - PAY'!I46*0.09,2)</f>
        <v>0</v>
      </c>
      <c r="H45" s="88"/>
      <c r="I45" s="88"/>
      <c r="J45" s="88"/>
      <c r="K45" s="88"/>
      <c r="L45" s="88"/>
      <c r="M45" s="88"/>
      <c r="N45" s="88"/>
      <c r="O45" s="88"/>
      <c r="P45" s="88"/>
      <c r="Q45" s="88"/>
      <c r="R45" s="41">
        <f t="shared" si="6"/>
        <v>0</v>
      </c>
      <c r="S45" s="86"/>
      <c r="T45" s="87"/>
      <c r="U45" s="88"/>
      <c r="V45" s="88"/>
      <c r="W45" s="88"/>
      <c r="X45" s="38">
        <f t="shared" si="7"/>
        <v>0</v>
      </c>
      <c r="Y45" s="49">
        <f>MIN(ROUNDDOWN('CEN - PAY'!I46*0.05/2,2),2500)</f>
        <v>0</v>
      </c>
      <c r="Z45" s="86"/>
      <c r="AA45" s="87"/>
      <c r="AB45" s="88"/>
      <c r="AC45" s="88"/>
      <c r="AD45" s="88"/>
      <c r="AE45" s="35">
        <f t="shared" si="8"/>
        <v>0</v>
      </c>
      <c r="AF45" s="62">
        <f t="shared" si="9"/>
        <v>0</v>
      </c>
    </row>
    <row r="46" spans="1:32" ht="18.75" customHeight="1" x14ac:dyDescent="0.25">
      <c r="A46" s="98"/>
      <c r="B46" s="33">
        <f>+B35+1</f>
        <v>17</v>
      </c>
      <c r="C46" s="72">
        <f>'CEN - PAY'!C47</f>
        <v>0</v>
      </c>
      <c r="D46" s="72" t="e">
        <f>'CEN - PAY'!D47</f>
        <v>#N/A</v>
      </c>
      <c r="E46" s="306">
        <f>'CEN - PAY'!E47</f>
        <v>0</v>
      </c>
      <c r="F46" s="49">
        <f>'CEN - PAY'!L47</f>
        <v>0</v>
      </c>
      <c r="G46" s="36">
        <f>ROUND('CEN - PAY'!I47*0.09,2)</f>
        <v>0</v>
      </c>
      <c r="H46" s="88"/>
      <c r="I46" s="88"/>
      <c r="J46" s="88"/>
      <c r="K46" s="88"/>
      <c r="L46" s="88"/>
      <c r="M46" s="88"/>
      <c r="N46" s="88"/>
      <c r="O46" s="88"/>
      <c r="P46" s="88"/>
      <c r="Q46" s="88"/>
      <c r="R46" s="41">
        <f t="shared" si="0"/>
        <v>0</v>
      </c>
      <c r="S46" s="86"/>
      <c r="T46" s="87"/>
      <c r="U46" s="88"/>
      <c r="V46" s="88"/>
      <c r="W46" s="88"/>
      <c r="X46" s="38">
        <f t="shared" si="1"/>
        <v>0</v>
      </c>
      <c r="Y46" s="49">
        <f>MIN(ROUNDDOWN('CEN - PAY'!I47*0.05/2,2),2500)</f>
        <v>0</v>
      </c>
      <c r="Z46" s="86"/>
      <c r="AA46" s="87"/>
      <c r="AB46" s="88"/>
      <c r="AC46" s="88"/>
      <c r="AD46" s="88"/>
      <c r="AE46" s="35">
        <f t="shared" si="2"/>
        <v>0</v>
      </c>
      <c r="AF46" s="62">
        <f t="shared" si="3"/>
        <v>0</v>
      </c>
    </row>
    <row r="47" spans="1:32" ht="18.75" customHeight="1" x14ac:dyDescent="0.25">
      <c r="A47" s="98"/>
      <c r="B47" s="33"/>
      <c r="C47" s="64"/>
      <c r="D47" s="64"/>
      <c r="E47" s="63"/>
      <c r="F47" s="70"/>
      <c r="G47" s="65"/>
      <c r="H47" s="91"/>
      <c r="I47" s="91"/>
      <c r="J47" s="91"/>
      <c r="K47" s="91"/>
      <c r="L47" s="91"/>
      <c r="M47" s="91"/>
      <c r="N47" s="91"/>
      <c r="O47" s="91"/>
      <c r="P47" s="91"/>
      <c r="Q47" s="91"/>
      <c r="R47" s="71"/>
      <c r="S47" s="89"/>
      <c r="T47" s="90"/>
      <c r="U47" s="91"/>
      <c r="V47" s="91"/>
      <c r="W47" s="91"/>
      <c r="X47" s="69"/>
      <c r="Y47" s="70"/>
      <c r="Z47" s="89"/>
      <c r="AA47" s="90"/>
      <c r="AB47" s="91"/>
      <c r="AC47" s="91"/>
      <c r="AD47" s="91"/>
      <c r="AE47" s="67"/>
      <c r="AF47" s="62">
        <f>SUM(F47,R47,X47,Y47,AE47)</f>
        <v>0</v>
      </c>
    </row>
    <row r="48" spans="1:32" ht="18.75" customHeight="1" thickBot="1" x14ac:dyDescent="0.3">
      <c r="A48" s="98"/>
      <c r="B48" s="16"/>
      <c r="C48" s="16"/>
      <c r="D48" s="16"/>
      <c r="E48" s="324"/>
      <c r="F48" s="81">
        <f t="shared" ref="F48:AF48" si="10">SUM(F20:F47)</f>
        <v>0</v>
      </c>
      <c r="G48" s="73">
        <f t="shared" si="10"/>
        <v>0</v>
      </c>
      <c r="H48" s="94">
        <f t="shared" si="10"/>
        <v>0</v>
      </c>
      <c r="I48" s="94">
        <f t="shared" si="10"/>
        <v>0</v>
      </c>
      <c r="J48" s="94">
        <f t="shared" si="10"/>
        <v>0</v>
      </c>
      <c r="K48" s="94">
        <f t="shared" si="10"/>
        <v>0</v>
      </c>
      <c r="L48" s="94">
        <f t="shared" si="10"/>
        <v>0</v>
      </c>
      <c r="M48" s="94">
        <f t="shared" si="10"/>
        <v>0</v>
      </c>
      <c r="N48" s="94">
        <f t="shared" si="10"/>
        <v>0</v>
      </c>
      <c r="O48" s="94">
        <f t="shared" si="10"/>
        <v>0</v>
      </c>
      <c r="P48" s="94">
        <f t="shared" si="10"/>
        <v>0</v>
      </c>
      <c r="Q48" s="94">
        <f t="shared" si="10"/>
        <v>0</v>
      </c>
      <c r="R48" s="74">
        <f t="shared" si="10"/>
        <v>0</v>
      </c>
      <c r="S48" s="95">
        <f t="shared" si="10"/>
        <v>0</v>
      </c>
      <c r="T48" s="96">
        <f t="shared" si="10"/>
        <v>0</v>
      </c>
      <c r="U48" s="94">
        <f t="shared" si="10"/>
        <v>0</v>
      </c>
      <c r="V48" s="94">
        <f t="shared" si="10"/>
        <v>0</v>
      </c>
      <c r="W48" s="94">
        <f t="shared" si="10"/>
        <v>0</v>
      </c>
      <c r="X48" s="80">
        <f t="shared" si="10"/>
        <v>0</v>
      </c>
      <c r="Y48" s="81">
        <f t="shared" si="10"/>
        <v>0</v>
      </c>
      <c r="Z48" s="95">
        <f t="shared" si="10"/>
        <v>0</v>
      </c>
      <c r="AA48" s="96">
        <f t="shared" si="10"/>
        <v>0</v>
      </c>
      <c r="AB48" s="94">
        <f t="shared" si="10"/>
        <v>0</v>
      </c>
      <c r="AC48" s="94">
        <f t="shared" si="10"/>
        <v>0</v>
      </c>
      <c r="AD48" s="94">
        <f t="shared" si="10"/>
        <v>0</v>
      </c>
      <c r="AE48" s="80">
        <f t="shared" si="10"/>
        <v>0</v>
      </c>
      <c r="AF48" s="81">
        <f t="shared" si="10"/>
        <v>0</v>
      </c>
    </row>
    <row r="49" spans="3:32" x14ac:dyDescent="0.25">
      <c r="R49" s="75">
        <f>R48-'CEN - PAY'!M49</f>
        <v>0</v>
      </c>
      <c r="X49" s="75">
        <f>X48-'CEN - PAY'!N49</f>
        <v>0</v>
      </c>
      <c r="Y49" s="75">
        <f>Y48-'CEN - PAY'!O49</f>
        <v>0</v>
      </c>
      <c r="AE49" s="75">
        <f>AE48-'CEN - PAY'!P49</f>
        <v>0</v>
      </c>
      <c r="AF49" s="75">
        <f>AF48-'CEN - PAY'!Q49</f>
        <v>0</v>
      </c>
    </row>
    <row r="50" spans="3:32" x14ac:dyDescent="0.25">
      <c r="AF50" s="75"/>
    </row>
    <row r="51" spans="3:32" x14ac:dyDescent="0.25">
      <c r="C51" s="820" t="s">
        <v>47</v>
      </c>
      <c r="D51" s="820"/>
    </row>
    <row r="52" spans="3:32" x14ac:dyDescent="0.25">
      <c r="C52" s="827" t="s">
        <v>93</v>
      </c>
      <c r="D52" s="827"/>
    </row>
    <row r="54" spans="3:32" x14ac:dyDescent="0.25">
      <c r="C54" s="32"/>
    </row>
  </sheetData>
  <mergeCells count="48">
    <mergeCell ref="B14:Z14"/>
    <mergeCell ref="AE2:AF2"/>
    <mergeCell ref="B3:AF3"/>
    <mergeCell ref="B4:AF4"/>
    <mergeCell ref="B5:AF5"/>
    <mergeCell ref="B6:AF6"/>
    <mergeCell ref="B8:AF8"/>
    <mergeCell ref="B9:AF9"/>
    <mergeCell ref="B10:AF10"/>
    <mergeCell ref="D11:D13"/>
    <mergeCell ref="B12:C12"/>
    <mergeCell ref="AD12:AF12"/>
    <mergeCell ref="B16:B18"/>
    <mergeCell ref="C16:C18"/>
    <mergeCell ref="D16:D18"/>
    <mergeCell ref="E16:E18"/>
    <mergeCell ref="F16:F18"/>
    <mergeCell ref="S16:X16"/>
    <mergeCell ref="Y16:Y18"/>
    <mergeCell ref="Z16:AE16"/>
    <mergeCell ref="AF16:AF18"/>
    <mergeCell ref="G17:G18"/>
    <mergeCell ref="H17:H18"/>
    <mergeCell ref="I17:I18"/>
    <mergeCell ref="J17:J18"/>
    <mergeCell ref="K17:K18"/>
    <mergeCell ref="L17:L18"/>
    <mergeCell ref="G16:R16"/>
    <mergeCell ref="M17:M18"/>
    <mergeCell ref="N17:N18"/>
    <mergeCell ref="O17:O18"/>
    <mergeCell ref="P17:P18"/>
    <mergeCell ref="AD17:AD18"/>
    <mergeCell ref="AE17:AE18"/>
    <mergeCell ref="C51:D51"/>
    <mergeCell ref="C52:D52"/>
    <mergeCell ref="W17:W18"/>
    <mergeCell ref="X17:X18"/>
    <mergeCell ref="Z17:Z18"/>
    <mergeCell ref="AA17:AA18"/>
    <mergeCell ref="AB17:AB18"/>
    <mergeCell ref="AC17:AC18"/>
    <mergeCell ref="Q17:Q18"/>
    <mergeCell ref="R17:R18"/>
    <mergeCell ref="S17:S18"/>
    <mergeCell ref="T17:T18"/>
    <mergeCell ref="U17:U18"/>
    <mergeCell ref="V17:V18"/>
  </mergeCells>
  <printOptions horizontalCentered="1"/>
  <pageMargins left="0.39370078740157483" right="0.39370078740157483" top="0.39370078740157483" bottom="0.39370078740157483" header="0" footer="0.19685039370078741"/>
  <pageSetup paperSize="14" scale="41" fitToHeight="0" orientation="landscape" r:id="rId1"/>
  <headerFooter alignWithMargins="0">
    <oddHeader>&amp;R&amp;16
Sheet &amp;"Times New Roman,Bold"&amp;U&amp;P&amp;"Times New Roman,Regular"&amp;U of &amp;"Times New Roman,Bold"&amp;U&amp;N&amp;"Times New Roman,Regular"&amp;U Sheet/s</oddHead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FFFF00"/>
  </sheetPr>
  <dimension ref="B2:N71"/>
  <sheetViews>
    <sheetView topLeftCell="A3" workbookViewId="0">
      <selection activeCell="C8" sqref="C8:C48"/>
    </sheetView>
  </sheetViews>
  <sheetFormatPr defaultRowHeight="15.75" x14ac:dyDescent="0.25"/>
  <cols>
    <col min="1" max="2" width="9" style="4"/>
    <col min="3" max="3" width="31.625" style="4" bestFit="1" customWidth="1"/>
    <col min="4" max="4" width="21.75" style="4" bestFit="1" customWidth="1"/>
    <col min="5" max="5" width="12.375" style="57" customWidth="1"/>
    <col min="6" max="14" width="12.375" style="57" bestFit="1" customWidth="1"/>
    <col min="15" max="16384" width="9" style="4"/>
  </cols>
  <sheetData>
    <row r="2" spans="2:14" ht="27.75" customHeight="1" thickBot="1" x14ac:dyDescent="0.3">
      <c r="B2" s="785" t="s">
        <v>156</v>
      </c>
      <c r="C2" s="785"/>
      <c r="D2" s="785"/>
      <c r="E2" s="785"/>
      <c r="F2" s="785"/>
      <c r="G2" s="785"/>
      <c r="H2" s="785"/>
      <c r="I2" s="785"/>
      <c r="J2" s="785"/>
      <c r="K2" s="785"/>
      <c r="L2" s="785"/>
      <c r="M2" s="785"/>
      <c r="N2" s="785"/>
    </row>
    <row r="3" spans="2:14" ht="27.75" customHeight="1" thickBot="1" x14ac:dyDescent="0.3">
      <c r="B3" s="921" t="s">
        <v>114</v>
      </c>
      <c r="C3" s="921"/>
      <c r="D3" s="921"/>
      <c r="E3" s="921"/>
      <c r="F3" s="921"/>
      <c r="G3" s="921"/>
      <c r="H3" s="921"/>
      <c r="I3" s="921"/>
      <c r="J3" s="921"/>
      <c r="K3" s="921"/>
      <c r="L3" s="921"/>
      <c r="M3" s="921"/>
      <c r="N3" s="921"/>
    </row>
    <row r="4" spans="2:14" x14ac:dyDescent="0.25">
      <c r="B4" s="802" t="s">
        <v>6</v>
      </c>
      <c r="C4" s="806" t="s">
        <v>1</v>
      </c>
      <c r="D4" s="815" t="s">
        <v>2</v>
      </c>
      <c r="E4" s="780" t="s">
        <v>14</v>
      </c>
      <c r="F4" s="780" t="s">
        <v>54</v>
      </c>
      <c r="G4" s="802" t="s">
        <v>157</v>
      </c>
      <c r="H4" s="809" t="s">
        <v>153</v>
      </c>
      <c r="I4" s="810"/>
      <c r="J4" s="810"/>
      <c r="K4" s="810"/>
      <c r="L4" s="810"/>
      <c r="M4" s="810"/>
      <c r="N4" s="811"/>
    </row>
    <row r="5" spans="2:14" ht="16.5" thickBot="1" x14ac:dyDescent="0.3">
      <c r="B5" s="803"/>
      <c r="C5" s="807"/>
      <c r="D5" s="816"/>
      <c r="E5" s="781"/>
      <c r="F5" s="781"/>
      <c r="G5" s="803"/>
      <c r="H5" s="812"/>
      <c r="I5" s="813"/>
      <c r="J5" s="813"/>
      <c r="K5" s="813"/>
      <c r="L5" s="813"/>
      <c r="M5" s="813"/>
      <c r="N5" s="814"/>
    </row>
    <row r="6" spans="2:14" ht="16.5" thickBot="1" x14ac:dyDescent="0.3">
      <c r="B6" s="803"/>
      <c r="C6" s="807"/>
      <c r="D6" s="816"/>
      <c r="E6" s="781"/>
      <c r="F6" s="781"/>
      <c r="G6" s="804"/>
      <c r="H6" s="323" t="s">
        <v>150</v>
      </c>
      <c r="I6" s="319" t="s">
        <v>154</v>
      </c>
      <c r="J6" s="323" t="s">
        <v>151</v>
      </c>
      <c r="K6" s="319" t="s">
        <v>154</v>
      </c>
      <c r="L6" s="323" t="s">
        <v>152</v>
      </c>
      <c r="M6" s="319" t="s">
        <v>154</v>
      </c>
      <c r="N6" s="319" t="s">
        <v>155</v>
      </c>
    </row>
    <row r="7" spans="2:14" x14ac:dyDescent="0.25">
      <c r="B7" s="42"/>
      <c r="C7" s="320"/>
      <c r="D7" s="321"/>
      <c r="E7" s="322"/>
      <c r="F7" s="322"/>
      <c r="G7" s="55"/>
      <c r="H7" s="322"/>
      <c r="I7" s="55"/>
      <c r="J7" s="322"/>
      <c r="K7" s="55"/>
      <c r="L7" s="322"/>
      <c r="M7" s="55"/>
      <c r="N7" s="55"/>
    </row>
    <row r="8" spans="2:14" x14ac:dyDescent="0.25">
      <c r="B8" s="34">
        <v>1</v>
      </c>
      <c r="C8" s="184"/>
      <c r="D8" s="185"/>
      <c r="E8" s="308"/>
      <c r="F8" s="225"/>
      <c r="G8" s="189">
        <f>'CIT - PAY'!I21/31</f>
        <v>0</v>
      </c>
      <c r="H8" s="313"/>
      <c r="I8" s="188">
        <f>ROUND(G8*H8,2)</f>
        <v>0</v>
      </c>
      <c r="J8" s="313"/>
      <c r="K8" s="188">
        <f>ROUND(G8/8*J8,2)</f>
        <v>0</v>
      </c>
      <c r="L8" s="313"/>
      <c r="M8" s="188">
        <f>ROUND(G8/8/60*L8,2)</f>
        <v>0</v>
      </c>
      <c r="N8" s="188">
        <f>I8+K8+M8</f>
        <v>0</v>
      </c>
    </row>
    <row r="9" spans="2:14" x14ac:dyDescent="0.25">
      <c r="B9" s="34">
        <f t="shared" ref="B9:B47" si="0">+B8+1</f>
        <v>2</v>
      </c>
      <c r="C9" s="184"/>
      <c r="D9" s="185"/>
      <c r="E9" s="309"/>
      <c r="F9" s="331"/>
      <c r="G9" s="189">
        <f>'CIT - PAY'!I22/31</f>
        <v>0</v>
      </c>
      <c r="H9" s="314"/>
      <c r="I9" s="189">
        <f>ROUND(G9*H9,2)</f>
        <v>0</v>
      </c>
      <c r="J9" s="314"/>
      <c r="K9" s="189">
        <f>ROUND(G9/8*J9,2)</f>
        <v>0</v>
      </c>
      <c r="L9" s="314"/>
      <c r="M9" s="189">
        <f>ROUND(G9/8/60*L9,2)</f>
        <v>0</v>
      </c>
      <c r="N9" s="189">
        <f>I9+K9+M9</f>
        <v>0</v>
      </c>
    </row>
    <row r="10" spans="2:14" x14ac:dyDescent="0.25">
      <c r="B10" s="34">
        <f t="shared" si="0"/>
        <v>3</v>
      </c>
      <c r="C10" s="184"/>
      <c r="D10" s="185"/>
      <c r="E10" s="309"/>
      <c r="F10" s="331"/>
      <c r="G10" s="189">
        <f>'CIT - PAY'!I23/31</f>
        <v>0</v>
      </c>
      <c r="H10" s="313"/>
      <c r="I10" s="188">
        <f>ROUND(G10*H10,2)</f>
        <v>0</v>
      </c>
      <c r="J10" s="313"/>
      <c r="K10" s="188">
        <f>ROUND(G10/8*J10,2)</f>
        <v>0</v>
      </c>
      <c r="L10" s="313"/>
      <c r="M10" s="188">
        <f>ROUND(G10/8/60*L10,2)</f>
        <v>0</v>
      </c>
      <c r="N10" s="188">
        <f>I10+K10+M10</f>
        <v>0</v>
      </c>
    </row>
    <row r="11" spans="2:14" x14ac:dyDescent="0.25">
      <c r="B11" s="34">
        <f t="shared" si="0"/>
        <v>4</v>
      </c>
      <c r="C11" s="184"/>
      <c r="D11" s="185"/>
      <c r="E11" s="309"/>
      <c r="F11" s="331"/>
      <c r="G11" s="189">
        <f>'CIT - PAY'!I24/31</f>
        <v>0</v>
      </c>
      <c r="H11" s="314"/>
      <c r="I11" s="189">
        <f>ROUND(G11*H11,2)</f>
        <v>0</v>
      </c>
      <c r="J11" s="314"/>
      <c r="K11" s="189">
        <f>ROUND(G11/8*J11,2)</f>
        <v>0</v>
      </c>
      <c r="L11" s="314"/>
      <c r="M11" s="189">
        <f>ROUND(G11/8/60*L11,2)</f>
        <v>0</v>
      </c>
      <c r="N11" s="189">
        <f>I11+K11+M11</f>
        <v>0</v>
      </c>
    </row>
    <row r="12" spans="2:14" x14ac:dyDescent="0.25">
      <c r="B12" s="34">
        <f t="shared" si="0"/>
        <v>5</v>
      </c>
      <c r="C12" s="184"/>
      <c r="D12" s="185"/>
      <c r="E12" s="308"/>
      <c r="F12" s="225"/>
      <c r="G12" s="189">
        <f>'CIT - PAY'!I25/31</f>
        <v>0</v>
      </c>
      <c r="H12" s="313"/>
      <c r="I12" s="188">
        <f>ROUND(G12*H12,2)</f>
        <v>0</v>
      </c>
      <c r="J12" s="313"/>
      <c r="K12" s="188">
        <f>ROUND(G12/8*J12,2)</f>
        <v>0</v>
      </c>
      <c r="L12" s="313"/>
      <c r="M12" s="188">
        <f>ROUND(G12/8/60*L12,2)</f>
        <v>0</v>
      </c>
      <c r="N12" s="188">
        <f>I12+K12+M12</f>
        <v>0</v>
      </c>
    </row>
    <row r="13" spans="2:14" x14ac:dyDescent="0.25">
      <c r="B13" s="34">
        <f t="shared" si="0"/>
        <v>6</v>
      </c>
      <c r="C13" s="184"/>
      <c r="D13" s="185"/>
      <c r="E13" s="309"/>
      <c r="F13" s="331"/>
      <c r="G13" s="189">
        <f>'CIT - PAY'!I26/31</f>
        <v>0</v>
      </c>
      <c r="H13" s="313"/>
      <c r="I13" s="188">
        <f t="shared" ref="I13:I38" si="1">ROUND(G13*H13,2)</f>
        <v>0</v>
      </c>
      <c r="J13" s="313"/>
      <c r="K13" s="188">
        <f t="shared" ref="K13:K38" si="2">ROUND(G13/8*J13,2)</f>
        <v>0</v>
      </c>
      <c r="L13" s="313"/>
      <c r="M13" s="188">
        <f t="shared" ref="M13:M38" si="3">ROUND(G13/8/60*L13,2)</f>
        <v>0</v>
      </c>
      <c r="N13" s="188">
        <f t="shared" ref="N13:N38" si="4">I13+K13+M13</f>
        <v>0</v>
      </c>
    </row>
    <row r="14" spans="2:14" x14ac:dyDescent="0.25">
      <c r="B14" s="34">
        <f t="shared" si="0"/>
        <v>7</v>
      </c>
      <c r="C14" s="184"/>
      <c r="D14" s="185"/>
      <c r="E14" s="309"/>
      <c r="F14" s="331"/>
      <c r="G14" s="189">
        <f>'CIT - PAY'!I27/31</f>
        <v>0</v>
      </c>
      <c r="H14" s="313"/>
      <c r="I14" s="188">
        <f t="shared" si="1"/>
        <v>0</v>
      </c>
      <c r="J14" s="313"/>
      <c r="K14" s="188">
        <f t="shared" si="2"/>
        <v>0</v>
      </c>
      <c r="L14" s="313"/>
      <c r="M14" s="188">
        <f t="shared" si="3"/>
        <v>0</v>
      </c>
      <c r="N14" s="188">
        <f t="shared" si="4"/>
        <v>0</v>
      </c>
    </row>
    <row r="15" spans="2:14" x14ac:dyDescent="0.25">
      <c r="B15" s="34">
        <f t="shared" si="0"/>
        <v>8</v>
      </c>
      <c r="C15" s="184"/>
      <c r="D15" s="185"/>
      <c r="E15" s="309"/>
      <c r="F15" s="331"/>
      <c r="G15" s="189">
        <f>'CIT - PAY'!I28/31</f>
        <v>0</v>
      </c>
      <c r="H15" s="313"/>
      <c r="I15" s="188">
        <f t="shared" si="1"/>
        <v>0</v>
      </c>
      <c r="J15" s="313"/>
      <c r="K15" s="188">
        <f t="shared" si="2"/>
        <v>0</v>
      </c>
      <c r="L15" s="313"/>
      <c r="M15" s="188">
        <f t="shared" si="3"/>
        <v>0</v>
      </c>
      <c r="N15" s="188">
        <f t="shared" si="4"/>
        <v>0</v>
      </c>
    </row>
    <row r="16" spans="2:14" x14ac:dyDescent="0.25">
      <c r="B16" s="34">
        <f t="shared" si="0"/>
        <v>9</v>
      </c>
      <c r="C16" s="184"/>
      <c r="D16" s="185"/>
      <c r="E16" s="309"/>
      <c r="F16" s="331"/>
      <c r="G16" s="189">
        <f>'CIT - PAY'!I29/31</f>
        <v>0</v>
      </c>
      <c r="H16" s="313"/>
      <c r="I16" s="188">
        <f t="shared" si="1"/>
        <v>0</v>
      </c>
      <c r="J16" s="313"/>
      <c r="K16" s="188">
        <f t="shared" si="2"/>
        <v>0</v>
      </c>
      <c r="L16" s="313"/>
      <c r="M16" s="188">
        <f t="shared" si="3"/>
        <v>0</v>
      </c>
      <c r="N16" s="188">
        <f t="shared" si="4"/>
        <v>0</v>
      </c>
    </row>
    <row r="17" spans="2:14" x14ac:dyDescent="0.25">
      <c r="B17" s="34">
        <f t="shared" si="0"/>
        <v>10</v>
      </c>
      <c r="C17" s="186"/>
      <c r="D17" s="185"/>
      <c r="E17" s="308"/>
      <c r="F17" s="225"/>
      <c r="G17" s="189">
        <f>'CIT - PAY'!I30/31</f>
        <v>0</v>
      </c>
      <c r="H17" s="313"/>
      <c r="I17" s="188">
        <f t="shared" si="1"/>
        <v>0</v>
      </c>
      <c r="J17" s="313"/>
      <c r="K17" s="188">
        <f t="shared" si="2"/>
        <v>0</v>
      </c>
      <c r="L17" s="313"/>
      <c r="M17" s="188">
        <f t="shared" si="3"/>
        <v>0</v>
      </c>
      <c r="N17" s="188">
        <f t="shared" si="4"/>
        <v>0</v>
      </c>
    </row>
    <row r="18" spans="2:14" x14ac:dyDescent="0.25">
      <c r="B18" s="34">
        <f t="shared" si="0"/>
        <v>11</v>
      </c>
      <c r="C18" s="186"/>
      <c r="D18" s="185"/>
      <c r="E18" s="309"/>
      <c r="F18" s="331"/>
      <c r="G18" s="189">
        <f>'CIT - PAY'!I31/31</f>
        <v>0</v>
      </c>
      <c r="H18" s="313"/>
      <c r="I18" s="188">
        <f t="shared" si="1"/>
        <v>0</v>
      </c>
      <c r="J18" s="313"/>
      <c r="K18" s="188">
        <f t="shared" si="2"/>
        <v>0</v>
      </c>
      <c r="L18" s="313"/>
      <c r="M18" s="188">
        <f t="shared" si="3"/>
        <v>0</v>
      </c>
      <c r="N18" s="188">
        <f t="shared" si="4"/>
        <v>0</v>
      </c>
    </row>
    <row r="19" spans="2:14" x14ac:dyDescent="0.25">
      <c r="B19" s="34">
        <f t="shared" si="0"/>
        <v>12</v>
      </c>
      <c r="C19" s="186"/>
      <c r="D19" s="185"/>
      <c r="E19" s="309"/>
      <c r="F19" s="331"/>
      <c r="G19" s="189">
        <f>'CIT - PAY'!I32/31</f>
        <v>0</v>
      </c>
      <c r="H19" s="313"/>
      <c r="I19" s="188">
        <f t="shared" si="1"/>
        <v>0</v>
      </c>
      <c r="J19" s="313"/>
      <c r="K19" s="188">
        <f t="shared" si="2"/>
        <v>0</v>
      </c>
      <c r="L19" s="313"/>
      <c r="M19" s="188">
        <f t="shared" si="3"/>
        <v>0</v>
      </c>
      <c r="N19" s="188">
        <f t="shared" si="4"/>
        <v>0</v>
      </c>
    </row>
    <row r="20" spans="2:14" x14ac:dyDescent="0.25">
      <c r="B20" s="34">
        <f t="shared" si="0"/>
        <v>13</v>
      </c>
      <c r="C20" s="186"/>
      <c r="D20" s="185"/>
      <c r="E20" s="309"/>
      <c r="F20" s="331"/>
      <c r="G20" s="189">
        <f>'CIT - PAY'!I33/31</f>
        <v>0</v>
      </c>
      <c r="H20" s="313"/>
      <c r="I20" s="188">
        <f t="shared" si="1"/>
        <v>0</v>
      </c>
      <c r="J20" s="313"/>
      <c r="K20" s="188">
        <f t="shared" si="2"/>
        <v>0</v>
      </c>
      <c r="L20" s="313"/>
      <c r="M20" s="188">
        <f t="shared" si="3"/>
        <v>0</v>
      </c>
      <c r="N20" s="188">
        <f t="shared" si="4"/>
        <v>0</v>
      </c>
    </row>
    <row r="21" spans="2:14" x14ac:dyDescent="0.25">
      <c r="B21" s="34">
        <f t="shared" si="0"/>
        <v>14</v>
      </c>
      <c r="C21" s="186"/>
      <c r="D21" s="185"/>
      <c r="E21" s="308"/>
      <c r="F21" s="225"/>
      <c r="G21" s="189">
        <f>'CIT - PAY'!I34/31</f>
        <v>0</v>
      </c>
      <c r="H21" s="313"/>
      <c r="I21" s="188">
        <f t="shared" si="1"/>
        <v>0</v>
      </c>
      <c r="J21" s="313"/>
      <c r="K21" s="188">
        <f t="shared" si="2"/>
        <v>0</v>
      </c>
      <c r="L21" s="313"/>
      <c r="M21" s="188">
        <f t="shared" si="3"/>
        <v>0</v>
      </c>
      <c r="N21" s="188">
        <f t="shared" si="4"/>
        <v>0</v>
      </c>
    </row>
    <row r="22" spans="2:14" x14ac:dyDescent="0.25">
      <c r="B22" s="34">
        <f t="shared" si="0"/>
        <v>15</v>
      </c>
      <c r="C22" s="186"/>
      <c r="D22" s="305"/>
      <c r="E22" s="309"/>
      <c r="F22" s="331"/>
      <c r="G22" s="189">
        <f>'CIT - PAY'!I35/31</f>
        <v>0</v>
      </c>
      <c r="H22" s="313"/>
      <c r="I22" s="188">
        <f t="shared" si="1"/>
        <v>0</v>
      </c>
      <c r="J22" s="313"/>
      <c r="K22" s="188">
        <f t="shared" si="2"/>
        <v>0</v>
      </c>
      <c r="L22" s="313"/>
      <c r="M22" s="188">
        <f t="shared" si="3"/>
        <v>0</v>
      </c>
      <c r="N22" s="188">
        <f t="shared" si="4"/>
        <v>0</v>
      </c>
    </row>
    <row r="23" spans="2:14" x14ac:dyDescent="0.25">
      <c r="B23" s="34">
        <f t="shared" si="0"/>
        <v>16</v>
      </c>
      <c r="C23" s="186"/>
      <c r="D23" s="305"/>
      <c r="E23" s="309"/>
      <c r="F23" s="331"/>
      <c r="G23" s="189">
        <f>'CIT - PAY'!I36/31</f>
        <v>0</v>
      </c>
      <c r="H23" s="313"/>
      <c r="I23" s="188">
        <f t="shared" si="1"/>
        <v>0</v>
      </c>
      <c r="J23" s="313"/>
      <c r="K23" s="188">
        <f t="shared" si="2"/>
        <v>0</v>
      </c>
      <c r="L23" s="313"/>
      <c r="M23" s="188">
        <f t="shared" si="3"/>
        <v>0</v>
      </c>
      <c r="N23" s="188">
        <f t="shared" si="4"/>
        <v>0</v>
      </c>
    </row>
    <row r="24" spans="2:14" x14ac:dyDescent="0.25">
      <c r="B24" s="34">
        <f t="shared" si="0"/>
        <v>17</v>
      </c>
      <c r="C24" s="186"/>
      <c r="D24" s="305"/>
      <c r="E24" s="309"/>
      <c r="F24" s="331"/>
      <c r="G24" s="189">
        <f>'CIT - PAY'!I37/31</f>
        <v>0</v>
      </c>
      <c r="H24" s="313"/>
      <c r="I24" s="188">
        <f t="shared" si="1"/>
        <v>0</v>
      </c>
      <c r="J24" s="313"/>
      <c r="K24" s="188">
        <f t="shared" si="2"/>
        <v>0</v>
      </c>
      <c r="L24" s="313"/>
      <c r="M24" s="188">
        <f t="shared" si="3"/>
        <v>0</v>
      </c>
      <c r="N24" s="188">
        <f t="shared" si="4"/>
        <v>0</v>
      </c>
    </row>
    <row r="25" spans="2:14" x14ac:dyDescent="0.25">
      <c r="B25" s="34">
        <f t="shared" si="0"/>
        <v>18</v>
      </c>
      <c r="C25" s="186"/>
      <c r="D25" s="185"/>
      <c r="E25" s="308"/>
      <c r="F25" s="225"/>
      <c r="G25" s="189">
        <f>'CIT - PAY'!I38/31</f>
        <v>0</v>
      </c>
      <c r="H25" s="313"/>
      <c r="I25" s="188">
        <f t="shared" si="1"/>
        <v>0</v>
      </c>
      <c r="J25" s="313"/>
      <c r="K25" s="188">
        <f t="shared" si="2"/>
        <v>0</v>
      </c>
      <c r="L25" s="313"/>
      <c r="M25" s="188">
        <f t="shared" si="3"/>
        <v>0</v>
      </c>
      <c r="N25" s="188">
        <f t="shared" si="4"/>
        <v>0</v>
      </c>
    </row>
    <row r="26" spans="2:14" x14ac:dyDescent="0.25">
      <c r="B26" s="34">
        <f t="shared" si="0"/>
        <v>19</v>
      </c>
      <c r="C26" s="186"/>
      <c r="D26" s="305"/>
      <c r="E26" s="309"/>
      <c r="F26" s="331"/>
      <c r="G26" s="189">
        <f>'CIT - PAY'!I39/31</f>
        <v>0</v>
      </c>
      <c r="H26" s="313"/>
      <c r="I26" s="188">
        <f t="shared" si="1"/>
        <v>0</v>
      </c>
      <c r="J26" s="313"/>
      <c r="K26" s="188">
        <f t="shared" si="2"/>
        <v>0</v>
      </c>
      <c r="L26" s="313"/>
      <c r="M26" s="188">
        <f t="shared" si="3"/>
        <v>0</v>
      </c>
      <c r="N26" s="188">
        <f t="shared" si="4"/>
        <v>0</v>
      </c>
    </row>
    <row r="27" spans="2:14" x14ac:dyDescent="0.25">
      <c r="B27" s="34">
        <f t="shared" si="0"/>
        <v>20</v>
      </c>
      <c r="C27" s="186"/>
      <c r="D27" s="185"/>
      <c r="E27" s="309"/>
      <c r="F27" s="331"/>
      <c r="G27" s="189">
        <f>'CIT - PAY'!I40/31</f>
        <v>0</v>
      </c>
      <c r="H27" s="313"/>
      <c r="I27" s="188">
        <f t="shared" si="1"/>
        <v>0</v>
      </c>
      <c r="J27" s="313"/>
      <c r="K27" s="188">
        <f t="shared" si="2"/>
        <v>0</v>
      </c>
      <c r="L27" s="313"/>
      <c r="M27" s="188">
        <f t="shared" si="3"/>
        <v>0</v>
      </c>
      <c r="N27" s="188">
        <f t="shared" si="4"/>
        <v>0</v>
      </c>
    </row>
    <row r="28" spans="2:14" x14ac:dyDescent="0.25">
      <c r="B28" s="34">
        <f t="shared" si="0"/>
        <v>21</v>
      </c>
      <c r="C28" s="186"/>
      <c r="D28" s="185"/>
      <c r="E28" s="309"/>
      <c r="F28" s="331"/>
      <c r="G28" s="189">
        <f>'CIT - PAY'!I41/31</f>
        <v>0</v>
      </c>
      <c r="H28" s="313"/>
      <c r="I28" s="188">
        <f t="shared" si="1"/>
        <v>0</v>
      </c>
      <c r="J28" s="313"/>
      <c r="K28" s="188">
        <f t="shared" si="2"/>
        <v>0</v>
      </c>
      <c r="L28" s="313"/>
      <c r="M28" s="188">
        <f t="shared" si="3"/>
        <v>0</v>
      </c>
      <c r="N28" s="188">
        <f t="shared" si="4"/>
        <v>0</v>
      </c>
    </row>
    <row r="29" spans="2:14" x14ac:dyDescent="0.25">
      <c r="B29" s="34">
        <f t="shared" si="0"/>
        <v>22</v>
      </c>
      <c r="C29" s="186"/>
      <c r="D29" s="305"/>
      <c r="E29" s="309"/>
      <c r="F29" s="225"/>
      <c r="G29" s="189">
        <f>'CIT - PAY'!I42/31</f>
        <v>0</v>
      </c>
      <c r="H29" s="313"/>
      <c r="I29" s="188">
        <f t="shared" si="1"/>
        <v>0</v>
      </c>
      <c r="J29" s="313"/>
      <c r="K29" s="188">
        <f t="shared" si="2"/>
        <v>0</v>
      </c>
      <c r="L29" s="313"/>
      <c r="M29" s="188">
        <f t="shared" si="3"/>
        <v>0</v>
      </c>
      <c r="N29" s="188">
        <f t="shared" si="4"/>
        <v>0</v>
      </c>
    </row>
    <row r="30" spans="2:14" x14ac:dyDescent="0.25">
      <c r="B30" s="34">
        <f t="shared" si="0"/>
        <v>23</v>
      </c>
      <c r="C30" s="186"/>
      <c r="D30" s="305"/>
      <c r="E30" s="309"/>
      <c r="F30" s="331"/>
      <c r="G30" s="189">
        <f>'CIT - PAY'!I43/31</f>
        <v>0</v>
      </c>
      <c r="H30" s="313"/>
      <c r="I30" s="188">
        <f t="shared" si="1"/>
        <v>0</v>
      </c>
      <c r="J30" s="313"/>
      <c r="K30" s="188">
        <f t="shared" si="2"/>
        <v>0</v>
      </c>
      <c r="L30" s="313"/>
      <c r="M30" s="188">
        <f t="shared" si="3"/>
        <v>0</v>
      </c>
      <c r="N30" s="188">
        <f t="shared" si="4"/>
        <v>0</v>
      </c>
    </row>
    <row r="31" spans="2:14" x14ac:dyDescent="0.25">
      <c r="B31" s="34">
        <f t="shared" si="0"/>
        <v>24</v>
      </c>
      <c r="C31" s="186"/>
      <c r="D31" s="305"/>
      <c r="E31" s="309"/>
      <c r="F31" s="331"/>
      <c r="G31" s="189">
        <f>'CIT - PAY'!I44/31</f>
        <v>0</v>
      </c>
      <c r="H31" s="313"/>
      <c r="I31" s="188">
        <f t="shared" si="1"/>
        <v>0</v>
      </c>
      <c r="J31" s="313"/>
      <c r="K31" s="188">
        <f t="shared" si="2"/>
        <v>0</v>
      </c>
      <c r="L31" s="313"/>
      <c r="M31" s="188">
        <f t="shared" si="3"/>
        <v>0</v>
      </c>
      <c r="N31" s="188">
        <f t="shared" si="4"/>
        <v>0</v>
      </c>
    </row>
    <row r="32" spans="2:14" x14ac:dyDescent="0.25">
      <c r="B32" s="34">
        <f t="shared" si="0"/>
        <v>25</v>
      </c>
      <c r="C32" s="186"/>
      <c r="D32" s="305"/>
      <c r="E32" s="309"/>
      <c r="F32" s="225"/>
      <c r="G32" s="189">
        <f>'CIT - PAY'!I45/31</f>
        <v>0</v>
      </c>
      <c r="H32" s="313"/>
      <c r="I32" s="188">
        <f t="shared" si="1"/>
        <v>0</v>
      </c>
      <c r="J32" s="313"/>
      <c r="K32" s="188">
        <f t="shared" si="2"/>
        <v>0</v>
      </c>
      <c r="L32" s="313"/>
      <c r="M32" s="188">
        <f t="shared" si="3"/>
        <v>0</v>
      </c>
      <c r="N32" s="188">
        <f t="shared" si="4"/>
        <v>0</v>
      </c>
    </row>
    <row r="33" spans="2:14" x14ac:dyDescent="0.25">
      <c r="B33" s="34">
        <f t="shared" si="0"/>
        <v>26</v>
      </c>
      <c r="C33" s="186"/>
      <c r="D33" s="305"/>
      <c r="E33" s="309"/>
      <c r="F33" s="331"/>
      <c r="G33" s="189">
        <f>'CIT - PAY'!I46/31</f>
        <v>0</v>
      </c>
      <c r="H33" s="313"/>
      <c r="I33" s="188">
        <f t="shared" si="1"/>
        <v>0</v>
      </c>
      <c r="J33" s="313"/>
      <c r="K33" s="188">
        <f t="shared" si="2"/>
        <v>0</v>
      </c>
      <c r="L33" s="313"/>
      <c r="M33" s="188">
        <f t="shared" si="3"/>
        <v>0</v>
      </c>
      <c r="N33" s="188">
        <f t="shared" si="4"/>
        <v>0</v>
      </c>
    </row>
    <row r="34" spans="2:14" x14ac:dyDescent="0.25">
      <c r="B34" s="34">
        <f t="shared" si="0"/>
        <v>27</v>
      </c>
      <c r="C34" s="186"/>
      <c r="D34" s="185"/>
      <c r="E34" s="309"/>
      <c r="F34" s="331"/>
      <c r="G34" s="189">
        <f>'CIT - PAY'!I47/31</f>
        <v>0</v>
      </c>
      <c r="H34" s="313"/>
      <c r="I34" s="188">
        <f t="shared" si="1"/>
        <v>0</v>
      </c>
      <c r="J34" s="313"/>
      <c r="K34" s="188">
        <f t="shared" si="2"/>
        <v>0</v>
      </c>
      <c r="L34" s="313"/>
      <c r="M34" s="188">
        <f t="shared" si="3"/>
        <v>0</v>
      </c>
      <c r="N34" s="188">
        <f t="shared" si="4"/>
        <v>0</v>
      </c>
    </row>
    <row r="35" spans="2:14" x14ac:dyDescent="0.25">
      <c r="B35" s="34">
        <f t="shared" si="0"/>
        <v>28</v>
      </c>
      <c r="C35" s="186"/>
      <c r="D35" s="305"/>
      <c r="E35" s="309"/>
      <c r="F35" s="331"/>
      <c r="G35" s="189">
        <f>'CIT - PAY'!I48/31</f>
        <v>0</v>
      </c>
      <c r="H35" s="313"/>
      <c r="I35" s="188">
        <f t="shared" si="1"/>
        <v>0</v>
      </c>
      <c r="J35" s="313"/>
      <c r="K35" s="188">
        <f t="shared" si="2"/>
        <v>0</v>
      </c>
      <c r="L35" s="313"/>
      <c r="M35" s="188">
        <f t="shared" si="3"/>
        <v>0</v>
      </c>
      <c r="N35" s="188">
        <f t="shared" si="4"/>
        <v>0</v>
      </c>
    </row>
    <row r="36" spans="2:14" x14ac:dyDescent="0.25">
      <c r="B36" s="34">
        <f t="shared" si="0"/>
        <v>29</v>
      </c>
      <c r="C36" s="186"/>
      <c r="D36" s="185"/>
      <c r="E36" s="308"/>
      <c r="F36" s="225"/>
      <c r="G36" s="189">
        <f>'CIT - PAY'!I49/31</f>
        <v>0</v>
      </c>
      <c r="H36" s="313"/>
      <c r="I36" s="188">
        <f t="shared" si="1"/>
        <v>0</v>
      </c>
      <c r="J36" s="313"/>
      <c r="K36" s="188">
        <f t="shared" si="2"/>
        <v>0</v>
      </c>
      <c r="L36" s="313"/>
      <c r="M36" s="188">
        <f t="shared" si="3"/>
        <v>0</v>
      </c>
      <c r="N36" s="188">
        <f t="shared" si="4"/>
        <v>0</v>
      </c>
    </row>
    <row r="37" spans="2:14" x14ac:dyDescent="0.25">
      <c r="B37" s="34">
        <f t="shared" si="0"/>
        <v>30</v>
      </c>
      <c r="C37" s="186"/>
      <c r="D37" s="305"/>
      <c r="E37" s="309"/>
      <c r="F37" s="331"/>
      <c r="G37" s="189">
        <f>'CIT - PAY'!I50/31</f>
        <v>0</v>
      </c>
      <c r="H37" s="313"/>
      <c r="I37" s="188">
        <f t="shared" si="1"/>
        <v>0</v>
      </c>
      <c r="J37" s="313"/>
      <c r="K37" s="188">
        <f t="shared" si="2"/>
        <v>0</v>
      </c>
      <c r="L37" s="313"/>
      <c r="M37" s="188">
        <f t="shared" si="3"/>
        <v>0</v>
      </c>
      <c r="N37" s="188">
        <f t="shared" si="4"/>
        <v>0</v>
      </c>
    </row>
    <row r="38" spans="2:14" x14ac:dyDescent="0.25">
      <c r="B38" s="34">
        <f t="shared" si="0"/>
        <v>31</v>
      </c>
      <c r="C38" s="186"/>
      <c r="D38" s="305"/>
      <c r="E38" s="309"/>
      <c r="F38" s="331"/>
      <c r="G38" s="189">
        <f>'CIT - PAY'!I51/31</f>
        <v>0</v>
      </c>
      <c r="H38" s="313"/>
      <c r="I38" s="188">
        <f t="shared" si="1"/>
        <v>0</v>
      </c>
      <c r="J38" s="313"/>
      <c r="K38" s="188">
        <f t="shared" si="2"/>
        <v>0</v>
      </c>
      <c r="L38" s="313"/>
      <c r="M38" s="188">
        <f t="shared" si="3"/>
        <v>0</v>
      </c>
      <c r="N38" s="188">
        <f t="shared" si="4"/>
        <v>0</v>
      </c>
    </row>
    <row r="39" spans="2:14" x14ac:dyDescent="0.25">
      <c r="B39" s="34">
        <f t="shared" si="0"/>
        <v>32</v>
      </c>
      <c r="C39" s="186"/>
      <c r="D39" s="305"/>
      <c r="E39" s="309"/>
      <c r="F39" s="331"/>
      <c r="G39" s="189">
        <f>'CIT - PAY'!I52/31</f>
        <v>0</v>
      </c>
      <c r="H39" s="313"/>
      <c r="I39" s="188">
        <f>ROUND(G39*H39,2)</f>
        <v>0</v>
      </c>
      <c r="J39" s="313"/>
      <c r="K39" s="188">
        <f>ROUND(G39/8*J39,2)</f>
        <v>0</v>
      </c>
      <c r="L39" s="313"/>
      <c r="M39" s="188">
        <f>ROUND(G39/8/60*L39,2)</f>
        <v>0</v>
      </c>
      <c r="N39" s="188">
        <f>I39+K39+M39</f>
        <v>0</v>
      </c>
    </row>
    <row r="40" spans="2:14" x14ac:dyDescent="0.25">
      <c r="B40" s="34">
        <f t="shared" si="0"/>
        <v>33</v>
      </c>
      <c r="C40" s="186"/>
      <c r="D40" s="305"/>
      <c r="E40" s="309"/>
      <c r="F40" s="331"/>
      <c r="G40" s="189">
        <f>'CIT - PAY'!I53/31</f>
        <v>0</v>
      </c>
      <c r="H40" s="313"/>
      <c r="I40" s="188">
        <f>ROUND(G40*H40,2)</f>
        <v>0</v>
      </c>
      <c r="J40" s="313"/>
      <c r="K40" s="188">
        <f>ROUND(G40/8*J40,2)</f>
        <v>0</v>
      </c>
      <c r="L40" s="313"/>
      <c r="M40" s="188">
        <f>ROUND(G40/8/60*L40,2)</f>
        <v>0</v>
      </c>
      <c r="N40" s="188">
        <f>I40+K40+M40</f>
        <v>0</v>
      </c>
    </row>
    <row r="41" spans="2:14" x14ac:dyDescent="0.25">
      <c r="B41" s="34">
        <f t="shared" si="0"/>
        <v>34</v>
      </c>
      <c r="C41" s="186"/>
      <c r="D41" s="305"/>
      <c r="E41" s="309"/>
      <c r="F41" s="225"/>
      <c r="G41" s="189">
        <f>'CIT - PAY'!I54/31</f>
        <v>0</v>
      </c>
      <c r="H41" s="313"/>
      <c r="I41" s="188">
        <f>ROUND(G41*H41,2)</f>
        <v>0</v>
      </c>
      <c r="J41" s="313"/>
      <c r="K41" s="188">
        <f>ROUND(G41/8*J41,2)</f>
        <v>0</v>
      </c>
      <c r="L41" s="313"/>
      <c r="M41" s="188">
        <f>ROUND(G41/8/60*L41,2)</f>
        <v>0</v>
      </c>
      <c r="N41" s="188">
        <f>I41+K41+M41</f>
        <v>0</v>
      </c>
    </row>
    <row r="42" spans="2:14" x14ac:dyDescent="0.25">
      <c r="B42" s="34">
        <f t="shared" si="0"/>
        <v>35</v>
      </c>
      <c r="C42" s="186"/>
      <c r="D42" s="305"/>
      <c r="E42" s="309"/>
      <c r="F42" s="331"/>
      <c r="G42" s="189">
        <f>'CIT - PAY'!I55/31</f>
        <v>0</v>
      </c>
      <c r="H42" s="313"/>
      <c r="I42" s="188">
        <f t="shared" ref="I42:I69" si="5">ROUND(G42*H42,2)</f>
        <v>0</v>
      </c>
      <c r="J42" s="313"/>
      <c r="K42" s="188">
        <f t="shared" ref="K42:K69" si="6">ROUND(G42/8*J42,2)</f>
        <v>0</v>
      </c>
      <c r="L42" s="313"/>
      <c r="M42" s="188">
        <f t="shared" ref="M42:M69" si="7">ROUND(G42/8/60*L42,2)</f>
        <v>0</v>
      </c>
      <c r="N42" s="188">
        <f t="shared" ref="N42:N69" si="8">I42+K42+M42</f>
        <v>0</v>
      </c>
    </row>
    <row r="43" spans="2:14" x14ac:dyDescent="0.25">
      <c r="B43" s="34">
        <f t="shared" si="0"/>
        <v>36</v>
      </c>
      <c r="C43" s="186"/>
      <c r="D43" s="305"/>
      <c r="E43" s="309"/>
      <c r="F43" s="331"/>
      <c r="G43" s="189">
        <f>'CIT - PAY'!I56/31</f>
        <v>0</v>
      </c>
      <c r="H43" s="313"/>
      <c r="I43" s="188">
        <f t="shared" si="5"/>
        <v>0</v>
      </c>
      <c r="J43" s="313"/>
      <c r="K43" s="188">
        <f t="shared" si="6"/>
        <v>0</v>
      </c>
      <c r="L43" s="313"/>
      <c r="M43" s="188">
        <f t="shared" si="7"/>
        <v>0</v>
      </c>
      <c r="N43" s="188">
        <f t="shared" si="8"/>
        <v>0</v>
      </c>
    </row>
    <row r="44" spans="2:14" x14ac:dyDescent="0.25">
      <c r="B44" s="34">
        <f t="shared" si="0"/>
        <v>37</v>
      </c>
      <c r="C44" s="186"/>
      <c r="D44" s="305"/>
      <c r="E44" s="309"/>
      <c r="F44" s="331"/>
      <c r="G44" s="189">
        <f>'CIT - PAY'!I57/31</f>
        <v>0</v>
      </c>
      <c r="H44" s="313"/>
      <c r="I44" s="188">
        <f t="shared" si="5"/>
        <v>0</v>
      </c>
      <c r="J44" s="313"/>
      <c r="K44" s="188">
        <f t="shared" si="6"/>
        <v>0</v>
      </c>
      <c r="L44" s="313"/>
      <c r="M44" s="188">
        <f t="shared" si="7"/>
        <v>0</v>
      </c>
      <c r="N44" s="188">
        <f t="shared" si="8"/>
        <v>0</v>
      </c>
    </row>
    <row r="45" spans="2:14" x14ac:dyDescent="0.25">
      <c r="B45" s="34">
        <f t="shared" si="0"/>
        <v>38</v>
      </c>
      <c r="C45" s="184"/>
      <c r="D45" s="185"/>
      <c r="E45" s="309"/>
      <c r="F45" s="331"/>
      <c r="G45" s="189">
        <f>'CIT - PAY'!I58/31</f>
        <v>0</v>
      </c>
      <c r="H45" s="313"/>
      <c r="I45" s="188">
        <f t="shared" si="5"/>
        <v>0</v>
      </c>
      <c r="J45" s="313"/>
      <c r="K45" s="188">
        <f t="shared" si="6"/>
        <v>0</v>
      </c>
      <c r="L45" s="313"/>
      <c r="M45" s="188">
        <f t="shared" si="7"/>
        <v>0</v>
      </c>
      <c r="N45" s="188">
        <f t="shared" si="8"/>
        <v>0</v>
      </c>
    </row>
    <row r="46" spans="2:14" x14ac:dyDescent="0.25">
      <c r="B46" s="34">
        <f t="shared" si="0"/>
        <v>39</v>
      </c>
      <c r="C46" s="186"/>
      <c r="D46" s="305"/>
      <c r="E46" s="309"/>
      <c r="F46" s="331"/>
      <c r="G46" s="189">
        <f>'CIT - PAY'!I59/31</f>
        <v>0</v>
      </c>
      <c r="H46" s="313"/>
      <c r="I46" s="188">
        <f t="shared" si="5"/>
        <v>0</v>
      </c>
      <c r="J46" s="313"/>
      <c r="K46" s="188">
        <f t="shared" si="6"/>
        <v>0</v>
      </c>
      <c r="L46" s="313"/>
      <c r="M46" s="188">
        <f t="shared" si="7"/>
        <v>0</v>
      </c>
      <c r="N46" s="188">
        <f t="shared" si="8"/>
        <v>0</v>
      </c>
    </row>
    <row r="47" spans="2:14" x14ac:dyDescent="0.25">
      <c r="B47" s="34">
        <f t="shared" si="0"/>
        <v>40</v>
      </c>
      <c r="C47" s="184"/>
      <c r="D47" s="305"/>
      <c r="E47" s="309"/>
      <c r="F47" s="225"/>
      <c r="G47" s="189">
        <f>'CIT - PAY'!I60/31</f>
        <v>0</v>
      </c>
      <c r="H47" s="313"/>
      <c r="I47" s="188">
        <f t="shared" si="5"/>
        <v>0</v>
      </c>
      <c r="J47" s="313"/>
      <c r="K47" s="188">
        <f t="shared" si="6"/>
        <v>0</v>
      </c>
      <c r="L47" s="313"/>
      <c r="M47" s="188">
        <f t="shared" si="7"/>
        <v>0</v>
      </c>
      <c r="N47" s="188">
        <f t="shared" si="8"/>
        <v>0</v>
      </c>
    </row>
    <row r="48" spans="2:14" x14ac:dyDescent="0.25">
      <c r="B48" s="34">
        <f t="shared" ref="B48:B68" si="9">+B26+1</f>
        <v>20</v>
      </c>
      <c r="C48" s="184"/>
      <c r="D48" s="185"/>
      <c r="E48" s="308"/>
      <c r="F48" s="225"/>
      <c r="G48" s="189">
        <f>'CIT - PAY'!I40/31</f>
        <v>0</v>
      </c>
      <c r="H48" s="313"/>
      <c r="I48" s="188">
        <f t="shared" ref="I48:I68" si="10">ROUND(G48*H48,2)</f>
        <v>0</v>
      </c>
      <c r="J48" s="313"/>
      <c r="K48" s="188">
        <f t="shared" ref="K48:K68" si="11">ROUND(G48/8*J48,2)</f>
        <v>0</v>
      </c>
      <c r="L48" s="313"/>
      <c r="M48" s="188">
        <f t="shared" ref="M48:M68" si="12">ROUND(G48/8/60*L48,2)</f>
        <v>0</v>
      </c>
      <c r="N48" s="188">
        <f t="shared" ref="N48:N68" si="13">I48+K48+M48</f>
        <v>0</v>
      </c>
    </row>
    <row r="49" spans="2:14" x14ac:dyDescent="0.25">
      <c r="B49" s="34">
        <f t="shared" si="9"/>
        <v>21</v>
      </c>
      <c r="C49" s="184"/>
      <c r="D49" s="185"/>
      <c r="E49" s="308"/>
      <c r="F49" s="225"/>
      <c r="G49" s="189">
        <f>'CIT - PAY'!I41/31</f>
        <v>0</v>
      </c>
      <c r="H49" s="313"/>
      <c r="I49" s="188">
        <f t="shared" si="10"/>
        <v>0</v>
      </c>
      <c r="J49" s="313"/>
      <c r="K49" s="188">
        <f t="shared" si="11"/>
        <v>0</v>
      </c>
      <c r="L49" s="313"/>
      <c r="M49" s="188">
        <f t="shared" si="12"/>
        <v>0</v>
      </c>
      <c r="N49" s="188">
        <f t="shared" si="13"/>
        <v>0</v>
      </c>
    </row>
    <row r="50" spans="2:14" x14ac:dyDescent="0.25">
      <c r="B50" s="34">
        <f t="shared" si="9"/>
        <v>22</v>
      </c>
      <c r="C50" s="184"/>
      <c r="D50" s="185"/>
      <c r="E50" s="308"/>
      <c r="F50" s="225"/>
      <c r="G50" s="189">
        <f>'CIT - PAY'!I42/31</f>
        <v>0</v>
      </c>
      <c r="H50" s="313"/>
      <c r="I50" s="188">
        <f t="shared" si="10"/>
        <v>0</v>
      </c>
      <c r="J50" s="313"/>
      <c r="K50" s="188">
        <f t="shared" si="11"/>
        <v>0</v>
      </c>
      <c r="L50" s="313"/>
      <c r="M50" s="188">
        <f t="shared" si="12"/>
        <v>0</v>
      </c>
      <c r="N50" s="188">
        <f t="shared" si="13"/>
        <v>0</v>
      </c>
    </row>
    <row r="51" spans="2:14" x14ac:dyDescent="0.25">
      <c r="B51" s="34">
        <f t="shared" si="9"/>
        <v>23</v>
      </c>
      <c r="C51" s="184"/>
      <c r="D51" s="185"/>
      <c r="E51" s="308"/>
      <c r="F51" s="225"/>
      <c r="G51" s="189">
        <f>'CIT - PAY'!I43/31</f>
        <v>0</v>
      </c>
      <c r="H51" s="313"/>
      <c r="I51" s="188">
        <f t="shared" si="10"/>
        <v>0</v>
      </c>
      <c r="J51" s="313"/>
      <c r="K51" s="188">
        <f t="shared" si="11"/>
        <v>0</v>
      </c>
      <c r="L51" s="313"/>
      <c r="M51" s="188">
        <f t="shared" si="12"/>
        <v>0</v>
      </c>
      <c r="N51" s="188">
        <f t="shared" si="13"/>
        <v>0</v>
      </c>
    </row>
    <row r="52" spans="2:14" x14ac:dyDescent="0.25">
      <c r="B52" s="34">
        <f t="shared" si="9"/>
        <v>24</v>
      </c>
      <c r="C52" s="184"/>
      <c r="D52" s="185"/>
      <c r="E52" s="308"/>
      <c r="F52" s="225"/>
      <c r="G52" s="189">
        <f>'CIT - PAY'!I44/31</f>
        <v>0</v>
      </c>
      <c r="H52" s="313"/>
      <c r="I52" s="188">
        <f t="shared" si="10"/>
        <v>0</v>
      </c>
      <c r="J52" s="313"/>
      <c r="K52" s="188">
        <f t="shared" si="11"/>
        <v>0</v>
      </c>
      <c r="L52" s="313"/>
      <c r="M52" s="188">
        <f t="shared" si="12"/>
        <v>0</v>
      </c>
      <c r="N52" s="188">
        <f t="shared" si="13"/>
        <v>0</v>
      </c>
    </row>
    <row r="53" spans="2:14" x14ac:dyDescent="0.25">
      <c r="B53" s="34">
        <f t="shared" si="9"/>
        <v>25</v>
      </c>
      <c r="C53" s="184"/>
      <c r="D53" s="185"/>
      <c r="E53" s="308"/>
      <c r="F53" s="225"/>
      <c r="G53" s="189">
        <f>'CIT - PAY'!I45/31</f>
        <v>0</v>
      </c>
      <c r="H53" s="313"/>
      <c r="I53" s="188">
        <f t="shared" si="10"/>
        <v>0</v>
      </c>
      <c r="J53" s="313"/>
      <c r="K53" s="188">
        <f t="shared" si="11"/>
        <v>0</v>
      </c>
      <c r="L53" s="313"/>
      <c r="M53" s="188">
        <f t="shared" si="12"/>
        <v>0</v>
      </c>
      <c r="N53" s="188">
        <f t="shared" si="13"/>
        <v>0</v>
      </c>
    </row>
    <row r="54" spans="2:14" x14ac:dyDescent="0.25">
      <c r="B54" s="34">
        <f t="shared" si="9"/>
        <v>26</v>
      </c>
      <c r="C54" s="184"/>
      <c r="D54" s="185"/>
      <c r="E54" s="308"/>
      <c r="F54" s="225"/>
      <c r="G54" s="189">
        <f>'CIT - PAY'!I46/31</f>
        <v>0</v>
      </c>
      <c r="H54" s="313"/>
      <c r="I54" s="188">
        <f t="shared" si="10"/>
        <v>0</v>
      </c>
      <c r="J54" s="313"/>
      <c r="K54" s="188">
        <f t="shared" si="11"/>
        <v>0</v>
      </c>
      <c r="L54" s="313"/>
      <c r="M54" s="188">
        <f t="shared" si="12"/>
        <v>0</v>
      </c>
      <c r="N54" s="188">
        <f t="shared" si="13"/>
        <v>0</v>
      </c>
    </row>
    <row r="55" spans="2:14" x14ac:dyDescent="0.25">
      <c r="B55" s="34">
        <f t="shared" si="9"/>
        <v>27</v>
      </c>
      <c r="C55" s="184"/>
      <c r="D55" s="185"/>
      <c r="E55" s="308"/>
      <c r="F55" s="225"/>
      <c r="G55" s="189">
        <f>'CIT - PAY'!I47/31</f>
        <v>0</v>
      </c>
      <c r="H55" s="313"/>
      <c r="I55" s="188">
        <f t="shared" si="10"/>
        <v>0</v>
      </c>
      <c r="J55" s="313"/>
      <c r="K55" s="188">
        <f t="shared" si="11"/>
        <v>0</v>
      </c>
      <c r="L55" s="313"/>
      <c r="M55" s="188">
        <f t="shared" si="12"/>
        <v>0</v>
      </c>
      <c r="N55" s="188">
        <f t="shared" si="13"/>
        <v>0</v>
      </c>
    </row>
    <row r="56" spans="2:14" x14ac:dyDescent="0.25">
      <c r="B56" s="34">
        <f t="shared" si="9"/>
        <v>28</v>
      </c>
      <c r="C56" s="184"/>
      <c r="D56" s="185"/>
      <c r="E56" s="308"/>
      <c r="F56" s="225"/>
      <c r="G56" s="189">
        <f>'CIT - PAY'!I48/31</f>
        <v>0</v>
      </c>
      <c r="H56" s="313"/>
      <c r="I56" s="188">
        <f t="shared" si="10"/>
        <v>0</v>
      </c>
      <c r="J56" s="313"/>
      <c r="K56" s="188">
        <f t="shared" si="11"/>
        <v>0</v>
      </c>
      <c r="L56" s="313"/>
      <c r="M56" s="188">
        <f t="shared" si="12"/>
        <v>0</v>
      </c>
      <c r="N56" s="188">
        <f t="shared" si="13"/>
        <v>0</v>
      </c>
    </row>
    <row r="57" spans="2:14" x14ac:dyDescent="0.25">
      <c r="B57" s="34">
        <f t="shared" si="9"/>
        <v>29</v>
      </c>
      <c r="C57" s="184"/>
      <c r="D57" s="185"/>
      <c r="E57" s="308"/>
      <c r="F57" s="225"/>
      <c r="G57" s="189">
        <f>'CIT - PAY'!I49/31</f>
        <v>0</v>
      </c>
      <c r="H57" s="313"/>
      <c r="I57" s="188">
        <f t="shared" si="10"/>
        <v>0</v>
      </c>
      <c r="J57" s="313"/>
      <c r="K57" s="188">
        <f t="shared" si="11"/>
        <v>0</v>
      </c>
      <c r="L57" s="313"/>
      <c r="M57" s="188">
        <f t="shared" si="12"/>
        <v>0</v>
      </c>
      <c r="N57" s="188">
        <f t="shared" si="13"/>
        <v>0</v>
      </c>
    </row>
    <row r="58" spans="2:14" x14ac:dyDescent="0.25">
      <c r="B58" s="34">
        <f t="shared" si="9"/>
        <v>30</v>
      </c>
      <c r="C58" s="184"/>
      <c r="D58" s="185"/>
      <c r="E58" s="308"/>
      <c r="F58" s="225"/>
      <c r="G58" s="189">
        <f>'CIT - PAY'!I50/31</f>
        <v>0</v>
      </c>
      <c r="H58" s="313"/>
      <c r="I58" s="188">
        <f t="shared" si="10"/>
        <v>0</v>
      </c>
      <c r="J58" s="313"/>
      <c r="K58" s="188">
        <f t="shared" si="11"/>
        <v>0</v>
      </c>
      <c r="L58" s="313"/>
      <c r="M58" s="188">
        <f t="shared" si="12"/>
        <v>0</v>
      </c>
      <c r="N58" s="188">
        <f t="shared" si="13"/>
        <v>0</v>
      </c>
    </row>
    <row r="59" spans="2:14" x14ac:dyDescent="0.25">
      <c r="B59" s="34">
        <f t="shared" si="9"/>
        <v>31</v>
      </c>
      <c r="C59" s="184"/>
      <c r="D59" s="185"/>
      <c r="E59" s="308"/>
      <c r="F59" s="225"/>
      <c r="G59" s="189">
        <f>'CIT - PAY'!I51/31</f>
        <v>0</v>
      </c>
      <c r="H59" s="313"/>
      <c r="I59" s="188">
        <f t="shared" si="10"/>
        <v>0</v>
      </c>
      <c r="J59" s="313"/>
      <c r="K59" s="188">
        <f t="shared" si="11"/>
        <v>0</v>
      </c>
      <c r="L59" s="313"/>
      <c r="M59" s="188">
        <f t="shared" si="12"/>
        <v>0</v>
      </c>
      <c r="N59" s="188">
        <f t="shared" si="13"/>
        <v>0</v>
      </c>
    </row>
    <row r="60" spans="2:14" x14ac:dyDescent="0.25">
      <c r="B60" s="34">
        <f t="shared" si="9"/>
        <v>32</v>
      </c>
      <c r="C60" s="184"/>
      <c r="D60" s="185"/>
      <c r="E60" s="308"/>
      <c r="F60" s="225"/>
      <c r="G60" s="189">
        <f>'CIT - PAY'!I52/31</f>
        <v>0</v>
      </c>
      <c r="H60" s="313"/>
      <c r="I60" s="188">
        <f t="shared" si="10"/>
        <v>0</v>
      </c>
      <c r="J60" s="313"/>
      <c r="K60" s="188">
        <f t="shared" si="11"/>
        <v>0</v>
      </c>
      <c r="L60" s="313"/>
      <c r="M60" s="188">
        <f t="shared" si="12"/>
        <v>0</v>
      </c>
      <c r="N60" s="188">
        <f t="shared" si="13"/>
        <v>0</v>
      </c>
    </row>
    <row r="61" spans="2:14" x14ac:dyDescent="0.25">
      <c r="B61" s="34">
        <f t="shared" si="9"/>
        <v>33</v>
      </c>
      <c r="C61" s="184"/>
      <c r="D61" s="185"/>
      <c r="E61" s="308"/>
      <c r="F61" s="225"/>
      <c r="G61" s="189">
        <f>'CIT - PAY'!I53/31</f>
        <v>0</v>
      </c>
      <c r="H61" s="313"/>
      <c r="I61" s="188">
        <f t="shared" si="10"/>
        <v>0</v>
      </c>
      <c r="J61" s="313"/>
      <c r="K61" s="188">
        <f t="shared" si="11"/>
        <v>0</v>
      </c>
      <c r="L61" s="313"/>
      <c r="M61" s="188">
        <f t="shared" si="12"/>
        <v>0</v>
      </c>
      <c r="N61" s="188">
        <f t="shared" si="13"/>
        <v>0</v>
      </c>
    </row>
    <row r="62" spans="2:14" x14ac:dyDescent="0.25">
      <c r="B62" s="34">
        <f t="shared" si="9"/>
        <v>34</v>
      </c>
      <c r="C62" s="184"/>
      <c r="D62" s="185"/>
      <c r="E62" s="308"/>
      <c r="F62" s="225"/>
      <c r="G62" s="189">
        <f>'CIT - PAY'!I54/31</f>
        <v>0</v>
      </c>
      <c r="H62" s="313"/>
      <c r="I62" s="188">
        <f t="shared" si="10"/>
        <v>0</v>
      </c>
      <c r="J62" s="313"/>
      <c r="K62" s="188">
        <f t="shared" si="11"/>
        <v>0</v>
      </c>
      <c r="L62" s="313"/>
      <c r="M62" s="188">
        <f t="shared" si="12"/>
        <v>0</v>
      </c>
      <c r="N62" s="188">
        <f t="shared" si="13"/>
        <v>0</v>
      </c>
    </row>
    <row r="63" spans="2:14" x14ac:dyDescent="0.25">
      <c r="B63" s="34">
        <f t="shared" si="9"/>
        <v>35</v>
      </c>
      <c r="C63" s="184"/>
      <c r="D63" s="185"/>
      <c r="E63" s="308"/>
      <c r="F63" s="225"/>
      <c r="G63" s="189">
        <f>'CIT - PAY'!I55/31</f>
        <v>0</v>
      </c>
      <c r="H63" s="313"/>
      <c r="I63" s="188">
        <f t="shared" si="10"/>
        <v>0</v>
      </c>
      <c r="J63" s="313"/>
      <c r="K63" s="188">
        <f t="shared" si="11"/>
        <v>0</v>
      </c>
      <c r="L63" s="313"/>
      <c r="M63" s="188">
        <f t="shared" si="12"/>
        <v>0</v>
      </c>
      <c r="N63" s="188">
        <f t="shared" si="13"/>
        <v>0</v>
      </c>
    </row>
    <row r="64" spans="2:14" x14ac:dyDescent="0.25">
      <c r="B64" s="34">
        <f t="shared" si="9"/>
        <v>36</v>
      </c>
      <c r="C64" s="184"/>
      <c r="D64" s="185"/>
      <c r="E64" s="308"/>
      <c r="F64" s="225"/>
      <c r="G64" s="189">
        <f>'CIT - PAY'!I56/31</f>
        <v>0</v>
      </c>
      <c r="H64" s="313"/>
      <c r="I64" s="188">
        <f t="shared" si="10"/>
        <v>0</v>
      </c>
      <c r="J64" s="313"/>
      <c r="K64" s="188">
        <f t="shared" si="11"/>
        <v>0</v>
      </c>
      <c r="L64" s="313"/>
      <c r="M64" s="188">
        <f t="shared" si="12"/>
        <v>0</v>
      </c>
      <c r="N64" s="188">
        <f t="shared" si="13"/>
        <v>0</v>
      </c>
    </row>
    <row r="65" spans="2:14" x14ac:dyDescent="0.25">
      <c r="B65" s="34">
        <f t="shared" si="9"/>
        <v>37</v>
      </c>
      <c r="C65" s="184"/>
      <c r="D65" s="185"/>
      <c r="E65" s="308"/>
      <c r="F65" s="225"/>
      <c r="G65" s="189">
        <f>'CIT - PAY'!I57/31</f>
        <v>0</v>
      </c>
      <c r="H65" s="313"/>
      <c r="I65" s="188">
        <f t="shared" si="10"/>
        <v>0</v>
      </c>
      <c r="J65" s="313"/>
      <c r="K65" s="188">
        <f t="shared" si="11"/>
        <v>0</v>
      </c>
      <c r="L65" s="313"/>
      <c r="M65" s="188">
        <f t="shared" si="12"/>
        <v>0</v>
      </c>
      <c r="N65" s="188">
        <f t="shared" si="13"/>
        <v>0</v>
      </c>
    </row>
    <row r="66" spans="2:14" x14ac:dyDescent="0.25">
      <c r="B66" s="34">
        <f t="shared" si="9"/>
        <v>38</v>
      </c>
      <c r="C66" s="184"/>
      <c r="D66" s="185"/>
      <c r="E66" s="308"/>
      <c r="F66" s="225"/>
      <c r="G66" s="189">
        <f>'CIT - PAY'!I58/31</f>
        <v>0</v>
      </c>
      <c r="H66" s="313"/>
      <c r="I66" s="188">
        <f t="shared" si="10"/>
        <v>0</v>
      </c>
      <c r="J66" s="313"/>
      <c r="K66" s="188">
        <f t="shared" si="11"/>
        <v>0</v>
      </c>
      <c r="L66" s="313"/>
      <c r="M66" s="188">
        <f t="shared" si="12"/>
        <v>0</v>
      </c>
      <c r="N66" s="188">
        <f t="shared" si="13"/>
        <v>0</v>
      </c>
    </row>
    <row r="67" spans="2:14" x14ac:dyDescent="0.25">
      <c r="B67" s="34">
        <f t="shared" si="9"/>
        <v>39</v>
      </c>
      <c r="C67" s="184"/>
      <c r="D67" s="185"/>
      <c r="E67" s="308"/>
      <c r="F67" s="225"/>
      <c r="G67" s="189">
        <f>'CIT - PAY'!I59/31</f>
        <v>0</v>
      </c>
      <c r="H67" s="313"/>
      <c r="I67" s="188">
        <f t="shared" si="10"/>
        <v>0</v>
      </c>
      <c r="J67" s="313"/>
      <c r="K67" s="188">
        <f t="shared" si="11"/>
        <v>0</v>
      </c>
      <c r="L67" s="313"/>
      <c r="M67" s="188">
        <f t="shared" si="12"/>
        <v>0</v>
      </c>
      <c r="N67" s="188">
        <f t="shared" si="13"/>
        <v>0</v>
      </c>
    </row>
    <row r="68" spans="2:14" x14ac:dyDescent="0.25">
      <c r="B68" s="34">
        <f t="shared" si="9"/>
        <v>40</v>
      </c>
      <c r="C68" s="184"/>
      <c r="D68" s="185"/>
      <c r="E68" s="308"/>
      <c r="F68" s="225"/>
      <c r="G68" s="189">
        <f>'CIT - PAY'!I60/31</f>
        <v>0</v>
      </c>
      <c r="H68" s="313"/>
      <c r="I68" s="188">
        <f t="shared" si="10"/>
        <v>0</v>
      </c>
      <c r="J68" s="313"/>
      <c r="K68" s="188">
        <f t="shared" si="11"/>
        <v>0</v>
      </c>
      <c r="L68" s="313"/>
      <c r="M68" s="188">
        <f t="shared" si="12"/>
        <v>0</v>
      </c>
      <c r="N68" s="188">
        <f t="shared" si="13"/>
        <v>0</v>
      </c>
    </row>
    <row r="69" spans="2:14" x14ac:dyDescent="0.25">
      <c r="B69" s="34">
        <f>+B47+1</f>
        <v>41</v>
      </c>
      <c r="C69" s="184"/>
      <c r="D69" s="185"/>
      <c r="E69" s="308"/>
      <c r="F69" s="225"/>
      <c r="G69" s="189">
        <f>'CIT - PAY'!I82/31</f>
        <v>0</v>
      </c>
      <c r="H69" s="313"/>
      <c r="I69" s="188">
        <f t="shared" si="5"/>
        <v>0</v>
      </c>
      <c r="J69" s="313"/>
      <c r="K69" s="188">
        <f t="shared" si="6"/>
        <v>0</v>
      </c>
      <c r="L69" s="313"/>
      <c r="M69" s="188">
        <f t="shared" si="7"/>
        <v>0</v>
      </c>
      <c r="N69" s="188">
        <f t="shared" si="8"/>
        <v>0</v>
      </c>
    </row>
    <row r="70" spans="2:14" ht="16.5" thickBot="1" x14ac:dyDescent="0.3">
      <c r="B70" s="180"/>
      <c r="C70" s="183"/>
      <c r="D70" s="29"/>
      <c r="E70" s="307"/>
      <c r="F70" s="327">
        <f>SUM(F8:F69)</f>
        <v>0</v>
      </c>
      <c r="G70" s="327"/>
      <c r="H70" s="327"/>
      <c r="I70" s="327">
        <f>SUM(I8:I69)</f>
        <v>0</v>
      </c>
      <c r="J70" s="327"/>
      <c r="K70" s="327">
        <f>SUM(K8:K69)</f>
        <v>0</v>
      </c>
      <c r="L70" s="327"/>
      <c r="M70" s="327">
        <f>SUM(M8:M69)</f>
        <v>0</v>
      </c>
      <c r="N70" s="327">
        <f>SUM(N8:N69)</f>
        <v>0</v>
      </c>
    </row>
    <row r="71" spans="2:14" x14ac:dyDescent="0.25">
      <c r="F71" s="205">
        <f>F70-'CIT - PAY'!L84</f>
        <v>0</v>
      </c>
      <c r="G71" s="205"/>
      <c r="H71" s="205"/>
      <c r="I71" s="205"/>
      <c r="J71" s="205"/>
      <c r="K71" s="205"/>
      <c r="L71" s="205"/>
      <c r="M71" s="205"/>
      <c r="N71" s="205">
        <f>N70-'CIT - PAY'!J84</f>
        <v>0</v>
      </c>
    </row>
  </sheetData>
  <mergeCells count="9">
    <mergeCell ref="H4:N5"/>
    <mergeCell ref="B2:N2"/>
    <mergeCell ref="B3:N3"/>
    <mergeCell ref="G4:G6"/>
    <mergeCell ref="B4:B6"/>
    <mergeCell ref="C4:C6"/>
    <mergeCell ref="D4:D6"/>
    <mergeCell ref="F4:F6"/>
    <mergeCell ref="E4:E6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FFFF00"/>
    <pageSetUpPr fitToPage="1"/>
  </sheetPr>
  <dimension ref="A1:Z103"/>
  <sheetViews>
    <sheetView showWhiteSpace="0" topLeftCell="B17" zoomScaleNormal="100" zoomScaleSheetLayoutView="100" workbookViewId="0">
      <pane xSplit="10" ySplit="3" topLeftCell="L20" activePane="bottomRight" state="frozen"/>
      <selection activeCell="W78" sqref="W78:Y81"/>
      <selection pane="topRight" activeCell="W78" sqref="W78:Y81"/>
      <selection pane="bottomLeft" activeCell="W78" sqref="W78:Y81"/>
      <selection pane="bottomRight" activeCell="C55" sqref="C55"/>
    </sheetView>
  </sheetViews>
  <sheetFormatPr defaultRowHeight="30.75" x14ac:dyDescent="0.25"/>
  <cols>
    <col min="1" max="1" width="9.375" style="31" customWidth="1"/>
    <col min="2" max="2" width="6.75" style="4" customWidth="1"/>
    <col min="3" max="3" width="24.625" style="4" customWidth="1"/>
    <col min="4" max="4" width="12.875" style="4" customWidth="1"/>
    <col min="5" max="5" width="9.625" style="57" customWidth="1"/>
    <col min="6" max="6" width="13.375" style="4" customWidth="1"/>
    <col min="7" max="7" width="8.5" style="4" customWidth="1"/>
    <col min="8" max="8" width="9.75" style="4" customWidth="1"/>
    <col min="9" max="9" width="13.875" style="4" customWidth="1"/>
    <col min="10" max="10" width="11.25" style="4" customWidth="1"/>
    <col min="11" max="11" width="13.75" style="4" customWidth="1"/>
    <col min="12" max="12" width="12.125" style="4" customWidth="1"/>
    <col min="13" max="13" width="11.5" style="4" customWidth="1"/>
    <col min="14" max="14" width="10.375" style="4" customWidth="1"/>
    <col min="15" max="15" width="11" style="4" bestFit="1" customWidth="1"/>
    <col min="16" max="16" width="11.875" style="4" customWidth="1"/>
    <col min="17" max="17" width="15.125" style="4" bestFit="1" customWidth="1"/>
    <col min="18" max="18" width="13.125" style="4" customWidth="1"/>
    <col min="19" max="19" width="12.75" style="4" customWidth="1"/>
    <col min="20" max="20" width="12.125" style="4" bestFit="1" customWidth="1"/>
    <col min="21" max="21" width="3.75" style="57" customWidth="1"/>
    <col min="22" max="22" width="14.25" style="4" customWidth="1"/>
    <col min="23" max="23" width="10.625" style="4" customWidth="1"/>
    <col min="24" max="24" width="11.625" style="4" bestFit="1" customWidth="1"/>
    <col min="25" max="25" width="11" style="4" bestFit="1" customWidth="1"/>
    <col min="26" max="26" width="5.625" style="4" customWidth="1"/>
    <col min="27" max="16384" width="9" style="4"/>
  </cols>
  <sheetData>
    <row r="1" spans="1:25" ht="23.25" customHeight="1" x14ac:dyDescent="0.25">
      <c r="A1" s="98">
        <v>94</v>
      </c>
      <c r="Q1" s="5"/>
      <c r="R1" s="5"/>
      <c r="S1" s="5"/>
      <c r="T1" s="5"/>
      <c r="U1" s="52"/>
      <c r="V1" s="3"/>
      <c r="W1" s="3"/>
    </row>
    <row r="2" spans="1:25" ht="23.25" x14ac:dyDescent="0.25">
      <c r="A2" s="98"/>
      <c r="Q2" s="5"/>
      <c r="R2" s="5"/>
      <c r="S2" s="5"/>
      <c r="T2" s="5"/>
      <c r="U2" s="53"/>
      <c r="V2" s="2"/>
      <c r="W2" s="2"/>
      <c r="X2" s="864" t="s">
        <v>40</v>
      </c>
      <c r="Y2" s="864"/>
    </row>
    <row r="3" spans="1:25" ht="15.75" customHeight="1" x14ac:dyDescent="0.25">
      <c r="A3" s="98"/>
      <c r="B3" s="877" t="s">
        <v>42</v>
      </c>
      <c r="C3" s="877"/>
      <c r="D3" s="877"/>
      <c r="E3" s="877"/>
      <c r="F3" s="877"/>
      <c r="G3" s="877"/>
      <c r="H3" s="877"/>
      <c r="I3" s="877"/>
      <c r="J3" s="877"/>
      <c r="K3" s="877"/>
      <c r="L3" s="877"/>
      <c r="M3" s="877"/>
      <c r="N3" s="877"/>
      <c r="O3" s="877"/>
      <c r="P3" s="877"/>
      <c r="Q3" s="877"/>
      <c r="R3" s="877"/>
      <c r="S3" s="877"/>
      <c r="T3" s="877"/>
      <c r="U3" s="877"/>
      <c r="V3" s="877"/>
      <c r="W3" s="877"/>
      <c r="X3" s="877"/>
      <c r="Y3" s="877"/>
    </row>
    <row r="4" spans="1:25" ht="15.75" customHeight="1" x14ac:dyDescent="0.25">
      <c r="A4" s="98"/>
      <c r="B4" s="878" t="s">
        <v>43</v>
      </c>
      <c r="C4" s="878"/>
      <c r="D4" s="878"/>
      <c r="E4" s="878"/>
      <c r="F4" s="878"/>
      <c r="G4" s="878"/>
      <c r="H4" s="878"/>
      <c r="I4" s="878"/>
      <c r="J4" s="878"/>
      <c r="K4" s="878"/>
      <c r="L4" s="878"/>
      <c r="M4" s="878"/>
      <c r="N4" s="878"/>
      <c r="O4" s="878"/>
      <c r="P4" s="878"/>
      <c r="Q4" s="878"/>
      <c r="R4" s="878"/>
      <c r="S4" s="878"/>
      <c r="T4" s="878"/>
      <c r="U4" s="878"/>
      <c r="V4" s="878"/>
      <c r="W4" s="878"/>
      <c r="X4" s="878"/>
      <c r="Y4" s="878"/>
    </row>
    <row r="5" spans="1:25" ht="15.75" customHeight="1" x14ac:dyDescent="0.25">
      <c r="A5" s="98"/>
      <c r="B5" s="878" t="s">
        <v>44</v>
      </c>
      <c r="C5" s="878"/>
      <c r="D5" s="878"/>
      <c r="E5" s="878"/>
      <c r="F5" s="878"/>
      <c r="G5" s="878"/>
      <c r="H5" s="878"/>
      <c r="I5" s="878"/>
      <c r="J5" s="878"/>
      <c r="K5" s="878"/>
      <c r="L5" s="878"/>
      <c r="M5" s="878"/>
      <c r="N5" s="878"/>
      <c r="O5" s="878"/>
      <c r="P5" s="878"/>
      <c r="Q5" s="878"/>
      <c r="R5" s="878"/>
      <c r="S5" s="878"/>
      <c r="T5" s="878"/>
      <c r="U5" s="878"/>
      <c r="V5" s="878"/>
      <c r="W5" s="878"/>
      <c r="X5" s="878"/>
      <c r="Y5" s="878"/>
    </row>
    <row r="6" spans="1:25" ht="15.75" customHeight="1" x14ac:dyDescent="0.25">
      <c r="A6" s="98"/>
      <c r="B6" s="877" t="s">
        <v>45</v>
      </c>
      <c r="C6" s="877"/>
      <c r="D6" s="877"/>
      <c r="E6" s="877"/>
      <c r="F6" s="877"/>
      <c r="G6" s="877"/>
      <c r="H6" s="877"/>
      <c r="I6" s="877"/>
      <c r="J6" s="877"/>
      <c r="K6" s="877"/>
      <c r="L6" s="877"/>
      <c r="M6" s="877"/>
      <c r="N6" s="877"/>
      <c r="O6" s="877"/>
      <c r="P6" s="877"/>
      <c r="Q6" s="877"/>
      <c r="R6" s="877"/>
      <c r="S6" s="877"/>
      <c r="T6" s="877"/>
      <c r="U6" s="877"/>
      <c r="V6" s="877"/>
      <c r="W6" s="877"/>
      <c r="X6" s="877"/>
      <c r="Y6" s="877"/>
    </row>
    <row r="7" spans="1:25" ht="15.75" customHeight="1" x14ac:dyDescent="0.25">
      <c r="A7" s="98"/>
      <c r="Q7" s="2"/>
      <c r="R7" s="2"/>
      <c r="S7" s="2"/>
      <c r="T7" s="2"/>
      <c r="U7" s="53"/>
      <c r="V7" s="2"/>
      <c r="W7" s="2"/>
      <c r="X7" s="2"/>
      <c r="Y7" s="2"/>
    </row>
    <row r="8" spans="1:25" ht="22.5" x14ac:dyDescent="0.25">
      <c r="A8" s="98"/>
      <c r="B8" s="882" t="s">
        <v>13</v>
      </c>
      <c r="C8" s="882"/>
      <c r="D8" s="882"/>
      <c r="E8" s="882"/>
      <c r="F8" s="882"/>
      <c r="G8" s="882"/>
      <c r="H8" s="882"/>
      <c r="I8" s="882"/>
      <c r="J8" s="882"/>
      <c r="K8" s="882"/>
      <c r="L8" s="882"/>
      <c r="M8" s="882"/>
      <c r="N8" s="882"/>
      <c r="O8" s="882"/>
      <c r="P8" s="882"/>
      <c r="Q8" s="882"/>
      <c r="R8" s="882"/>
      <c r="S8" s="882"/>
      <c r="T8" s="882"/>
      <c r="U8" s="882"/>
      <c r="V8" s="882"/>
      <c r="W8" s="882"/>
      <c r="X8" s="882"/>
      <c r="Y8" s="882"/>
    </row>
    <row r="9" spans="1:25" ht="20.25" x14ac:dyDescent="0.25">
      <c r="A9" s="98"/>
      <c r="B9" s="867" t="s">
        <v>115</v>
      </c>
      <c r="C9" s="867"/>
      <c r="D9" s="867"/>
      <c r="E9" s="867"/>
      <c r="F9" s="867"/>
      <c r="G9" s="867"/>
      <c r="H9" s="867"/>
      <c r="I9" s="867"/>
      <c r="J9" s="867"/>
      <c r="K9" s="867"/>
      <c r="L9" s="867"/>
      <c r="M9" s="867"/>
      <c r="N9" s="867"/>
      <c r="O9" s="867"/>
      <c r="P9" s="867"/>
      <c r="Q9" s="867"/>
      <c r="R9" s="867"/>
      <c r="S9" s="867"/>
      <c r="T9" s="867"/>
      <c r="U9" s="867"/>
      <c r="V9" s="867"/>
      <c r="W9" s="867"/>
      <c r="X9" s="867"/>
      <c r="Y9" s="867"/>
    </row>
    <row r="10" spans="1:25" ht="20.25" x14ac:dyDescent="0.25">
      <c r="A10" s="98"/>
      <c r="B10" s="879" t="s">
        <v>41</v>
      </c>
      <c r="C10" s="879"/>
      <c r="D10" s="879"/>
      <c r="E10" s="879"/>
      <c r="F10" s="879"/>
      <c r="G10" s="879"/>
      <c r="H10" s="879"/>
      <c r="I10" s="879"/>
      <c r="J10" s="879"/>
      <c r="K10" s="879"/>
      <c r="L10" s="879"/>
      <c r="M10" s="879"/>
      <c r="N10" s="879"/>
      <c r="O10" s="879"/>
      <c r="P10" s="879"/>
      <c r="Q10" s="879"/>
      <c r="R10" s="879"/>
      <c r="S10" s="879"/>
      <c r="T10" s="879"/>
      <c r="U10" s="879"/>
      <c r="V10" s="879"/>
      <c r="W10" s="879"/>
      <c r="X10" s="879"/>
      <c r="Y10" s="879"/>
    </row>
    <row r="11" spans="1:25" ht="20.25" x14ac:dyDescent="0.25">
      <c r="A11" s="98"/>
      <c r="B11" s="879" t="str">
        <f>'GEN.AD - PAY'!B11</f>
        <v>(1st Quincena)</v>
      </c>
      <c r="C11" s="879"/>
      <c r="D11" s="879"/>
      <c r="E11" s="879"/>
      <c r="F11" s="879"/>
      <c r="G11" s="879"/>
      <c r="H11" s="879"/>
      <c r="I11" s="879"/>
      <c r="J11" s="879"/>
      <c r="K11" s="879"/>
      <c r="L11" s="879"/>
      <c r="M11" s="879"/>
      <c r="N11" s="879"/>
      <c r="O11" s="879"/>
      <c r="P11" s="879"/>
      <c r="Q11" s="879"/>
      <c r="R11" s="879"/>
      <c r="S11" s="879"/>
      <c r="T11" s="879"/>
      <c r="U11" s="879"/>
      <c r="V11" s="879"/>
      <c r="W11" s="879"/>
      <c r="X11" s="879"/>
      <c r="Y11" s="879"/>
    </row>
    <row r="12" spans="1:25" ht="15.75" x14ac:dyDescent="0.25">
      <c r="A12" s="98"/>
      <c r="B12" s="9"/>
      <c r="C12" s="6"/>
      <c r="D12" s="866" t="s">
        <v>106</v>
      </c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</row>
    <row r="13" spans="1:25" s="8" customFormat="1" ht="24.95" customHeight="1" x14ac:dyDescent="0.25">
      <c r="A13" s="98"/>
      <c r="B13" s="865" t="s">
        <v>88</v>
      </c>
      <c r="C13" s="865"/>
      <c r="D13" s="867"/>
      <c r="E13" s="178"/>
      <c r="F13" s="169"/>
      <c r="G13" s="169"/>
      <c r="H13" s="169"/>
      <c r="I13" s="169"/>
      <c r="J13" s="169"/>
      <c r="K13" s="169"/>
      <c r="L13" s="169"/>
      <c r="M13" s="169"/>
      <c r="N13" s="169"/>
      <c r="O13" s="169"/>
      <c r="P13" s="169"/>
      <c r="Q13" s="9"/>
      <c r="R13" s="9"/>
      <c r="S13" s="9"/>
      <c r="T13" s="9"/>
      <c r="U13" s="169" t="s">
        <v>103</v>
      </c>
      <c r="V13" s="169"/>
      <c r="W13" s="832" t="str">
        <f>SUMMARY!B11</f>
        <v>2026-01-017</v>
      </c>
      <c r="X13" s="832"/>
      <c r="Y13" s="832"/>
    </row>
    <row r="14" spans="1:25" s="8" customFormat="1" ht="24.95" customHeight="1" x14ac:dyDescent="0.25">
      <c r="A14" s="98"/>
      <c r="B14" s="9"/>
      <c r="C14" s="9"/>
      <c r="D14" s="867"/>
      <c r="E14" s="6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169"/>
      <c r="V14" s="169"/>
      <c r="W14" s="9"/>
      <c r="X14" s="9"/>
      <c r="Y14" s="9"/>
    </row>
    <row r="15" spans="1:25" s="8" customFormat="1" ht="15.75" customHeight="1" x14ac:dyDescent="0.25">
      <c r="A15" s="98"/>
      <c r="B15" s="872" t="s">
        <v>0</v>
      </c>
      <c r="C15" s="872"/>
      <c r="D15" s="872"/>
      <c r="E15" s="872"/>
      <c r="F15" s="872"/>
      <c r="G15" s="872"/>
      <c r="H15" s="872"/>
      <c r="I15" s="872"/>
      <c r="J15" s="872"/>
      <c r="K15" s="872"/>
      <c r="L15" s="872"/>
      <c r="M15" s="872"/>
      <c r="N15" s="872"/>
      <c r="O15" s="872"/>
      <c r="P15" s="872"/>
      <c r="Q15" s="872"/>
      <c r="R15" s="872"/>
      <c r="S15" s="872"/>
      <c r="T15" s="872"/>
      <c r="U15" s="872"/>
      <c r="V15" s="872"/>
      <c r="W15" s="872"/>
      <c r="X15" s="872"/>
      <c r="Y15" s="872"/>
    </row>
    <row r="16" spans="1:25" ht="9" customHeight="1" thickBot="1" x14ac:dyDescent="0.3">
      <c r="A16" s="98"/>
      <c r="B16" s="9"/>
      <c r="C16" s="10"/>
      <c r="D16" s="10"/>
      <c r="E16" s="54"/>
      <c r="F16" s="10"/>
      <c r="G16" s="10"/>
      <c r="H16" s="10"/>
      <c r="I16" s="10"/>
      <c r="J16" s="9"/>
      <c r="K16" s="9"/>
      <c r="L16" s="9"/>
      <c r="M16" s="9"/>
      <c r="N16" s="9"/>
      <c r="O16" s="9"/>
      <c r="P16" s="9"/>
      <c r="Q16" s="10"/>
      <c r="R16" s="10"/>
      <c r="S16" s="10"/>
      <c r="T16" s="10"/>
      <c r="U16" s="54"/>
      <c r="V16" s="10"/>
      <c r="W16" s="10"/>
      <c r="X16" s="10"/>
      <c r="Y16" s="10"/>
    </row>
    <row r="17" spans="1:26" ht="16.5" customHeight="1" thickBot="1" x14ac:dyDescent="0.3">
      <c r="A17" s="98"/>
      <c r="B17" s="930" t="s">
        <v>6</v>
      </c>
      <c r="C17" s="777" t="s">
        <v>1</v>
      </c>
      <c r="D17" s="875" t="s">
        <v>2</v>
      </c>
      <c r="E17" s="802" t="s">
        <v>14</v>
      </c>
      <c r="F17" s="833" t="s">
        <v>4</v>
      </c>
      <c r="G17" s="833"/>
      <c r="H17" s="833"/>
      <c r="I17" s="833"/>
      <c r="J17" s="833"/>
      <c r="K17" s="833"/>
      <c r="L17" s="841" t="s">
        <v>3</v>
      </c>
      <c r="M17" s="833"/>
      <c r="N17" s="833"/>
      <c r="O17" s="833"/>
      <c r="P17" s="833"/>
      <c r="Q17" s="834"/>
      <c r="R17" s="932" t="s">
        <v>16</v>
      </c>
      <c r="S17" s="935" t="s">
        <v>51</v>
      </c>
      <c r="T17" s="861" t="s">
        <v>52</v>
      </c>
      <c r="U17" s="875" t="s">
        <v>59</v>
      </c>
      <c r="V17" s="841" t="s">
        <v>60</v>
      </c>
      <c r="W17" s="833"/>
      <c r="X17" s="833"/>
      <c r="Y17" s="834"/>
      <c r="Z17" s="11"/>
    </row>
    <row r="18" spans="1:26" ht="19.5" customHeight="1" x14ac:dyDescent="0.25">
      <c r="A18" s="98"/>
      <c r="B18" s="931"/>
      <c r="C18" s="778"/>
      <c r="D18" s="924"/>
      <c r="E18" s="803"/>
      <c r="F18" s="913" t="s">
        <v>48</v>
      </c>
      <c r="G18" s="887" t="s">
        <v>50</v>
      </c>
      <c r="H18" s="892" t="s">
        <v>49</v>
      </c>
      <c r="I18" s="859" t="s">
        <v>5</v>
      </c>
      <c r="J18" s="859" t="s">
        <v>53</v>
      </c>
      <c r="K18" s="928" t="s">
        <v>137</v>
      </c>
      <c r="L18" s="911" t="s">
        <v>54</v>
      </c>
      <c r="M18" s="859" t="s">
        <v>55</v>
      </c>
      <c r="N18" s="859" t="s">
        <v>56</v>
      </c>
      <c r="O18" s="890" t="s">
        <v>57</v>
      </c>
      <c r="P18" s="859" t="s">
        <v>58</v>
      </c>
      <c r="Q18" s="926" t="s">
        <v>17</v>
      </c>
      <c r="R18" s="933"/>
      <c r="S18" s="936"/>
      <c r="T18" s="862"/>
      <c r="U18" s="924"/>
      <c r="V18" s="850" t="s">
        <v>61</v>
      </c>
      <c r="W18" s="852" t="s">
        <v>62</v>
      </c>
      <c r="X18" s="883" t="s">
        <v>57</v>
      </c>
      <c r="Y18" s="885" t="s">
        <v>63</v>
      </c>
      <c r="Z18" s="11"/>
    </row>
    <row r="19" spans="1:26" ht="26.25" customHeight="1" thickBot="1" x14ac:dyDescent="0.3">
      <c r="A19" s="98"/>
      <c r="B19" s="931"/>
      <c r="C19" s="778"/>
      <c r="D19" s="924"/>
      <c r="E19" s="803"/>
      <c r="F19" s="914"/>
      <c r="G19" s="888"/>
      <c r="H19" s="893"/>
      <c r="I19" s="860"/>
      <c r="J19" s="860"/>
      <c r="K19" s="929"/>
      <c r="L19" s="912"/>
      <c r="M19" s="860"/>
      <c r="N19" s="860"/>
      <c r="O19" s="891"/>
      <c r="P19" s="860"/>
      <c r="Q19" s="927"/>
      <c r="R19" s="934"/>
      <c r="S19" s="937"/>
      <c r="T19" s="863"/>
      <c r="U19" s="924"/>
      <c r="V19" s="851"/>
      <c r="W19" s="853"/>
      <c r="X19" s="884"/>
      <c r="Y19" s="886"/>
      <c r="Z19" s="11"/>
    </row>
    <row r="20" spans="1:26" ht="18.75" customHeight="1" x14ac:dyDescent="0.25">
      <c r="A20" s="98"/>
      <c r="B20" s="42"/>
      <c r="C20" s="12"/>
      <c r="D20" s="44"/>
      <c r="E20" s="55"/>
      <c r="F20" s="175"/>
      <c r="G20" s="173"/>
      <c r="H20" s="173"/>
      <c r="I20" s="47"/>
      <c r="J20" s="47"/>
      <c r="K20" s="44"/>
      <c r="L20" s="46"/>
      <c r="M20" s="47"/>
      <c r="N20" s="47"/>
      <c r="O20" s="47"/>
      <c r="P20" s="47"/>
      <c r="Q20" s="177"/>
      <c r="R20" s="44"/>
      <c r="S20" s="46"/>
      <c r="T20" s="43"/>
      <c r="U20" s="187"/>
      <c r="V20" s="46"/>
      <c r="W20" s="47"/>
      <c r="X20" s="47"/>
      <c r="Y20" s="43"/>
    </row>
    <row r="21" spans="1:26" ht="18.75" customHeight="1" x14ac:dyDescent="0.25">
      <c r="A21" s="98"/>
      <c r="B21" s="34">
        <v>1</v>
      </c>
      <c r="C21" s="72">
        <f>VLOOKUP(B21,'WTAX-CIT'!B:N,2,0)</f>
        <v>0</v>
      </c>
      <c r="D21" s="182" t="e">
        <f>VLOOKUP(C21,'WTAX-CIT'!C:O,2,0)</f>
        <v>#N/A</v>
      </c>
      <c r="E21" s="306">
        <f>VLOOKUP(B21,'WTAX-CIT'!B:N,4,0)</f>
        <v>0</v>
      </c>
      <c r="F21" s="87"/>
      <c r="G21" s="88"/>
      <c r="H21" s="88"/>
      <c r="I21" s="37">
        <f>SUM(F21:H21)</f>
        <v>0</v>
      </c>
      <c r="J21" s="332">
        <f>'WTAX-CIT'!N8</f>
        <v>0</v>
      </c>
      <c r="K21" s="216">
        <f>ROUND(I21-J21,2)</f>
        <v>0</v>
      </c>
      <c r="L21" s="36">
        <f>'WTAX-CIT'!F8</f>
        <v>0</v>
      </c>
      <c r="M21" s="37">
        <f>'CIT - DEDS'!R20</f>
        <v>0</v>
      </c>
      <c r="N21" s="37">
        <f>'CIT - DEDS'!X20</f>
        <v>0</v>
      </c>
      <c r="O21" s="37">
        <f>'CIT - DEDS'!Y20</f>
        <v>0</v>
      </c>
      <c r="P21" s="37">
        <f>'CIT - DEDS'!AE20</f>
        <v>0</v>
      </c>
      <c r="Q21" s="35">
        <f>ROUND(SUM(L21:P21),2)</f>
        <v>0</v>
      </c>
      <c r="R21" s="45">
        <f>K21-Q21</f>
        <v>0</v>
      </c>
      <c r="S21" s="219">
        <f>ROUND(R21/2,0)</f>
        <v>0</v>
      </c>
      <c r="T21" s="220">
        <f>R21-S21</f>
        <v>0</v>
      </c>
      <c r="U21" s="33">
        <f>B21</f>
        <v>1</v>
      </c>
      <c r="V21" s="36">
        <f>ROUND('CIT - PAY'!I21*0.12,2)</f>
        <v>0</v>
      </c>
      <c r="W21" s="37">
        <f>'GEN.AD - PAY'!W21</f>
        <v>100</v>
      </c>
      <c r="X21" s="37">
        <f>MIN((I21*0.05)-'CIT - DEDS'!Y20,2500)</f>
        <v>0</v>
      </c>
      <c r="Y21" s="35">
        <f>'GEN.AD - PAY'!Y21</f>
        <v>200</v>
      </c>
    </row>
    <row r="22" spans="1:26" ht="18.75" customHeight="1" x14ac:dyDescent="0.25">
      <c r="A22" s="98"/>
      <c r="B22" s="34">
        <f>+B21+1</f>
        <v>2</v>
      </c>
      <c r="C22" s="72">
        <f>VLOOKUP(B22,'WTAX-CIT'!B:N,2,0)</f>
        <v>0</v>
      </c>
      <c r="D22" s="182" t="e">
        <f>VLOOKUP(C22,'WTAX-CIT'!C:O,2,0)</f>
        <v>#N/A</v>
      </c>
      <c r="E22" s="306">
        <f>VLOOKUP(B22,'WTAX-CIT'!B:N,4,0)</f>
        <v>0</v>
      </c>
      <c r="F22" s="87"/>
      <c r="G22" s="88"/>
      <c r="H22" s="88"/>
      <c r="I22" s="37">
        <f>SUM(F22:H22)</f>
        <v>0</v>
      </c>
      <c r="J22" s="332">
        <f>'WTAX-CIT'!N9</f>
        <v>0</v>
      </c>
      <c r="K22" s="216">
        <f>ROUND(I22-J22,2)</f>
        <v>0</v>
      </c>
      <c r="L22" s="36">
        <f>'WTAX-CIT'!F9</f>
        <v>0</v>
      </c>
      <c r="M22" s="37">
        <f>'CIT - DEDS'!R21</f>
        <v>0</v>
      </c>
      <c r="N22" s="37">
        <f>'CIT - DEDS'!X21</f>
        <v>0</v>
      </c>
      <c r="O22" s="37">
        <f>'CIT - DEDS'!Y21</f>
        <v>0</v>
      </c>
      <c r="P22" s="37">
        <f>'CIT - DEDS'!AE21</f>
        <v>0</v>
      </c>
      <c r="Q22" s="35">
        <f>ROUND(SUM(L22:P22),2)</f>
        <v>0</v>
      </c>
      <c r="R22" s="45">
        <f>K22-Q22</f>
        <v>0</v>
      </c>
      <c r="S22" s="219">
        <f>ROUND(R22/2,0)</f>
        <v>0</v>
      </c>
      <c r="T22" s="220">
        <f>R22-S22</f>
        <v>0</v>
      </c>
      <c r="U22" s="33">
        <f>B22</f>
        <v>2</v>
      </c>
      <c r="V22" s="36">
        <f>ROUND('CIT - PAY'!I22*0.12,2)</f>
        <v>0</v>
      </c>
      <c r="W22" s="37">
        <f t="shared" ref="W22:W37" si="0">W21</f>
        <v>100</v>
      </c>
      <c r="X22" s="37">
        <f>MIN((I22*0.05)-'CIT - DEDS'!Y21,2500)</f>
        <v>0</v>
      </c>
      <c r="Y22" s="35">
        <f>Y21</f>
        <v>200</v>
      </c>
    </row>
    <row r="23" spans="1:26" ht="18.75" customHeight="1" x14ac:dyDescent="0.25">
      <c r="A23" s="98"/>
      <c r="B23" s="34">
        <f t="shared" ref="B23:B60" si="1">+B22+1</f>
        <v>3</v>
      </c>
      <c r="C23" s="72">
        <f>VLOOKUP(B23,'WTAX-CIT'!B:N,2,0)</f>
        <v>0</v>
      </c>
      <c r="D23" s="182" t="e">
        <f>VLOOKUP(C23,'WTAX-CIT'!C:O,2,0)</f>
        <v>#N/A</v>
      </c>
      <c r="E23" s="306">
        <f>VLOOKUP(B23,'WTAX-CIT'!B:N,4,0)</f>
        <v>0</v>
      </c>
      <c r="F23" s="87"/>
      <c r="G23" s="88"/>
      <c r="H23" s="88"/>
      <c r="I23" s="37">
        <f>SUM(F23:H23)</f>
        <v>0</v>
      </c>
      <c r="J23" s="332">
        <f>'WTAX-CIT'!N10</f>
        <v>0</v>
      </c>
      <c r="K23" s="216">
        <f>ROUND(I23-J23,2)</f>
        <v>0</v>
      </c>
      <c r="L23" s="36">
        <f>'WTAX-CIT'!F10</f>
        <v>0</v>
      </c>
      <c r="M23" s="37">
        <f>'CIT - DEDS'!R22</f>
        <v>0</v>
      </c>
      <c r="N23" s="37">
        <f>'CIT - DEDS'!X22</f>
        <v>0</v>
      </c>
      <c r="O23" s="37">
        <f>'CIT - DEDS'!Y22</f>
        <v>0</v>
      </c>
      <c r="P23" s="37">
        <f>'CIT - DEDS'!AE22</f>
        <v>0</v>
      </c>
      <c r="Q23" s="35">
        <f>ROUND(SUM(L23:P23),2)</f>
        <v>0</v>
      </c>
      <c r="R23" s="45">
        <f>K23-Q23</f>
        <v>0</v>
      </c>
      <c r="S23" s="219">
        <f>ROUND(R23/2,0)</f>
        <v>0</v>
      </c>
      <c r="T23" s="220">
        <f>R23-S23</f>
        <v>0</v>
      </c>
      <c r="U23" s="33">
        <f>B23</f>
        <v>3</v>
      </c>
      <c r="V23" s="36">
        <f>ROUND('CIT - PAY'!I23*0.12,2)</f>
        <v>0</v>
      </c>
      <c r="W23" s="37">
        <f t="shared" si="0"/>
        <v>100</v>
      </c>
      <c r="X23" s="37">
        <f>MIN((I23*0.05)-'CIT - DEDS'!Y22,2500)</f>
        <v>0</v>
      </c>
      <c r="Y23" s="35">
        <f>Y22</f>
        <v>200</v>
      </c>
    </row>
    <row r="24" spans="1:26" ht="18.75" customHeight="1" x14ac:dyDescent="0.25">
      <c r="A24" s="98"/>
      <c r="B24" s="34">
        <f t="shared" si="1"/>
        <v>4</v>
      </c>
      <c r="C24" s="72">
        <f>VLOOKUP(B24,'WTAX-CIT'!B:N,2,0)</f>
        <v>0</v>
      </c>
      <c r="D24" s="182" t="e">
        <f>VLOOKUP(C24,'WTAX-CIT'!C:O,2,0)</f>
        <v>#N/A</v>
      </c>
      <c r="E24" s="306">
        <f>VLOOKUP(B24,'WTAX-CIT'!B:N,4,0)</f>
        <v>0</v>
      </c>
      <c r="F24" s="87"/>
      <c r="G24" s="88"/>
      <c r="H24" s="88"/>
      <c r="I24" s="37">
        <f>SUM(F24:H24)</f>
        <v>0</v>
      </c>
      <c r="J24" s="332">
        <f>'WTAX-CIT'!N11</f>
        <v>0</v>
      </c>
      <c r="K24" s="216">
        <f>ROUND(I24-J24,2)</f>
        <v>0</v>
      </c>
      <c r="L24" s="36">
        <f>'WTAX-CIT'!F11</f>
        <v>0</v>
      </c>
      <c r="M24" s="37">
        <f>'CIT - DEDS'!R23</f>
        <v>0</v>
      </c>
      <c r="N24" s="37">
        <f>'CIT - DEDS'!X23</f>
        <v>0</v>
      </c>
      <c r="O24" s="37">
        <f>'CIT - DEDS'!Y23</f>
        <v>0</v>
      </c>
      <c r="P24" s="37">
        <f>'CIT - DEDS'!AE23</f>
        <v>0</v>
      </c>
      <c r="Q24" s="35">
        <f>ROUND(SUM(L24:P24),2)</f>
        <v>0</v>
      </c>
      <c r="R24" s="45">
        <f>K24-Q24</f>
        <v>0</v>
      </c>
      <c r="S24" s="219">
        <f>ROUND(R24/2,0)</f>
        <v>0</v>
      </c>
      <c r="T24" s="220">
        <f>R24-S24</f>
        <v>0</v>
      </c>
      <c r="U24" s="33">
        <f>B24</f>
        <v>4</v>
      </c>
      <c r="V24" s="36">
        <f>ROUND('CIT - PAY'!I24*0.12,2)</f>
        <v>0</v>
      </c>
      <c r="W24" s="37">
        <f t="shared" si="0"/>
        <v>100</v>
      </c>
      <c r="X24" s="37">
        <f>MIN((I24*0.05)-'CIT - DEDS'!Y23,2500)</f>
        <v>0</v>
      </c>
      <c r="Y24" s="35">
        <f t="shared" ref="Y24:Y60" si="2">Y23</f>
        <v>200</v>
      </c>
    </row>
    <row r="25" spans="1:26" ht="18.75" customHeight="1" x14ac:dyDescent="0.25">
      <c r="A25" s="98"/>
      <c r="B25" s="34">
        <f t="shared" si="1"/>
        <v>5</v>
      </c>
      <c r="C25" s="72">
        <f>VLOOKUP(B25,'WTAX-CIT'!B:N,2,0)</f>
        <v>0</v>
      </c>
      <c r="D25" s="182" t="e">
        <f>VLOOKUP(C25,'WTAX-CIT'!C:O,2,0)</f>
        <v>#N/A</v>
      </c>
      <c r="E25" s="306">
        <f>VLOOKUP(B25,'WTAX-CIT'!B:N,4,0)</f>
        <v>0</v>
      </c>
      <c r="F25" s="87"/>
      <c r="G25" s="88"/>
      <c r="H25" s="88"/>
      <c r="I25" s="37">
        <f>SUM(F25:H25)</f>
        <v>0</v>
      </c>
      <c r="J25" s="332">
        <f>'WTAX-CIT'!N12</f>
        <v>0</v>
      </c>
      <c r="K25" s="216">
        <f>ROUND(I25-J25,2)</f>
        <v>0</v>
      </c>
      <c r="L25" s="36">
        <f>'WTAX-CIT'!F12</f>
        <v>0</v>
      </c>
      <c r="M25" s="37">
        <f>'CIT - DEDS'!R24</f>
        <v>0</v>
      </c>
      <c r="N25" s="37">
        <f>'CIT - DEDS'!X24</f>
        <v>0</v>
      </c>
      <c r="O25" s="37">
        <f>'CIT - DEDS'!Y24</f>
        <v>0</v>
      </c>
      <c r="P25" s="37">
        <f>'CIT - DEDS'!AE24</f>
        <v>0</v>
      </c>
      <c r="Q25" s="35">
        <f>ROUND(SUM(L25:P25),2)</f>
        <v>0</v>
      </c>
      <c r="R25" s="45">
        <f>K25-Q25</f>
        <v>0</v>
      </c>
      <c r="S25" s="219">
        <f>ROUND(R25/2,0)</f>
        <v>0</v>
      </c>
      <c r="T25" s="220">
        <f>R25-S25</f>
        <v>0</v>
      </c>
      <c r="U25" s="33">
        <f>B25</f>
        <v>5</v>
      </c>
      <c r="V25" s="36">
        <f>ROUND('CIT - PAY'!I25*0.12,2)</f>
        <v>0</v>
      </c>
      <c r="W25" s="37">
        <f t="shared" si="0"/>
        <v>100</v>
      </c>
      <c r="X25" s="37">
        <f>MIN((I25*0.05)-'CIT - DEDS'!Y24,2500)</f>
        <v>0</v>
      </c>
      <c r="Y25" s="35">
        <f t="shared" si="2"/>
        <v>200</v>
      </c>
    </row>
    <row r="26" spans="1:26" ht="18.75" customHeight="1" x14ac:dyDescent="0.25">
      <c r="A26" s="98"/>
      <c r="B26" s="34">
        <f t="shared" si="1"/>
        <v>6</v>
      </c>
      <c r="C26" s="72">
        <f>VLOOKUP(B26,'WTAX-CIT'!B:N,2,0)</f>
        <v>0</v>
      </c>
      <c r="D26" s="182" t="e">
        <f>VLOOKUP(C26,'WTAX-CIT'!C:O,2,0)</f>
        <v>#N/A</v>
      </c>
      <c r="E26" s="306">
        <f>VLOOKUP(B26,'WTAX-CIT'!B:N,4,0)</f>
        <v>0</v>
      </c>
      <c r="F26" s="87"/>
      <c r="G26" s="88"/>
      <c r="H26" s="88"/>
      <c r="I26" s="37">
        <f t="shared" ref="I26:I51" si="3">SUM(F26:H26)</f>
        <v>0</v>
      </c>
      <c r="J26" s="332">
        <f>'WTAX-CIT'!N13</f>
        <v>0</v>
      </c>
      <c r="K26" s="216">
        <f t="shared" ref="K26:K51" si="4">ROUND(I26-J26,2)</f>
        <v>0</v>
      </c>
      <c r="L26" s="36">
        <f>'WTAX-CIT'!F13</f>
        <v>0</v>
      </c>
      <c r="M26" s="37">
        <f>'CIT - DEDS'!R25</f>
        <v>0</v>
      </c>
      <c r="N26" s="37">
        <f>'CIT - DEDS'!X25</f>
        <v>0</v>
      </c>
      <c r="O26" s="37">
        <f>'CIT - DEDS'!Y25</f>
        <v>0</v>
      </c>
      <c r="P26" s="37">
        <f>'CIT - DEDS'!AE25</f>
        <v>0</v>
      </c>
      <c r="Q26" s="35">
        <f t="shared" ref="Q26:Q51" si="5">ROUND(SUM(L26:P26),2)</f>
        <v>0</v>
      </c>
      <c r="R26" s="45">
        <f t="shared" ref="R26:R51" si="6">K26-Q26</f>
        <v>0</v>
      </c>
      <c r="S26" s="219">
        <f t="shared" ref="S26:S51" si="7">ROUND(R26/2,0)</f>
        <v>0</v>
      </c>
      <c r="T26" s="220">
        <f t="shared" ref="T26:T51" si="8">R26-S26</f>
        <v>0</v>
      </c>
      <c r="U26" s="33">
        <f t="shared" ref="U26:U51" si="9">B26</f>
        <v>6</v>
      </c>
      <c r="V26" s="36">
        <f>ROUND('CIT - PAY'!I26*0.12,2)</f>
        <v>0</v>
      </c>
      <c r="W26" s="37">
        <f t="shared" si="0"/>
        <v>100</v>
      </c>
      <c r="X26" s="37">
        <f>MIN((I26*0.05)-'CIT - DEDS'!Y25,2500)</f>
        <v>0</v>
      </c>
      <c r="Y26" s="35">
        <f t="shared" si="2"/>
        <v>200</v>
      </c>
    </row>
    <row r="27" spans="1:26" ht="18.75" customHeight="1" x14ac:dyDescent="0.25">
      <c r="A27" s="98"/>
      <c r="B27" s="34">
        <f t="shared" si="1"/>
        <v>7</v>
      </c>
      <c r="C27" s="72">
        <f>VLOOKUP(B27,'WTAX-CIT'!B:N,2,0)</f>
        <v>0</v>
      </c>
      <c r="D27" s="182" t="e">
        <f>VLOOKUP(C27,'WTAX-CIT'!C:O,2,0)</f>
        <v>#N/A</v>
      </c>
      <c r="E27" s="306">
        <f>VLOOKUP(B27,'WTAX-CIT'!B:N,4,0)</f>
        <v>0</v>
      </c>
      <c r="F27" s="87"/>
      <c r="G27" s="88"/>
      <c r="H27" s="88"/>
      <c r="I27" s="37">
        <f t="shared" si="3"/>
        <v>0</v>
      </c>
      <c r="J27" s="332">
        <f>'WTAX-CIT'!N14</f>
        <v>0</v>
      </c>
      <c r="K27" s="216">
        <f t="shared" si="4"/>
        <v>0</v>
      </c>
      <c r="L27" s="36">
        <f>'WTAX-CIT'!F14</f>
        <v>0</v>
      </c>
      <c r="M27" s="37">
        <f>'CIT - DEDS'!R26</f>
        <v>0</v>
      </c>
      <c r="N27" s="37">
        <f>'CIT - DEDS'!X26</f>
        <v>0</v>
      </c>
      <c r="O27" s="37">
        <f>'CIT - DEDS'!Y26</f>
        <v>0</v>
      </c>
      <c r="P27" s="37">
        <f>'CIT - DEDS'!AE26</f>
        <v>0</v>
      </c>
      <c r="Q27" s="35">
        <f t="shared" si="5"/>
        <v>0</v>
      </c>
      <c r="R27" s="45">
        <f t="shared" si="6"/>
        <v>0</v>
      </c>
      <c r="S27" s="219">
        <f t="shared" si="7"/>
        <v>0</v>
      </c>
      <c r="T27" s="220">
        <f t="shared" si="8"/>
        <v>0</v>
      </c>
      <c r="U27" s="33">
        <f t="shared" si="9"/>
        <v>7</v>
      </c>
      <c r="V27" s="36">
        <f>ROUND('CIT - PAY'!I27*0.12,2)</f>
        <v>0</v>
      </c>
      <c r="W27" s="37">
        <f t="shared" si="0"/>
        <v>100</v>
      </c>
      <c r="X27" s="37">
        <f>MIN((I27*0.05)-'CIT - DEDS'!Y26,2500)</f>
        <v>0</v>
      </c>
      <c r="Y27" s="35">
        <f t="shared" si="2"/>
        <v>200</v>
      </c>
    </row>
    <row r="28" spans="1:26" ht="18.75" customHeight="1" x14ac:dyDescent="0.25">
      <c r="A28" s="98"/>
      <c r="B28" s="34">
        <f t="shared" si="1"/>
        <v>8</v>
      </c>
      <c r="C28" s="72">
        <f>VLOOKUP(B28,'WTAX-CIT'!B:N,2,0)</f>
        <v>0</v>
      </c>
      <c r="D28" s="182" t="e">
        <f>VLOOKUP(C28,'WTAX-CIT'!C:O,2,0)</f>
        <v>#N/A</v>
      </c>
      <c r="E28" s="306">
        <f>VLOOKUP(B28,'WTAX-CIT'!B:N,4,0)</f>
        <v>0</v>
      </c>
      <c r="F28" s="87"/>
      <c r="G28" s="88"/>
      <c r="H28" s="88"/>
      <c r="I28" s="37">
        <f t="shared" si="3"/>
        <v>0</v>
      </c>
      <c r="J28" s="332">
        <f>'WTAX-CIT'!N15</f>
        <v>0</v>
      </c>
      <c r="K28" s="216">
        <f t="shared" si="4"/>
        <v>0</v>
      </c>
      <c r="L28" s="36">
        <f>'WTAX-CIT'!F15</f>
        <v>0</v>
      </c>
      <c r="M28" s="37">
        <f>'CIT - DEDS'!R27</f>
        <v>0</v>
      </c>
      <c r="N28" s="37">
        <f>'CIT - DEDS'!X27</f>
        <v>0</v>
      </c>
      <c r="O28" s="37">
        <f>'CIT - DEDS'!Y27</f>
        <v>0</v>
      </c>
      <c r="P28" s="37">
        <f>'CIT - DEDS'!AE27</f>
        <v>0</v>
      </c>
      <c r="Q28" s="35">
        <f t="shared" si="5"/>
        <v>0</v>
      </c>
      <c r="R28" s="45">
        <f t="shared" si="6"/>
        <v>0</v>
      </c>
      <c r="S28" s="219">
        <f t="shared" si="7"/>
        <v>0</v>
      </c>
      <c r="T28" s="220">
        <f t="shared" si="8"/>
        <v>0</v>
      </c>
      <c r="U28" s="33">
        <f t="shared" si="9"/>
        <v>8</v>
      </c>
      <c r="V28" s="36">
        <f>ROUND('CIT - PAY'!I28*0.12,2)</f>
        <v>0</v>
      </c>
      <c r="W28" s="37">
        <f t="shared" si="0"/>
        <v>100</v>
      </c>
      <c r="X28" s="37">
        <f>MIN((I28*0.05)-'CIT - DEDS'!Y27,2500)</f>
        <v>0</v>
      </c>
      <c r="Y28" s="35">
        <f t="shared" si="2"/>
        <v>200</v>
      </c>
    </row>
    <row r="29" spans="1:26" s="601" customFormat="1" ht="18.75" customHeight="1" x14ac:dyDescent="0.25">
      <c r="A29" s="587"/>
      <c r="B29" s="588">
        <f t="shared" si="1"/>
        <v>9</v>
      </c>
      <c r="C29" s="589">
        <f>VLOOKUP(B29,'WTAX-CIT'!B:N,2,0)</f>
        <v>0</v>
      </c>
      <c r="D29" s="590" t="e">
        <f>VLOOKUP(C29,'WTAX-CIT'!C:O,2,0)</f>
        <v>#N/A</v>
      </c>
      <c r="E29" s="591">
        <f>VLOOKUP(B29,'WTAX-CIT'!B:N,4,0)</f>
        <v>0</v>
      </c>
      <c r="F29" s="592"/>
      <c r="G29" s="593"/>
      <c r="H29" s="593"/>
      <c r="I29" s="593">
        <f t="shared" si="3"/>
        <v>0</v>
      </c>
      <c r="J29" s="593">
        <f>'WTAX-CIT'!N16</f>
        <v>0</v>
      </c>
      <c r="K29" s="594">
        <f t="shared" si="4"/>
        <v>0</v>
      </c>
      <c r="L29" s="595">
        <f>'WTAX-CIT'!F16</f>
        <v>0</v>
      </c>
      <c r="M29" s="593">
        <f>'CIT - DEDS'!R28</f>
        <v>0</v>
      </c>
      <c r="N29" s="593">
        <f>'CIT - DEDS'!X28</f>
        <v>0</v>
      </c>
      <c r="O29" s="593">
        <f>'CIT - DEDS'!Y28</f>
        <v>0</v>
      </c>
      <c r="P29" s="593">
        <f>'CIT - DEDS'!AE28</f>
        <v>0</v>
      </c>
      <c r="Q29" s="596">
        <f t="shared" si="5"/>
        <v>0</v>
      </c>
      <c r="R29" s="597">
        <f t="shared" si="6"/>
        <v>0</v>
      </c>
      <c r="S29" s="598">
        <f t="shared" si="7"/>
        <v>0</v>
      </c>
      <c r="T29" s="599">
        <f t="shared" si="8"/>
        <v>0</v>
      </c>
      <c r="U29" s="600">
        <f t="shared" si="9"/>
        <v>9</v>
      </c>
      <c r="V29" s="595">
        <f>ROUND('CIT - PAY'!I29*0.12,2)</f>
        <v>0</v>
      </c>
      <c r="W29" s="593">
        <f t="shared" si="0"/>
        <v>100</v>
      </c>
      <c r="X29" s="593">
        <f>MIN((I29*0.05)-'CIT - DEDS'!Y28,2500)</f>
        <v>0</v>
      </c>
      <c r="Y29" s="596">
        <f t="shared" si="2"/>
        <v>200</v>
      </c>
    </row>
    <row r="30" spans="1:26" ht="18.75" customHeight="1" x14ac:dyDescent="0.25">
      <c r="A30" s="98"/>
      <c r="B30" s="34">
        <f t="shared" si="1"/>
        <v>10</v>
      </c>
      <c r="C30" s="72">
        <f>VLOOKUP(B30,'WTAX-CIT'!B:N,2,0)</f>
        <v>0</v>
      </c>
      <c r="D30" s="182" t="e">
        <f>VLOOKUP(C30,'WTAX-CIT'!C:O,2,0)</f>
        <v>#N/A</v>
      </c>
      <c r="E30" s="306">
        <f>VLOOKUP(B30,'WTAX-CIT'!B:N,4,0)</f>
        <v>0</v>
      </c>
      <c r="F30" s="87"/>
      <c r="G30" s="88"/>
      <c r="H30" s="88"/>
      <c r="I30" s="37">
        <f t="shared" si="3"/>
        <v>0</v>
      </c>
      <c r="J30" s="332">
        <f>'WTAX-CIT'!N17</f>
        <v>0</v>
      </c>
      <c r="K30" s="216">
        <f t="shared" si="4"/>
        <v>0</v>
      </c>
      <c r="L30" s="36">
        <f>'WTAX-CIT'!F17</f>
        <v>0</v>
      </c>
      <c r="M30" s="37">
        <f>'CIT - DEDS'!R29</f>
        <v>0</v>
      </c>
      <c r="N30" s="37">
        <f>'CIT - DEDS'!X29</f>
        <v>0</v>
      </c>
      <c r="O30" s="37">
        <f>'CIT - DEDS'!Y29</f>
        <v>0</v>
      </c>
      <c r="P30" s="37">
        <f>'CIT - DEDS'!AE29</f>
        <v>0</v>
      </c>
      <c r="Q30" s="35">
        <f t="shared" si="5"/>
        <v>0</v>
      </c>
      <c r="R30" s="45">
        <f t="shared" si="6"/>
        <v>0</v>
      </c>
      <c r="S30" s="219">
        <f t="shared" si="7"/>
        <v>0</v>
      </c>
      <c r="T30" s="220">
        <f t="shared" si="8"/>
        <v>0</v>
      </c>
      <c r="U30" s="33">
        <f t="shared" si="9"/>
        <v>10</v>
      </c>
      <c r="V30" s="36">
        <f>ROUND('CIT - PAY'!I30*0.12,2)</f>
        <v>0</v>
      </c>
      <c r="W30" s="37">
        <f t="shared" si="0"/>
        <v>100</v>
      </c>
      <c r="X30" s="37">
        <f>MIN((I30*0.05)-'CIT - DEDS'!Y29,2500)</f>
        <v>0</v>
      </c>
      <c r="Y30" s="35">
        <f t="shared" si="2"/>
        <v>200</v>
      </c>
    </row>
    <row r="31" spans="1:26" ht="18.75" customHeight="1" x14ac:dyDescent="0.25">
      <c r="A31" s="98"/>
      <c r="B31" s="34">
        <f t="shared" si="1"/>
        <v>11</v>
      </c>
      <c r="C31" s="72">
        <f>VLOOKUP(B31,'WTAX-CIT'!B:N,2,0)</f>
        <v>0</v>
      </c>
      <c r="D31" s="182" t="e">
        <f>VLOOKUP(C31,'WTAX-CIT'!C:O,2,0)</f>
        <v>#N/A</v>
      </c>
      <c r="E31" s="306">
        <f>VLOOKUP(B31,'WTAX-CIT'!B:N,4,0)</f>
        <v>0</v>
      </c>
      <c r="F31" s="87"/>
      <c r="G31" s="88"/>
      <c r="H31" s="88"/>
      <c r="I31" s="37">
        <f t="shared" si="3"/>
        <v>0</v>
      </c>
      <c r="J31" s="332">
        <f>'WTAX-CIT'!N18</f>
        <v>0</v>
      </c>
      <c r="K31" s="216">
        <f t="shared" si="4"/>
        <v>0</v>
      </c>
      <c r="L31" s="36">
        <f>'WTAX-CIT'!F18</f>
        <v>0</v>
      </c>
      <c r="M31" s="37">
        <f>'CIT - DEDS'!R30</f>
        <v>0</v>
      </c>
      <c r="N31" s="37">
        <f>'CIT - DEDS'!X30</f>
        <v>0</v>
      </c>
      <c r="O31" s="37">
        <f>'CIT - DEDS'!Y30</f>
        <v>0</v>
      </c>
      <c r="P31" s="37">
        <f>'CIT - DEDS'!AE30</f>
        <v>0</v>
      </c>
      <c r="Q31" s="35">
        <f t="shared" si="5"/>
        <v>0</v>
      </c>
      <c r="R31" s="45">
        <f t="shared" si="6"/>
        <v>0</v>
      </c>
      <c r="S31" s="219">
        <f t="shared" si="7"/>
        <v>0</v>
      </c>
      <c r="T31" s="220">
        <f t="shared" si="8"/>
        <v>0</v>
      </c>
      <c r="U31" s="33">
        <f t="shared" si="9"/>
        <v>11</v>
      </c>
      <c r="V31" s="36">
        <f>ROUND('CIT - PAY'!I31*0.12,2)</f>
        <v>0</v>
      </c>
      <c r="W31" s="37">
        <f t="shared" si="0"/>
        <v>100</v>
      </c>
      <c r="X31" s="37">
        <f>MIN((I31*0.05)-'CIT - DEDS'!Y30,2500)</f>
        <v>0</v>
      </c>
      <c r="Y31" s="35">
        <f t="shared" si="2"/>
        <v>200</v>
      </c>
    </row>
    <row r="32" spans="1:26" ht="18.75" customHeight="1" x14ac:dyDescent="0.25">
      <c r="A32" s="98"/>
      <c r="B32" s="34">
        <f t="shared" si="1"/>
        <v>12</v>
      </c>
      <c r="C32" s="72">
        <f>VLOOKUP(B32,'WTAX-CIT'!B:N,2,0)</f>
        <v>0</v>
      </c>
      <c r="D32" s="182" t="e">
        <f>VLOOKUP(C32,'WTAX-CIT'!C:O,2,0)</f>
        <v>#N/A</v>
      </c>
      <c r="E32" s="306">
        <f>VLOOKUP(B32,'WTAX-CIT'!B:N,4,0)</f>
        <v>0</v>
      </c>
      <c r="F32" s="87"/>
      <c r="G32" s="88"/>
      <c r="H32" s="88"/>
      <c r="I32" s="37">
        <f t="shared" si="3"/>
        <v>0</v>
      </c>
      <c r="J32" s="332">
        <f>'WTAX-CIT'!N19</f>
        <v>0</v>
      </c>
      <c r="K32" s="216">
        <f t="shared" si="4"/>
        <v>0</v>
      </c>
      <c r="L32" s="36">
        <f>'WTAX-CIT'!F19</f>
        <v>0</v>
      </c>
      <c r="M32" s="37">
        <f>'CIT - DEDS'!R31</f>
        <v>0</v>
      </c>
      <c r="N32" s="37">
        <f>'CIT - DEDS'!X31</f>
        <v>0</v>
      </c>
      <c r="O32" s="37">
        <f>'CIT - DEDS'!Y31</f>
        <v>0</v>
      </c>
      <c r="P32" s="37">
        <f>'CIT - DEDS'!AE31</f>
        <v>0</v>
      </c>
      <c r="Q32" s="35">
        <f t="shared" si="5"/>
        <v>0</v>
      </c>
      <c r="R32" s="45">
        <f t="shared" si="6"/>
        <v>0</v>
      </c>
      <c r="S32" s="219">
        <f t="shared" si="7"/>
        <v>0</v>
      </c>
      <c r="T32" s="220">
        <f t="shared" si="8"/>
        <v>0</v>
      </c>
      <c r="U32" s="33">
        <f t="shared" si="9"/>
        <v>12</v>
      </c>
      <c r="V32" s="36">
        <f>ROUND('CIT - PAY'!I32*0.12,2)</f>
        <v>0</v>
      </c>
      <c r="W32" s="37">
        <f t="shared" si="0"/>
        <v>100</v>
      </c>
      <c r="X32" s="37">
        <f>MIN((I32*0.05)-'CIT - DEDS'!Y31,2500)</f>
        <v>0</v>
      </c>
      <c r="Y32" s="35">
        <f t="shared" si="2"/>
        <v>200</v>
      </c>
    </row>
    <row r="33" spans="1:25" ht="18.75" customHeight="1" x14ac:dyDescent="0.25">
      <c r="A33" s="98"/>
      <c r="B33" s="34">
        <f t="shared" si="1"/>
        <v>13</v>
      </c>
      <c r="C33" s="72">
        <f>VLOOKUP(B33,'WTAX-CIT'!B:N,2,0)</f>
        <v>0</v>
      </c>
      <c r="D33" s="182" t="e">
        <f>VLOOKUP(C33,'WTAX-CIT'!C:O,2,0)</f>
        <v>#N/A</v>
      </c>
      <c r="E33" s="306">
        <f>VLOOKUP(B33,'WTAX-CIT'!B:N,4,0)</f>
        <v>0</v>
      </c>
      <c r="F33" s="87"/>
      <c r="G33" s="88"/>
      <c r="H33" s="88"/>
      <c r="I33" s="37">
        <f t="shared" si="3"/>
        <v>0</v>
      </c>
      <c r="J33" s="332">
        <f>'WTAX-CIT'!N20</f>
        <v>0</v>
      </c>
      <c r="K33" s="216">
        <f t="shared" si="4"/>
        <v>0</v>
      </c>
      <c r="L33" s="36">
        <f>'WTAX-CIT'!F20</f>
        <v>0</v>
      </c>
      <c r="M33" s="37">
        <f>'CIT - DEDS'!R32</f>
        <v>0</v>
      </c>
      <c r="N33" s="37">
        <f>'CIT - DEDS'!X32</f>
        <v>0</v>
      </c>
      <c r="O33" s="37">
        <f>'CIT - DEDS'!Y32</f>
        <v>0</v>
      </c>
      <c r="P33" s="37">
        <f>'CIT - DEDS'!AE32</f>
        <v>0</v>
      </c>
      <c r="Q33" s="35">
        <f t="shared" si="5"/>
        <v>0</v>
      </c>
      <c r="R33" s="45">
        <f t="shared" si="6"/>
        <v>0</v>
      </c>
      <c r="S33" s="219">
        <f t="shared" si="7"/>
        <v>0</v>
      </c>
      <c r="T33" s="220">
        <f t="shared" si="8"/>
        <v>0</v>
      </c>
      <c r="U33" s="33">
        <f t="shared" si="9"/>
        <v>13</v>
      </c>
      <c r="V33" s="36">
        <f>ROUND('CIT - PAY'!I33*0.12,2)</f>
        <v>0</v>
      </c>
      <c r="W33" s="37">
        <f t="shared" si="0"/>
        <v>100</v>
      </c>
      <c r="X33" s="37">
        <f>MIN((I33*0.05)-'CIT - DEDS'!Y32,2500)</f>
        <v>0</v>
      </c>
      <c r="Y33" s="35">
        <f t="shared" si="2"/>
        <v>200</v>
      </c>
    </row>
    <row r="34" spans="1:25" ht="18.75" customHeight="1" x14ac:dyDescent="0.25">
      <c r="A34" s="98"/>
      <c r="B34" s="34">
        <f t="shared" si="1"/>
        <v>14</v>
      </c>
      <c r="C34" s="72">
        <f>VLOOKUP(B34,'WTAX-CIT'!B:N,2,0)</f>
        <v>0</v>
      </c>
      <c r="D34" s="182" t="e">
        <f>VLOOKUP(C34,'WTAX-CIT'!C:O,2,0)</f>
        <v>#N/A</v>
      </c>
      <c r="E34" s="306">
        <f>VLOOKUP(B34,'WTAX-CIT'!B:N,4,0)</f>
        <v>0</v>
      </c>
      <c r="F34" s="87"/>
      <c r="G34" s="88"/>
      <c r="H34" s="88"/>
      <c r="I34" s="37">
        <f t="shared" si="3"/>
        <v>0</v>
      </c>
      <c r="J34" s="332">
        <f>'WTAX-CIT'!N21</f>
        <v>0</v>
      </c>
      <c r="K34" s="216">
        <f t="shared" si="4"/>
        <v>0</v>
      </c>
      <c r="L34" s="36">
        <f>'WTAX-CIT'!F21</f>
        <v>0</v>
      </c>
      <c r="M34" s="37">
        <f>'CIT - DEDS'!R33</f>
        <v>0</v>
      </c>
      <c r="N34" s="37">
        <f>'CIT - DEDS'!X33</f>
        <v>0</v>
      </c>
      <c r="O34" s="37">
        <f>'CIT - DEDS'!Y33</f>
        <v>0</v>
      </c>
      <c r="P34" s="37">
        <f>'CIT - DEDS'!AE33</f>
        <v>0</v>
      </c>
      <c r="Q34" s="35">
        <f t="shared" si="5"/>
        <v>0</v>
      </c>
      <c r="R34" s="45">
        <f t="shared" si="6"/>
        <v>0</v>
      </c>
      <c r="S34" s="219">
        <f t="shared" si="7"/>
        <v>0</v>
      </c>
      <c r="T34" s="220">
        <f t="shared" si="8"/>
        <v>0</v>
      </c>
      <c r="U34" s="33">
        <f t="shared" si="9"/>
        <v>14</v>
      </c>
      <c r="V34" s="36">
        <f>ROUND('CIT - PAY'!I34*0.12,2)</f>
        <v>0</v>
      </c>
      <c r="W34" s="37">
        <f t="shared" si="0"/>
        <v>100</v>
      </c>
      <c r="X34" s="37">
        <f>MIN((I34*0.05)-'CIT - DEDS'!Y33,2500)</f>
        <v>0</v>
      </c>
      <c r="Y34" s="35">
        <f t="shared" si="2"/>
        <v>200</v>
      </c>
    </row>
    <row r="35" spans="1:25" ht="18.75" customHeight="1" x14ac:dyDescent="0.25">
      <c r="A35" s="98"/>
      <c r="B35" s="34">
        <f t="shared" si="1"/>
        <v>15</v>
      </c>
      <c r="C35" s="72">
        <f>VLOOKUP(B35,'WTAX-CIT'!B:N,2,0)</f>
        <v>0</v>
      </c>
      <c r="D35" s="182" t="e">
        <f>VLOOKUP(C35,'WTAX-CIT'!C:O,2,0)</f>
        <v>#N/A</v>
      </c>
      <c r="E35" s="306">
        <f>VLOOKUP(B35,'WTAX-CIT'!B:N,4,0)</f>
        <v>0</v>
      </c>
      <c r="F35" s="87"/>
      <c r="G35" s="88"/>
      <c r="H35" s="88"/>
      <c r="I35" s="37">
        <f t="shared" si="3"/>
        <v>0</v>
      </c>
      <c r="J35" s="332">
        <f>'WTAX-CIT'!N22</f>
        <v>0</v>
      </c>
      <c r="K35" s="216">
        <f t="shared" si="4"/>
        <v>0</v>
      </c>
      <c r="L35" s="36">
        <f>'WTAX-CIT'!F22</f>
        <v>0</v>
      </c>
      <c r="M35" s="37">
        <f>'CIT - DEDS'!R34</f>
        <v>0</v>
      </c>
      <c r="N35" s="37">
        <f>'CIT - DEDS'!X34</f>
        <v>0</v>
      </c>
      <c r="O35" s="37">
        <f>'CIT - DEDS'!Y34</f>
        <v>0</v>
      </c>
      <c r="P35" s="37">
        <f>'CIT - DEDS'!AE34</f>
        <v>0</v>
      </c>
      <c r="Q35" s="35">
        <f t="shared" si="5"/>
        <v>0</v>
      </c>
      <c r="R35" s="45">
        <f t="shared" si="6"/>
        <v>0</v>
      </c>
      <c r="S35" s="219">
        <f t="shared" si="7"/>
        <v>0</v>
      </c>
      <c r="T35" s="220">
        <f t="shared" si="8"/>
        <v>0</v>
      </c>
      <c r="U35" s="33">
        <f t="shared" si="9"/>
        <v>15</v>
      </c>
      <c r="V35" s="36">
        <f>ROUND('CIT - PAY'!I35*0.12,2)</f>
        <v>0</v>
      </c>
      <c r="W35" s="37">
        <f t="shared" si="0"/>
        <v>100</v>
      </c>
      <c r="X35" s="37">
        <f>MIN((I35*0.05)-'CIT - DEDS'!Y34,2500)</f>
        <v>0</v>
      </c>
      <c r="Y35" s="35">
        <f t="shared" si="2"/>
        <v>200</v>
      </c>
    </row>
    <row r="36" spans="1:25" ht="18.75" customHeight="1" x14ac:dyDescent="0.25">
      <c r="A36" s="98"/>
      <c r="B36" s="34">
        <f t="shared" si="1"/>
        <v>16</v>
      </c>
      <c r="C36" s="72">
        <f>VLOOKUP(B36,'WTAX-CIT'!B:N,2,0)</f>
        <v>0</v>
      </c>
      <c r="D36" s="182" t="e">
        <f>VLOOKUP(C36,'WTAX-CIT'!C:O,2,0)</f>
        <v>#N/A</v>
      </c>
      <c r="E36" s="306">
        <f>VLOOKUP(B36,'WTAX-CIT'!B:N,4,0)</f>
        <v>0</v>
      </c>
      <c r="F36" s="87"/>
      <c r="G36" s="88"/>
      <c r="H36" s="88"/>
      <c r="I36" s="37">
        <f t="shared" si="3"/>
        <v>0</v>
      </c>
      <c r="J36" s="332">
        <f>'WTAX-CIT'!N23</f>
        <v>0</v>
      </c>
      <c r="K36" s="216">
        <f t="shared" si="4"/>
        <v>0</v>
      </c>
      <c r="L36" s="36">
        <f>'WTAX-CIT'!F23</f>
        <v>0</v>
      </c>
      <c r="M36" s="37">
        <f>'CIT - DEDS'!R35</f>
        <v>0</v>
      </c>
      <c r="N36" s="37">
        <f>'CIT - DEDS'!X35</f>
        <v>0</v>
      </c>
      <c r="O36" s="37">
        <f>'CIT - DEDS'!Y35</f>
        <v>0</v>
      </c>
      <c r="P36" s="37">
        <f>'CIT - DEDS'!AE35</f>
        <v>0</v>
      </c>
      <c r="Q36" s="35">
        <f t="shared" si="5"/>
        <v>0</v>
      </c>
      <c r="R36" s="45">
        <f t="shared" si="6"/>
        <v>0</v>
      </c>
      <c r="S36" s="219">
        <f t="shared" si="7"/>
        <v>0</v>
      </c>
      <c r="T36" s="220">
        <f t="shared" si="8"/>
        <v>0</v>
      </c>
      <c r="U36" s="33">
        <f t="shared" si="9"/>
        <v>16</v>
      </c>
      <c r="V36" s="36">
        <f>ROUND('CIT - PAY'!I36*0.12,2)</f>
        <v>0</v>
      </c>
      <c r="W36" s="37">
        <f t="shared" si="0"/>
        <v>100</v>
      </c>
      <c r="X36" s="37">
        <f>MIN((I36*0.05)-'CIT - DEDS'!Y35,2500)</f>
        <v>0</v>
      </c>
      <c r="Y36" s="35">
        <f t="shared" si="2"/>
        <v>200</v>
      </c>
    </row>
    <row r="37" spans="1:25" ht="18.75" customHeight="1" x14ac:dyDescent="0.25">
      <c r="A37" s="98"/>
      <c r="B37" s="34">
        <f t="shared" si="1"/>
        <v>17</v>
      </c>
      <c r="C37" s="72">
        <f>VLOOKUP(B37,'WTAX-CIT'!B:N,2,0)</f>
        <v>0</v>
      </c>
      <c r="D37" s="182" t="e">
        <f>VLOOKUP(C37,'WTAX-CIT'!C:O,2,0)</f>
        <v>#N/A</v>
      </c>
      <c r="E37" s="306">
        <f>VLOOKUP(B37,'WTAX-CIT'!B:N,4,0)</f>
        <v>0</v>
      </c>
      <c r="F37" s="87"/>
      <c r="G37" s="88"/>
      <c r="H37" s="88"/>
      <c r="I37" s="37">
        <f t="shared" si="3"/>
        <v>0</v>
      </c>
      <c r="J37" s="332">
        <f>'WTAX-CIT'!N24</f>
        <v>0</v>
      </c>
      <c r="K37" s="216">
        <f t="shared" si="4"/>
        <v>0</v>
      </c>
      <c r="L37" s="36">
        <f>'WTAX-CIT'!F24</f>
        <v>0</v>
      </c>
      <c r="M37" s="37">
        <f>'CIT - DEDS'!R36</f>
        <v>0</v>
      </c>
      <c r="N37" s="37">
        <f>'CIT - DEDS'!X36</f>
        <v>0</v>
      </c>
      <c r="O37" s="37">
        <f>'CIT - DEDS'!Y36</f>
        <v>0</v>
      </c>
      <c r="P37" s="37">
        <f>'CIT - DEDS'!AE36</f>
        <v>0</v>
      </c>
      <c r="Q37" s="35">
        <f t="shared" si="5"/>
        <v>0</v>
      </c>
      <c r="R37" s="45">
        <f t="shared" si="6"/>
        <v>0</v>
      </c>
      <c r="S37" s="219">
        <f t="shared" si="7"/>
        <v>0</v>
      </c>
      <c r="T37" s="220">
        <f t="shared" si="8"/>
        <v>0</v>
      </c>
      <c r="U37" s="33">
        <f t="shared" si="9"/>
        <v>17</v>
      </c>
      <c r="V37" s="36">
        <f>ROUND('CIT - PAY'!I37*0.12,2)</f>
        <v>0</v>
      </c>
      <c r="W37" s="37">
        <f t="shared" si="0"/>
        <v>100</v>
      </c>
      <c r="X37" s="37">
        <f>MIN((I37*0.05)-'CIT - DEDS'!Y36,2500)</f>
        <v>0</v>
      </c>
      <c r="Y37" s="35">
        <f t="shared" si="2"/>
        <v>200</v>
      </c>
    </row>
    <row r="38" spans="1:25" ht="18.75" customHeight="1" x14ac:dyDescent="0.25">
      <c r="A38" s="98"/>
      <c r="B38" s="34">
        <f t="shared" si="1"/>
        <v>18</v>
      </c>
      <c r="C38" s="72">
        <f>VLOOKUP(B38,'WTAX-CIT'!B:N,2,0)</f>
        <v>0</v>
      </c>
      <c r="D38" s="182" t="e">
        <f>VLOOKUP(C38,'WTAX-CIT'!C:O,2,0)</f>
        <v>#N/A</v>
      </c>
      <c r="E38" s="306">
        <f>VLOOKUP(B38,'WTAX-CIT'!B:N,4,0)</f>
        <v>0</v>
      </c>
      <c r="F38" s="87"/>
      <c r="G38" s="88"/>
      <c r="H38" s="88"/>
      <c r="I38" s="37">
        <f t="shared" si="3"/>
        <v>0</v>
      </c>
      <c r="J38" s="332">
        <f>'WTAX-CIT'!N25</f>
        <v>0</v>
      </c>
      <c r="K38" s="216">
        <f t="shared" si="4"/>
        <v>0</v>
      </c>
      <c r="L38" s="36">
        <f>'WTAX-CIT'!F25</f>
        <v>0</v>
      </c>
      <c r="M38" s="37">
        <f>'CIT - DEDS'!R37</f>
        <v>0</v>
      </c>
      <c r="N38" s="37">
        <f>'CIT - DEDS'!X37</f>
        <v>0</v>
      </c>
      <c r="O38" s="37">
        <f>'CIT - DEDS'!Y37</f>
        <v>0</v>
      </c>
      <c r="P38" s="37">
        <f>'CIT - DEDS'!AE37</f>
        <v>0</v>
      </c>
      <c r="Q38" s="35">
        <f t="shared" si="5"/>
        <v>0</v>
      </c>
      <c r="R38" s="45">
        <f t="shared" si="6"/>
        <v>0</v>
      </c>
      <c r="S38" s="219">
        <f t="shared" si="7"/>
        <v>0</v>
      </c>
      <c r="T38" s="220">
        <f t="shared" si="8"/>
        <v>0</v>
      </c>
      <c r="U38" s="33">
        <f t="shared" si="9"/>
        <v>18</v>
      </c>
      <c r="V38" s="36">
        <f>ROUND('CIT - PAY'!I38*0.12,2)</f>
        <v>0</v>
      </c>
      <c r="W38" s="37">
        <f t="shared" ref="W38:W60" si="10">W37</f>
        <v>100</v>
      </c>
      <c r="X38" s="37">
        <f>MIN((I38*0.05)-'CIT - DEDS'!Y37,2500)</f>
        <v>0</v>
      </c>
      <c r="Y38" s="35">
        <f t="shared" si="2"/>
        <v>200</v>
      </c>
    </row>
    <row r="39" spans="1:25" ht="18.75" customHeight="1" x14ac:dyDescent="0.25">
      <c r="A39" s="98"/>
      <c r="B39" s="34">
        <f t="shared" si="1"/>
        <v>19</v>
      </c>
      <c r="C39" s="72">
        <f>VLOOKUP(B39,'WTAX-CIT'!B:N,2,0)</f>
        <v>0</v>
      </c>
      <c r="D39" s="182" t="e">
        <f>VLOOKUP(C39,'WTAX-CIT'!C:O,2,0)</f>
        <v>#N/A</v>
      </c>
      <c r="E39" s="306">
        <f>VLOOKUP(B39,'WTAX-CIT'!B:N,4,0)</f>
        <v>0</v>
      </c>
      <c r="F39" s="87"/>
      <c r="G39" s="88"/>
      <c r="H39" s="88"/>
      <c r="I39" s="37">
        <f t="shared" si="3"/>
        <v>0</v>
      </c>
      <c r="J39" s="332">
        <f>'WTAX-CIT'!N26</f>
        <v>0</v>
      </c>
      <c r="K39" s="216">
        <f t="shared" si="4"/>
        <v>0</v>
      </c>
      <c r="L39" s="36">
        <f>'WTAX-CIT'!F26</f>
        <v>0</v>
      </c>
      <c r="M39" s="37">
        <f>'CIT - DEDS'!R38</f>
        <v>0</v>
      </c>
      <c r="N39" s="37">
        <f>'CIT - DEDS'!X38</f>
        <v>0</v>
      </c>
      <c r="O39" s="37">
        <f>'CIT - DEDS'!Y38</f>
        <v>0</v>
      </c>
      <c r="P39" s="37">
        <f>'CIT - DEDS'!AE38</f>
        <v>0</v>
      </c>
      <c r="Q39" s="35">
        <f t="shared" si="5"/>
        <v>0</v>
      </c>
      <c r="R39" s="45">
        <f t="shared" si="6"/>
        <v>0</v>
      </c>
      <c r="S39" s="219">
        <f t="shared" si="7"/>
        <v>0</v>
      </c>
      <c r="T39" s="220">
        <f t="shared" si="8"/>
        <v>0</v>
      </c>
      <c r="U39" s="33">
        <f t="shared" si="9"/>
        <v>19</v>
      </c>
      <c r="V39" s="36">
        <f>ROUND('CIT - PAY'!I39*0.12,2)</f>
        <v>0</v>
      </c>
      <c r="W39" s="37">
        <f t="shared" si="10"/>
        <v>100</v>
      </c>
      <c r="X39" s="37">
        <f>MIN((I39*0.05)-'CIT - DEDS'!Y38,2500)</f>
        <v>0</v>
      </c>
      <c r="Y39" s="35">
        <f t="shared" si="2"/>
        <v>200</v>
      </c>
    </row>
    <row r="40" spans="1:25" ht="18.75" customHeight="1" x14ac:dyDescent="0.25">
      <c r="A40" s="98"/>
      <c r="B40" s="34">
        <f t="shared" si="1"/>
        <v>20</v>
      </c>
      <c r="C40" s="72">
        <f>VLOOKUP(B40,'WTAX-CIT'!B:N,2,0)</f>
        <v>0</v>
      </c>
      <c r="D40" s="182" t="e">
        <f>VLOOKUP(C40,'WTAX-CIT'!C:O,2,0)</f>
        <v>#N/A</v>
      </c>
      <c r="E40" s="306">
        <f>VLOOKUP(B40,'WTAX-CIT'!B:N,4,0)</f>
        <v>0</v>
      </c>
      <c r="F40" s="87"/>
      <c r="G40" s="88"/>
      <c r="H40" s="88"/>
      <c r="I40" s="37">
        <f t="shared" si="3"/>
        <v>0</v>
      </c>
      <c r="J40" s="332">
        <f>'WTAX-CIT'!N27</f>
        <v>0</v>
      </c>
      <c r="K40" s="216">
        <f t="shared" si="4"/>
        <v>0</v>
      </c>
      <c r="L40" s="36">
        <f>'WTAX-CIT'!F27</f>
        <v>0</v>
      </c>
      <c r="M40" s="37">
        <f>'CIT - DEDS'!R39</f>
        <v>0</v>
      </c>
      <c r="N40" s="37">
        <f>'CIT - DEDS'!X39</f>
        <v>0</v>
      </c>
      <c r="O40" s="37">
        <f>'CIT - DEDS'!Y39</f>
        <v>0</v>
      </c>
      <c r="P40" s="37">
        <f>'CIT - DEDS'!AE39</f>
        <v>0</v>
      </c>
      <c r="Q40" s="35">
        <f t="shared" si="5"/>
        <v>0</v>
      </c>
      <c r="R40" s="45">
        <f t="shared" si="6"/>
        <v>0</v>
      </c>
      <c r="S40" s="219">
        <f t="shared" si="7"/>
        <v>0</v>
      </c>
      <c r="T40" s="220">
        <f t="shared" si="8"/>
        <v>0</v>
      </c>
      <c r="U40" s="33">
        <f t="shared" si="9"/>
        <v>20</v>
      </c>
      <c r="V40" s="36">
        <f>ROUND('CIT - PAY'!I40*0.12,2)</f>
        <v>0</v>
      </c>
      <c r="W40" s="37">
        <f t="shared" si="10"/>
        <v>100</v>
      </c>
      <c r="X40" s="37">
        <f>MIN((I40*0.05)-'CIT - DEDS'!Y39,2500)</f>
        <v>0</v>
      </c>
      <c r="Y40" s="35">
        <f t="shared" si="2"/>
        <v>200</v>
      </c>
    </row>
    <row r="41" spans="1:25" ht="18.75" customHeight="1" x14ac:dyDescent="0.25">
      <c r="A41" s="98"/>
      <c r="B41" s="34">
        <f t="shared" si="1"/>
        <v>21</v>
      </c>
      <c r="C41" s="72">
        <f>VLOOKUP(B41,'WTAX-CIT'!B:N,2,0)</f>
        <v>0</v>
      </c>
      <c r="D41" s="182" t="e">
        <f>VLOOKUP(C41,'WTAX-CIT'!C:O,2,0)</f>
        <v>#N/A</v>
      </c>
      <c r="E41" s="306">
        <f>VLOOKUP(B41,'WTAX-CIT'!B:N,4,0)</f>
        <v>0</v>
      </c>
      <c r="F41" s="87"/>
      <c r="G41" s="88"/>
      <c r="H41" s="88"/>
      <c r="I41" s="37">
        <f t="shared" si="3"/>
        <v>0</v>
      </c>
      <c r="J41" s="332">
        <f>'WTAX-CIT'!N28</f>
        <v>0</v>
      </c>
      <c r="K41" s="216">
        <f t="shared" si="4"/>
        <v>0</v>
      </c>
      <c r="L41" s="36">
        <f>'WTAX-CIT'!F28</f>
        <v>0</v>
      </c>
      <c r="M41" s="37">
        <f>'CIT - DEDS'!R40</f>
        <v>0</v>
      </c>
      <c r="N41" s="37">
        <f>'CIT - DEDS'!X40</f>
        <v>0</v>
      </c>
      <c r="O41" s="37">
        <f>'CIT - DEDS'!Y40</f>
        <v>0</v>
      </c>
      <c r="P41" s="37">
        <f>'CIT - DEDS'!AE40</f>
        <v>0</v>
      </c>
      <c r="Q41" s="35">
        <f t="shared" si="5"/>
        <v>0</v>
      </c>
      <c r="R41" s="45">
        <f t="shared" si="6"/>
        <v>0</v>
      </c>
      <c r="S41" s="219">
        <f t="shared" si="7"/>
        <v>0</v>
      </c>
      <c r="T41" s="220">
        <f t="shared" si="8"/>
        <v>0</v>
      </c>
      <c r="U41" s="33">
        <f t="shared" si="9"/>
        <v>21</v>
      </c>
      <c r="V41" s="36">
        <f>ROUND('CIT - PAY'!I41*0.12,2)</f>
        <v>0</v>
      </c>
      <c r="W41" s="37">
        <f t="shared" si="10"/>
        <v>100</v>
      </c>
      <c r="X41" s="37">
        <f>MIN((I41*0.05)-'CIT - DEDS'!Y40,2500)</f>
        <v>0</v>
      </c>
      <c r="Y41" s="35">
        <f t="shared" si="2"/>
        <v>200</v>
      </c>
    </row>
    <row r="42" spans="1:25" ht="18.75" customHeight="1" x14ac:dyDescent="0.25">
      <c r="A42" s="98"/>
      <c r="B42" s="34">
        <f t="shared" si="1"/>
        <v>22</v>
      </c>
      <c r="C42" s="72">
        <f>VLOOKUP(B42,'WTAX-CIT'!B:N,2,0)</f>
        <v>0</v>
      </c>
      <c r="D42" s="182" t="e">
        <f>VLOOKUP(C42,'WTAX-CIT'!C:O,2,0)</f>
        <v>#N/A</v>
      </c>
      <c r="E42" s="306">
        <f>VLOOKUP(B42,'WTAX-CIT'!B:N,4,0)</f>
        <v>0</v>
      </c>
      <c r="F42" s="87"/>
      <c r="G42" s="88"/>
      <c r="H42" s="88"/>
      <c r="I42" s="37">
        <f t="shared" si="3"/>
        <v>0</v>
      </c>
      <c r="J42" s="332">
        <f>'WTAX-CIT'!N29</f>
        <v>0</v>
      </c>
      <c r="K42" s="216">
        <f t="shared" si="4"/>
        <v>0</v>
      </c>
      <c r="L42" s="36">
        <f>'WTAX-CIT'!F29</f>
        <v>0</v>
      </c>
      <c r="M42" s="37">
        <f>'CIT - DEDS'!R41</f>
        <v>0</v>
      </c>
      <c r="N42" s="37">
        <f>'CIT - DEDS'!X41</f>
        <v>0</v>
      </c>
      <c r="O42" s="37">
        <f>'CIT - DEDS'!Y41</f>
        <v>0</v>
      </c>
      <c r="P42" s="37">
        <f>'CIT - DEDS'!AE41</f>
        <v>0</v>
      </c>
      <c r="Q42" s="35">
        <f t="shared" si="5"/>
        <v>0</v>
      </c>
      <c r="R42" s="45">
        <f t="shared" si="6"/>
        <v>0</v>
      </c>
      <c r="S42" s="219">
        <f t="shared" si="7"/>
        <v>0</v>
      </c>
      <c r="T42" s="220">
        <f t="shared" si="8"/>
        <v>0</v>
      </c>
      <c r="U42" s="33">
        <f t="shared" si="9"/>
        <v>22</v>
      </c>
      <c r="V42" s="36">
        <f>ROUND('CIT - PAY'!I42*0.12,2)</f>
        <v>0</v>
      </c>
      <c r="W42" s="37">
        <f t="shared" si="10"/>
        <v>100</v>
      </c>
      <c r="X42" s="37">
        <f>MIN((I42*0.05)-'CIT - DEDS'!Y41,2500)</f>
        <v>0</v>
      </c>
      <c r="Y42" s="35">
        <f t="shared" si="2"/>
        <v>200</v>
      </c>
    </row>
    <row r="43" spans="1:25" ht="18.75" customHeight="1" x14ac:dyDescent="0.25">
      <c r="A43" s="98"/>
      <c r="B43" s="34">
        <f t="shared" si="1"/>
        <v>23</v>
      </c>
      <c r="C43" s="72">
        <f>VLOOKUP(B43,'WTAX-CIT'!B:N,2,0)</f>
        <v>0</v>
      </c>
      <c r="D43" s="182" t="e">
        <f>VLOOKUP(C43,'WTAX-CIT'!C:O,2,0)</f>
        <v>#N/A</v>
      </c>
      <c r="E43" s="306">
        <f>VLOOKUP(B43,'WTAX-CIT'!B:N,4,0)</f>
        <v>0</v>
      </c>
      <c r="F43" s="87"/>
      <c r="G43" s="88"/>
      <c r="H43" s="88"/>
      <c r="I43" s="37">
        <f t="shared" si="3"/>
        <v>0</v>
      </c>
      <c r="J43" s="332">
        <f>'WTAX-CIT'!N30</f>
        <v>0</v>
      </c>
      <c r="K43" s="216">
        <f t="shared" si="4"/>
        <v>0</v>
      </c>
      <c r="L43" s="36">
        <f>'WTAX-CIT'!F30</f>
        <v>0</v>
      </c>
      <c r="M43" s="37">
        <f>'CIT - DEDS'!R42</f>
        <v>0</v>
      </c>
      <c r="N43" s="37">
        <f>'CIT - DEDS'!X42</f>
        <v>0</v>
      </c>
      <c r="O43" s="37">
        <f>'CIT - DEDS'!Y42</f>
        <v>0</v>
      </c>
      <c r="P43" s="37">
        <f>'CIT - DEDS'!AE42</f>
        <v>0</v>
      </c>
      <c r="Q43" s="35">
        <f t="shared" si="5"/>
        <v>0</v>
      </c>
      <c r="R43" s="45">
        <f t="shared" si="6"/>
        <v>0</v>
      </c>
      <c r="S43" s="219">
        <f t="shared" si="7"/>
        <v>0</v>
      </c>
      <c r="T43" s="220">
        <f t="shared" si="8"/>
        <v>0</v>
      </c>
      <c r="U43" s="33">
        <f t="shared" si="9"/>
        <v>23</v>
      </c>
      <c r="V43" s="36">
        <f>ROUND('CIT - PAY'!I43*0.12,2)</f>
        <v>0</v>
      </c>
      <c r="W43" s="37">
        <f t="shared" si="10"/>
        <v>100</v>
      </c>
      <c r="X43" s="37">
        <f>MIN((I43*0.05)-'CIT - DEDS'!Y42,2500)</f>
        <v>0</v>
      </c>
      <c r="Y43" s="35">
        <f t="shared" si="2"/>
        <v>200</v>
      </c>
    </row>
    <row r="44" spans="1:25" ht="18.75" customHeight="1" x14ac:dyDescent="0.25">
      <c r="A44" s="98"/>
      <c r="B44" s="34">
        <f t="shared" si="1"/>
        <v>24</v>
      </c>
      <c r="C44" s="72">
        <f>VLOOKUP(B44,'WTAX-CIT'!B:N,2,0)</f>
        <v>0</v>
      </c>
      <c r="D44" s="182" t="e">
        <f>VLOOKUP(C44,'WTAX-CIT'!C:O,2,0)</f>
        <v>#N/A</v>
      </c>
      <c r="E44" s="306">
        <f>VLOOKUP(B44,'WTAX-CIT'!B:N,4,0)</f>
        <v>0</v>
      </c>
      <c r="F44" s="87"/>
      <c r="G44" s="88"/>
      <c r="H44" s="88"/>
      <c r="I44" s="37">
        <f t="shared" si="3"/>
        <v>0</v>
      </c>
      <c r="J44" s="332">
        <f>'WTAX-CIT'!N31</f>
        <v>0</v>
      </c>
      <c r="K44" s="216">
        <f t="shared" si="4"/>
        <v>0</v>
      </c>
      <c r="L44" s="36">
        <f>'WTAX-CIT'!F31</f>
        <v>0</v>
      </c>
      <c r="M44" s="37">
        <f>'CIT - DEDS'!R43</f>
        <v>0</v>
      </c>
      <c r="N44" s="37">
        <f>'CIT - DEDS'!X43</f>
        <v>0</v>
      </c>
      <c r="O44" s="37">
        <f>'CIT - DEDS'!Y43</f>
        <v>0</v>
      </c>
      <c r="P44" s="37">
        <f>'CIT - DEDS'!AE43</f>
        <v>0</v>
      </c>
      <c r="Q44" s="35">
        <f t="shared" si="5"/>
        <v>0</v>
      </c>
      <c r="R44" s="45">
        <f t="shared" si="6"/>
        <v>0</v>
      </c>
      <c r="S44" s="219">
        <f t="shared" si="7"/>
        <v>0</v>
      </c>
      <c r="T44" s="220">
        <f t="shared" si="8"/>
        <v>0</v>
      </c>
      <c r="U44" s="33">
        <f t="shared" si="9"/>
        <v>24</v>
      </c>
      <c r="V44" s="36">
        <f>ROUND('CIT - PAY'!I44*0.12,2)</f>
        <v>0</v>
      </c>
      <c r="W44" s="37">
        <f t="shared" si="10"/>
        <v>100</v>
      </c>
      <c r="X44" s="37">
        <f>MIN((I44*0.05)-'CIT - DEDS'!Y43,2500)</f>
        <v>0</v>
      </c>
      <c r="Y44" s="35">
        <f t="shared" si="2"/>
        <v>200</v>
      </c>
    </row>
    <row r="45" spans="1:25" ht="18.75" customHeight="1" x14ac:dyDescent="0.25">
      <c r="A45" s="98"/>
      <c r="B45" s="34">
        <f t="shared" si="1"/>
        <v>25</v>
      </c>
      <c r="C45" s="72">
        <f>VLOOKUP(B45,'WTAX-CIT'!B:N,2,0)</f>
        <v>0</v>
      </c>
      <c r="D45" s="182" t="e">
        <f>VLOOKUP(C45,'WTAX-CIT'!C:O,2,0)</f>
        <v>#N/A</v>
      </c>
      <c r="E45" s="306">
        <f>VLOOKUP(B45,'WTAX-CIT'!B:N,4,0)</f>
        <v>0</v>
      </c>
      <c r="F45" s="87"/>
      <c r="G45" s="88"/>
      <c r="H45" s="88"/>
      <c r="I45" s="37">
        <f t="shared" si="3"/>
        <v>0</v>
      </c>
      <c r="J45" s="332">
        <f>'WTAX-CIT'!N32</f>
        <v>0</v>
      </c>
      <c r="K45" s="216">
        <f t="shared" si="4"/>
        <v>0</v>
      </c>
      <c r="L45" s="36">
        <f>'WTAX-CIT'!F32</f>
        <v>0</v>
      </c>
      <c r="M45" s="37">
        <f>'CIT - DEDS'!R44</f>
        <v>0</v>
      </c>
      <c r="N45" s="37">
        <f>'CIT - DEDS'!X44</f>
        <v>0</v>
      </c>
      <c r="O45" s="37">
        <f>'CIT - DEDS'!Y44</f>
        <v>0</v>
      </c>
      <c r="P45" s="37">
        <f>'CIT - DEDS'!AE44</f>
        <v>0</v>
      </c>
      <c r="Q45" s="35">
        <f t="shared" si="5"/>
        <v>0</v>
      </c>
      <c r="R45" s="45">
        <f t="shared" si="6"/>
        <v>0</v>
      </c>
      <c r="S45" s="219">
        <f t="shared" si="7"/>
        <v>0</v>
      </c>
      <c r="T45" s="220">
        <f t="shared" si="8"/>
        <v>0</v>
      </c>
      <c r="U45" s="33">
        <f t="shared" si="9"/>
        <v>25</v>
      </c>
      <c r="V45" s="36">
        <f>ROUND('CIT - PAY'!I45*0.12,2)</f>
        <v>0</v>
      </c>
      <c r="W45" s="37">
        <f t="shared" si="10"/>
        <v>100</v>
      </c>
      <c r="X45" s="37">
        <f>MIN((I45*0.05)-'CIT - DEDS'!Y44,2500)</f>
        <v>0</v>
      </c>
      <c r="Y45" s="35">
        <f t="shared" si="2"/>
        <v>200</v>
      </c>
    </row>
    <row r="46" spans="1:25" ht="18.75" customHeight="1" x14ac:dyDescent="0.25">
      <c r="A46" s="98"/>
      <c r="B46" s="34">
        <f t="shared" si="1"/>
        <v>26</v>
      </c>
      <c r="C46" s="72">
        <f>VLOOKUP(B46,'WTAX-CIT'!B:N,2,0)</f>
        <v>0</v>
      </c>
      <c r="D46" s="182" t="e">
        <f>VLOOKUP(C46,'WTAX-CIT'!C:O,2,0)</f>
        <v>#N/A</v>
      </c>
      <c r="E46" s="306">
        <f>VLOOKUP(B46,'WTAX-CIT'!B:N,4,0)</f>
        <v>0</v>
      </c>
      <c r="F46" s="87"/>
      <c r="G46" s="88"/>
      <c r="H46" s="88"/>
      <c r="I46" s="37">
        <f t="shared" si="3"/>
        <v>0</v>
      </c>
      <c r="J46" s="332">
        <f>'WTAX-CIT'!N33</f>
        <v>0</v>
      </c>
      <c r="K46" s="216">
        <f t="shared" si="4"/>
        <v>0</v>
      </c>
      <c r="L46" s="36">
        <f>'WTAX-CIT'!F33</f>
        <v>0</v>
      </c>
      <c r="M46" s="37">
        <f>'CIT - DEDS'!R45</f>
        <v>0</v>
      </c>
      <c r="N46" s="37">
        <f>'CIT - DEDS'!X45</f>
        <v>0</v>
      </c>
      <c r="O46" s="37">
        <f>'CIT - DEDS'!Y45</f>
        <v>0</v>
      </c>
      <c r="P46" s="37">
        <f>'CIT - DEDS'!AE45</f>
        <v>0</v>
      </c>
      <c r="Q46" s="35">
        <f t="shared" si="5"/>
        <v>0</v>
      </c>
      <c r="R46" s="45">
        <f t="shared" si="6"/>
        <v>0</v>
      </c>
      <c r="S46" s="219">
        <f t="shared" si="7"/>
        <v>0</v>
      </c>
      <c r="T46" s="220">
        <f t="shared" si="8"/>
        <v>0</v>
      </c>
      <c r="U46" s="33">
        <f t="shared" si="9"/>
        <v>26</v>
      </c>
      <c r="V46" s="36">
        <f>ROUND('CIT - PAY'!I46*0.12,2)</f>
        <v>0</v>
      </c>
      <c r="W46" s="37">
        <f t="shared" si="10"/>
        <v>100</v>
      </c>
      <c r="X46" s="37">
        <f>MIN((I46*0.05)-'CIT - DEDS'!Y45,2500)</f>
        <v>0</v>
      </c>
      <c r="Y46" s="35">
        <f t="shared" si="2"/>
        <v>200</v>
      </c>
    </row>
    <row r="47" spans="1:25" ht="18.75" customHeight="1" x14ac:dyDescent="0.25">
      <c r="A47" s="98"/>
      <c r="B47" s="34">
        <f t="shared" si="1"/>
        <v>27</v>
      </c>
      <c r="C47" s="72">
        <f>VLOOKUP(B47,'WTAX-CIT'!B:N,2,0)</f>
        <v>0</v>
      </c>
      <c r="D47" s="182" t="e">
        <f>VLOOKUP(C47,'WTAX-CIT'!C:O,2,0)</f>
        <v>#N/A</v>
      </c>
      <c r="E47" s="306">
        <f>VLOOKUP(B47,'WTAX-CIT'!B:N,4,0)</f>
        <v>0</v>
      </c>
      <c r="F47" s="87"/>
      <c r="G47" s="88"/>
      <c r="H47" s="88"/>
      <c r="I47" s="37">
        <f t="shared" si="3"/>
        <v>0</v>
      </c>
      <c r="J47" s="332">
        <f>'WTAX-CIT'!N34</f>
        <v>0</v>
      </c>
      <c r="K47" s="216">
        <f t="shared" si="4"/>
        <v>0</v>
      </c>
      <c r="L47" s="36">
        <f>'WTAX-CIT'!F34</f>
        <v>0</v>
      </c>
      <c r="M47" s="37">
        <f>'CIT - DEDS'!R46</f>
        <v>0</v>
      </c>
      <c r="N47" s="37">
        <f>'CIT - DEDS'!X46</f>
        <v>0</v>
      </c>
      <c r="O47" s="37">
        <f>'CIT - DEDS'!Y46</f>
        <v>0</v>
      </c>
      <c r="P47" s="37">
        <f>'CIT - DEDS'!AE46</f>
        <v>0</v>
      </c>
      <c r="Q47" s="35">
        <f t="shared" si="5"/>
        <v>0</v>
      </c>
      <c r="R47" s="45">
        <f t="shared" si="6"/>
        <v>0</v>
      </c>
      <c r="S47" s="219">
        <f t="shared" si="7"/>
        <v>0</v>
      </c>
      <c r="T47" s="220">
        <f t="shared" si="8"/>
        <v>0</v>
      </c>
      <c r="U47" s="33">
        <f t="shared" si="9"/>
        <v>27</v>
      </c>
      <c r="V47" s="36">
        <f>ROUND('CIT - PAY'!I47*0.12,2)</f>
        <v>0</v>
      </c>
      <c r="W47" s="37">
        <f t="shared" si="10"/>
        <v>100</v>
      </c>
      <c r="X47" s="37">
        <f>MIN((I47*0.05)-'CIT - DEDS'!Y46,2500)</f>
        <v>0</v>
      </c>
      <c r="Y47" s="35">
        <f t="shared" si="2"/>
        <v>200</v>
      </c>
    </row>
    <row r="48" spans="1:25" ht="18.75" customHeight="1" x14ac:dyDescent="0.25">
      <c r="A48" s="98"/>
      <c r="B48" s="34">
        <f t="shared" si="1"/>
        <v>28</v>
      </c>
      <c r="C48" s="72">
        <f>VLOOKUP(B48,'WTAX-CIT'!B:N,2,0)</f>
        <v>0</v>
      </c>
      <c r="D48" s="182" t="e">
        <f>VLOOKUP(C48,'WTAX-CIT'!C:O,2,0)</f>
        <v>#N/A</v>
      </c>
      <c r="E48" s="306">
        <f>VLOOKUP(B48,'WTAX-CIT'!B:N,4,0)</f>
        <v>0</v>
      </c>
      <c r="F48" s="87"/>
      <c r="G48" s="88"/>
      <c r="H48" s="88"/>
      <c r="I48" s="37">
        <f t="shared" si="3"/>
        <v>0</v>
      </c>
      <c r="J48" s="332">
        <f>'WTAX-CIT'!N35</f>
        <v>0</v>
      </c>
      <c r="K48" s="216">
        <f t="shared" si="4"/>
        <v>0</v>
      </c>
      <c r="L48" s="36">
        <f>'WTAX-CIT'!F35</f>
        <v>0</v>
      </c>
      <c r="M48" s="37">
        <f>'CIT - DEDS'!R47</f>
        <v>0</v>
      </c>
      <c r="N48" s="37">
        <f>'CIT - DEDS'!X47</f>
        <v>0</v>
      </c>
      <c r="O48" s="37">
        <f>'CIT - DEDS'!Y47</f>
        <v>0</v>
      </c>
      <c r="P48" s="37">
        <f>'CIT - DEDS'!AE47</f>
        <v>0</v>
      </c>
      <c r="Q48" s="35">
        <f t="shared" si="5"/>
        <v>0</v>
      </c>
      <c r="R48" s="45">
        <f t="shared" si="6"/>
        <v>0</v>
      </c>
      <c r="S48" s="219">
        <f t="shared" si="7"/>
        <v>0</v>
      </c>
      <c r="T48" s="220">
        <f t="shared" si="8"/>
        <v>0</v>
      </c>
      <c r="U48" s="33">
        <f t="shared" si="9"/>
        <v>28</v>
      </c>
      <c r="V48" s="36">
        <f>ROUND('CIT - PAY'!I48*0.12,2)</f>
        <v>0</v>
      </c>
      <c r="W48" s="37">
        <f t="shared" si="10"/>
        <v>100</v>
      </c>
      <c r="X48" s="37">
        <f>MIN((I48*0.05)-'CIT - DEDS'!Y47,2500)</f>
        <v>0</v>
      </c>
      <c r="Y48" s="35">
        <f t="shared" si="2"/>
        <v>200</v>
      </c>
    </row>
    <row r="49" spans="1:25" ht="18.75" customHeight="1" x14ac:dyDescent="0.25">
      <c r="A49" s="98"/>
      <c r="B49" s="34">
        <f t="shared" si="1"/>
        <v>29</v>
      </c>
      <c r="C49" s="72">
        <f>VLOOKUP(B49,'WTAX-CIT'!B:N,2,0)</f>
        <v>0</v>
      </c>
      <c r="D49" s="182" t="e">
        <f>VLOOKUP(C49,'WTAX-CIT'!C:O,2,0)</f>
        <v>#N/A</v>
      </c>
      <c r="E49" s="306">
        <f>VLOOKUP(B49,'WTAX-CIT'!B:N,4,0)</f>
        <v>0</v>
      </c>
      <c r="F49" s="87"/>
      <c r="G49" s="88"/>
      <c r="H49" s="88"/>
      <c r="I49" s="37">
        <f t="shared" si="3"/>
        <v>0</v>
      </c>
      <c r="J49" s="332">
        <f>'WTAX-CIT'!N36</f>
        <v>0</v>
      </c>
      <c r="K49" s="216">
        <f t="shared" si="4"/>
        <v>0</v>
      </c>
      <c r="L49" s="36">
        <f>'WTAX-CIT'!F36</f>
        <v>0</v>
      </c>
      <c r="M49" s="37">
        <f>'CIT - DEDS'!R48</f>
        <v>0</v>
      </c>
      <c r="N49" s="37">
        <f>'CIT - DEDS'!X48</f>
        <v>0</v>
      </c>
      <c r="O49" s="37">
        <f>'CIT - DEDS'!Y48</f>
        <v>0</v>
      </c>
      <c r="P49" s="37">
        <f>'CIT - DEDS'!AE48</f>
        <v>0</v>
      </c>
      <c r="Q49" s="35">
        <f t="shared" si="5"/>
        <v>0</v>
      </c>
      <c r="R49" s="45">
        <f t="shared" si="6"/>
        <v>0</v>
      </c>
      <c r="S49" s="219">
        <f t="shared" si="7"/>
        <v>0</v>
      </c>
      <c r="T49" s="220">
        <f t="shared" si="8"/>
        <v>0</v>
      </c>
      <c r="U49" s="33">
        <f t="shared" si="9"/>
        <v>29</v>
      </c>
      <c r="V49" s="36">
        <f>ROUND('CIT - PAY'!I49*0.12,2)</f>
        <v>0</v>
      </c>
      <c r="W49" s="37">
        <f t="shared" si="10"/>
        <v>100</v>
      </c>
      <c r="X49" s="37">
        <f>MIN((I49*0.05)-'CIT - DEDS'!Y48,2500)</f>
        <v>0</v>
      </c>
      <c r="Y49" s="35">
        <f t="shared" si="2"/>
        <v>200</v>
      </c>
    </row>
    <row r="50" spans="1:25" ht="18.75" customHeight="1" x14ac:dyDescent="0.25">
      <c r="A50" s="98"/>
      <c r="B50" s="34">
        <f t="shared" si="1"/>
        <v>30</v>
      </c>
      <c r="C50" s="72">
        <f>VLOOKUP(B50,'WTAX-CIT'!B:N,2,0)</f>
        <v>0</v>
      </c>
      <c r="D50" s="182" t="e">
        <f>VLOOKUP(C50,'WTAX-CIT'!C:O,2,0)</f>
        <v>#N/A</v>
      </c>
      <c r="E50" s="306">
        <f>VLOOKUP(B50,'WTAX-CIT'!B:N,4,0)</f>
        <v>0</v>
      </c>
      <c r="F50" s="87"/>
      <c r="G50" s="88"/>
      <c r="H50" s="88"/>
      <c r="I50" s="37">
        <f t="shared" si="3"/>
        <v>0</v>
      </c>
      <c r="J50" s="332">
        <f>'WTAX-CIT'!N37</f>
        <v>0</v>
      </c>
      <c r="K50" s="216">
        <f t="shared" si="4"/>
        <v>0</v>
      </c>
      <c r="L50" s="36">
        <f>'WTAX-CIT'!F37</f>
        <v>0</v>
      </c>
      <c r="M50" s="37">
        <f>'CIT - DEDS'!R49</f>
        <v>0</v>
      </c>
      <c r="N50" s="37">
        <f>'CIT - DEDS'!X49</f>
        <v>0</v>
      </c>
      <c r="O50" s="37">
        <f>'CIT - DEDS'!Y49</f>
        <v>0</v>
      </c>
      <c r="P50" s="37">
        <f>'CIT - DEDS'!AE49</f>
        <v>0</v>
      </c>
      <c r="Q50" s="35">
        <f t="shared" si="5"/>
        <v>0</v>
      </c>
      <c r="R50" s="45">
        <f t="shared" si="6"/>
        <v>0</v>
      </c>
      <c r="S50" s="219">
        <f t="shared" si="7"/>
        <v>0</v>
      </c>
      <c r="T50" s="220">
        <f t="shared" si="8"/>
        <v>0</v>
      </c>
      <c r="U50" s="33">
        <f t="shared" si="9"/>
        <v>30</v>
      </c>
      <c r="V50" s="36">
        <f>ROUND('CIT - PAY'!I50*0.12,2)</f>
        <v>0</v>
      </c>
      <c r="W50" s="37">
        <f t="shared" si="10"/>
        <v>100</v>
      </c>
      <c r="X50" s="37">
        <f>MIN((I50*0.05)-'CIT - DEDS'!Y49,2500)</f>
        <v>0</v>
      </c>
      <c r="Y50" s="35">
        <f t="shared" si="2"/>
        <v>200</v>
      </c>
    </row>
    <row r="51" spans="1:25" ht="18.75" customHeight="1" x14ac:dyDescent="0.25">
      <c r="A51" s="98"/>
      <c r="B51" s="34">
        <f t="shared" si="1"/>
        <v>31</v>
      </c>
      <c r="C51" s="72">
        <f>VLOOKUP(B51,'WTAX-CIT'!B:N,2,0)</f>
        <v>0</v>
      </c>
      <c r="D51" s="182" t="e">
        <f>VLOOKUP(C51,'WTAX-CIT'!C:O,2,0)</f>
        <v>#N/A</v>
      </c>
      <c r="E51" s="306">
        <f>VLOOKUP(B51,'WTAX-CIT'!B:N,4,0)</f>
        <v>0</v>
      </c>
      <c r="F51" s="87"/>
      <c r="G51" s="88"/>
      <c r="H51" s="88"/>
      <c r="I51" s="37">
        <f t="shared" si="3"/>
        <v>0</v>
      </c>
      <c r="J51" s="332">
        <f>'WTAX-CIT'!N38</f>
        <v>0</v>
      </c>
      <c r="K51" s="216">
        <f t="shared" si="4"/>
        <v>0</v>
      </c>
      <c r="L51" s="36">
        <f>'WTAX-CIT'!F38</f>
        <v>0</v>
      </c>
      <c r="M51" s="37">
        <f>'CIT - DEDS'!R50</f>
        <v>0</v>
      </c>
      <c r="N51" s="37">
        <f>'CIT - DEDS'!X50</f>
        <v>0</v>
      </c>
      <c r="O51" s="37">
        <f>'CIT - DEDS'!Y50</f>
        <v>0</v>
      </c>
      <c r="P51" s="37">
        <f>'CIT - DEDS'!AE50</f>
        <v>0</v>
      </c>
      <c r="Q51" s="35">
        <f t="shared" si="5"/>
        <v>0</v>
      </c>
      <c r="R51" s="45">
        <f t="shared" si="6"/>
        <v>0</v>
      </c>
      <c r="S51" s="219">
        <f t="shared" si="7"/>
        <v>0</v>
      </c>
      <c r="T51" s="220">
        <f t="shared" si="8"/>
        <v>0</v>
      </c>
      <c r="U51" s="33">
        <f t="shared" si="9"/>
        <v>31</v>
      </c>
      <c r="V51" s="36">
        <f>ROUND('CIT - PAY'!I51*0.12,2)</f>
        <v>0</v>
      </c>
      <c r="W51" s="37">
        <f t="shared" si="10"/>
        <v>100</v>
      </c>
      <c r="X51" s="37">
        <f>MIN((I51*0.05)-'CIT - DEDS'!Y50,2500)</f>
        <v>0</v>
      </c>
      <c r="Y51" s="35">
        <f t="shared" si="2"/>
        <v>200</v>
      </c>
    </row>
    <row r="52" spans="1:25" ht="18.75" customHeight="1" x14ac:dyDescent="0.25">
      <c r="A52" s="98"/>
      <c r="B52" s="34">
        <f t="shared" si="1"/>
        <v>32</v>
      </c>
      <c r="C52" s="72">
        <f>VLOOKUP(B52,'WTAX-CIT'!B:N,2,0)</f>
        <v>0</v>
      </c>
      <c r="D52" s="182" t="e">
        <f>VLOOKUP(C52,'WTAX-CIT'!C:O,2,0)</f>
        <v>#N/A</v>
      </c>
      <c r="E52" s="306">
        <f>VLOOKUP(B52,'WTAX-CIT'!B:N,4,0)</f>
        <v>0</v>
      </c>
      <c r="F52" s="87"/>
      <c r="G52" s="88"/>
      <c r="H52" s="88"/>
      <c r="I52" s="37">
        <f>SUM(F52:H52)</f>
        <v>0</v>
      </c>
      <c r="J52" s="332">
        <f>'WTAX-CIT'!N39</f>
        <v>0</v>
      </c>
      <c r="K52" s="216">
        <f>ROUND(I52-J52,2)</f>
        <v>0</v>
      </c>
      <c r="L52" s="36">
        <f>'WTAX-CIT'!F39</f>
        <v>0</v>
      </c>
      <c r="M52" s="37">
        <f>'CIT - DEDS'!R51</f>
        <v>0</v>
      </c>
      <c r="N52" s="37">
        <f>'CIT - DEDS'!X51</f>
        <v>0</v>
      </c>
      <c r="O52" s="37">
        <f>'CIT - DEDS'!Y51</f>
        <v>0</v>
      </c>
      <c r="P52" s="37">
        <f>'CIT - DEDS'!AE51</f>
        <v>0</v>
      </c>
      <c r="Q52" s="35">
        <f>ROUND(SUM(L52:P52),2)</f>
        <v>0</v>
      </c>
      <c r="R52" s="45">
        <f>K52-Q52</f>
        <v>0</v>
      </c>
      <c r="S52" s="219">
        <f>ROUND(R52/2,0)</f>
        <v>0</v>
      </c>
      <c r="T52" s="220">
        <f>R52-S52</f>
        <v>0</v>
      </c>
      <c r="U52" s="33">
        <f>B52</f>
        <v>32</v>
      </c>
      <c r="V52" s="36">
        <f>ROUND('CIT - PAY'!I52*0.12,2)</f>
        <v>0</v>
      </c>
      <c r="W52" s="37">
        <f t="shared" si="10"/>
        <v>100</v>
      </c>
      <c r="X52" s="37">
        <f>MIN((I52*0.05)-'CIT - DEDS'!Y51,2500)</f>
        <v>0</v>
      </c>
      <c r="Y52" s="35">
        <f t="shared" si="2"/>
        <v>200</v>
      </c>
    </row>
    <row r="53" spans="1:25" ht="18.75" customHeight="1" x14ac:dyDescent="0.25">
      <c r="A53" s="98"/>
      <c r="B53" s="34">
        <f t="shared" si="1"/>
        <v>33</v>
      </c>
      <c r="C53" s="72">
        <f>VLOOKUP(B53,'WTAX-CIT'!B:N,2,0)</f>
        <v>0</v>
      </c>
      <c r="D53" s="182" t="e">
        <f>VLOOKUP(C53,'WTAX-CIT'!C:O,2,0)</f>
        <v>#N/A</v>
      </c>
      <c r="E53" s="306">
        <f>VLOOKUP(B53,'WTAX-CIT'!B:N,4,0)</f>
        <v>0</v>
      </c>
      <c r="F53" s="87"/>
      <c r="G53" s="88"/>
      <c r="H53" s="88"/>
      <c r="I53" s="37">
        <f>SUM(F53:H53)</f>
        <v>0</v>
      </c>
      <c r="J53" s="332">
        <f>'WTAX-CIT'!N40</f>
        <v>0</v>
      </c>
      <c r="K53" s="216">
        <f>ROUND(I53-J53,2)</f>
        <v>0</v>
      </c>
      <c r="L53" s="36">
        <f>'WTAX-CIT'!F40</f>
        <v>0</v>
      </c>
      <c r="M53" s="37">
        <f>'CIT - DEDS'!R52</f>
        <v>0</v>
      </c>
      <c r="N53" s="37">
        <f>'CIT - DEDS'!X52</f>
        <v>0</v>
      </c>
      <c r="O53" s="37">
        <f>'CIT - DEDS'!Y52</f>
        <v>0</v>
      </c>
      <c r="P53" s="37">
        <f>'CIT - DEDS'!AE52</f>
        <v>0</v>
      </c>
      <c r="Q53" s="35">
        <f>ROUND(SUM(L53:P53),2)</f>
        <v>0</v>
      </c>
      <c r="R53" s="45">
        <f>K53-Q53</f>
        <v>0</v>
      </c>
      <c r="S53" s="219">
        <f>ROUND(R53/2,0)</f>
        <v>0</v>
      </c>
      <c r="T53" s="220">
        <f>R53-S53</f>
        <v>0</v>
      </c>
      <c r="U53" s="33">
        <f>B53</f>
        <v>33</v>
      </c>
      <c r="V53" s="36">
        <f>ROUND('CIT - PAY'!I53*0.12,2)</f>
        <v>0</v>
      </c>
      <c r="W53" s="37">
        <f t="shared" si="10"/>
        <v>100</v>
      </c>
      <c r="X53" s="37">
        <f>MIN((I53*0.05)-'CIT - DEDS'!Y52,2500)</f>
        <v>0</v>
      </c>
      <c r="Y53" s="35">
        <f t="shared" si="2"/>
        <v>200</v>
      </c>
    </row>
    <row r="54" spans="1:25" ht="18.75" customHeight="1" x14ac:dyDescent="0.25">
      <c r="A54" s="98"/>
      <c r="B54" s="34">
        <f t="shared" si="1"/>
        <v>34</v>
      </c>
      <c r="C54" s="72">
        <f>VLOOKUP(B54,'WTAX-CIT'!B:N,2,0)</f>
        <v>0</v>
      </c>
      <c r="D54" s="182" t="e">
        <f>VLOOKUP(C54,'WTAX-CIT'!C:O,2,0)</f>
        <v>#N/A</v>
      </c>
      <c r="E54" s="306">
        <f>VLOOKUP(B54,'WTAX-CIT'!B:N,4,0)</f>
        <v>0</v>
      </c>
      <c r="F54" s="87"/>
      <c r="G54" s="88"/>
      <c r="H54" s="88"/>
      <c r="I54" s="37">
        <f>SUM(F54:H54)</f>
        <v>0</v>
      </c>
      <c r="J54" s="332">
        <f>'WTAX-CIT'!N41</f>
        <v>0</v>
      </c>
      <c r="K54" s="216">
        <f>ROUND(I54-J54,2)</f>
        <v>0</v>
      </c>
      <c r="L54" s="36">
        <f>'WTAX-CIT'!F41</f>
        <v>0</v>
      </c>
      <c r="M54" s="37">
        <f>'CIT - DEDS'!R53</f>
        <v>0</v>
      </c>
      <c r="N54" s="37">
        <f>'CIT - DEDS'!X53</f>
        <v>0</v>
      </c>
      <c r="O54" s="37">
        <f>'CIT - DEDS'!Y53</f>
        <v>0</v>
      </c>
      <c r="P54" s="37">
        <f>'CIT - DEDS'!AE53</f>
        <v>0</v>
      </c>
      <c r="Q54" s="35">
        <f>ROUND(SUM(L54:P54),2)</f>
        <v>0</v>
      </c>
      <c r="R54" s="45">
        <f>K54-Q54</f>
        <v>0</v>
      </c>
      <c r="S54" s="219">
        <f>ROUND(R54/2,0)</f>
        <v>0</v>
      </c>
      <c r="T54" s="220">
        <f>R54-S54</f>
        <v>0</v>
      </c>
      <c r="U54" s="33">
        <f>B54</f>
        <v>34</v>
      </c>
      <c r="V54" s="36">
        <f>ROUND('CIT - PAY'!I54*0.12,2)</f>
        <v>0</v>
      </c>
      <c r="W54" s="37">
        <f t="shared" si="10"/>
        <v>100</v>
      </c>
      <c r="X54" s="37">
        <f>MIN((I54*0.05)-'CIT - DEDS'!Y53,2500)</f>
        <v>0</v>
      </c>
      <c r="Y54" s="35">
        <f t="shared" si="2"/>
        <v>200</v>
      </c>
    </row>
    <row r="55" spans="1:25" ht="18.75" customHeight="1" x14ac:dyDescent="0.25">
      <c r="A55" s="98"/>
      <c r="B55" s="34">
        <f t="shared" si="1"/>
        <v>35</v>
      </c>
      <c r="C55" s="72">
        <f>VLOOKUP(B55,'WTAX-CIT'!B:N,2,0)</f>
        <v>0</v>
      </c>
      <c r="D55" s="182" t="e">
        <f>VLOOKUP(C55,'WTAX-CIT'!C:O,2,0)</f>
        <v>#N/A</v>
      </c>
      <c r="E55" s="306">
        <f>VLOOKUP(B55,'WTAX-CIT'!B:N,4,0)</f>
        <v>0</v>
      </c>
      <c r="F55" s="87"/>
      <c r="G55" s="88"/>
      <c r="H55" s="88"/>
      <c r="I55" s="37">
        <f t="shared" ref="I55:I82" si="11">SUM(F55:H55)</f>
        <v>0</v>
      </c>
      <c r="J55" s="332">
        <f>'WTAX-CIT'!N42</f>
        <v>0</v>
      </c>
      <c r="K55" s="216">
        <f t="shared" ref="K55:K82" si="12">ROUND(I55-J55,2)</f>
        <v>0</v>
      </c>
      <c r="L55" s="36">
        <f>'WTAX-CIT'!F42</f>
        <v>0</v>
      </c>
      <c r="M55" s="37">
        <f>'CIT - DEDS'!R54</f>
        <v>0</v>
      </c>
      <c r="N55" s="37">
        <f>'CIT - DEDS'!X54</f>
        <v>0</v>
      </c>
      <c r="O55" s="37">
        <f>'CIT - DEDS'!Y54</f>
        <v>0</v>
      </c>
      <c r="P55" s="37">
        <f>'CIT - DEDS'!AE54</f>
        <v>0</v>
      </c>
      <c r="Q55" s="35">
        <f t="shared" ref="Q55:Q82" si="13">ROUND(SUM(L55:P55),2)</f>
        <v>0</v>
      </c>
      <c r="R55" s="45">
        <f t="shared" ref="R55:R82" si="14">K55-Q55</f>
        <v>0</v>
      </c>
      <c r="S55" s="219">
        <f t="shared" ref="S55:S82" si="15">ROUND(R55/2,0)</f>
        <v>0</v>
      </c>
      <c r="T55" s="220">
        <f t="shared" ref="T55:T82" si="16">R55-S55</f>
        <v>0</v>
      </c>
      <c r="U55" s="33">
        <f t="shared" ref="U55:U82" si="17">B55</f>
        <v>35</v>
      </c>
      <c r="V55" s="36">
        <f>ROUND('CIT - PAY'!I55*0.12,2)</f>
        <v>0</v>
      </c>
      <c r="W55" s="37">
        <f t="shared" si="10"/>
        <v>100</v>
      </c>
      <c r="X55" s="37">
        <f>MIN((I55*0.05)-'CIT - DEDS'!Y54,2500)</f>
        <v>0</v>
      </c>
      <c r="Y55" s="35">
        <f t="shared" si="2"/>
        <v>200</v>
      </c>
    </row>
    <row r="56" spans="1:25" ht="18.75" customHeight="1" x14ac:dyDescent="0.25">
      <c r="A56" s="98"/>
      <c r="B56" s="34">
        <f t="shared" si="1"/>
        <v>36</v>
      </c>
      <c r="C56" s="72">
        <f>VLOOKUP(B56,'WTAX-CIT'!B:N,2,0)</f>
        <v>0</v>
      </c>
      <c r="D56" s="182" t="e">
        <f>VLOOKUP(C56,'WTAX-CIT'!C:O,2,0)</f>
        <v>#N/A</v>
      </c>
      <c r="E56" s="306">
        <f>VLOOKUP(B56,'WTAX-CIT'!B:N,4,0)</f>
        <v>0</v>
      </c>
      <c r="F56" s="87"/>
      <c r="G56" s="88"/>
      <c r="H56" s="88"/>
      <c r="I56" s="37">
        <f t="shared" si="11"/>
        <v>0</v>
      </c>
      <c r="J56" s="332">
        <f>'WTAX-CIT'!N43</f>
        <v>0</v>
      </c>
      <c r="K56" s="216">
        <f t="shared" si="12"/>
        <v>0</v>
      </c>
      <c r="L56" s="36">
        <f>'WTAX-CIT'!F43</f>
        <v>0</v>
      </c>
      <c r="M56" s="37">
        <f>'CIT - DEDS'!R55</f>
        <v>0</v>
      </c>
      <c r="N56" s="37">
        <f>'CIT - DEDS'!X55</f>
        <v>0</v>
      </c>
      <c r="O56" s="37">
        <f>'CIT - DEDS'!Y55</f>
        <v>0</v>
      </c>
      <c r="P56" s="37">
        <f>'CIT - DEDS'!AE55</f>
        <v>0</v>
      </c>
      <c r="Q56" s="35">
        <f t="shared" si="13"/>
        <v>0</v>
      </c>
      <c r="R56" s="45">
        <f t="shared" si="14"/>
        <v>0</v>
      </c>
      <c r="S56" s="219">
        <f t="shared" si="15"/>
        <v>0</v>
      </c>
      <c r="T56" s="220">
        <f t="shared" si="16"/>
        <v>0</v>
      </c>
      <c r="U56" s="33">
        <f t="shared" si="17"/>
        <v>36</v>
      </c>
      <c r="V56" s="36">
        <f>ROUND('CIT - PAY'!I56*0.12,2)</f>
        <v>0</v>
      </c>
      <c r="W56" s="37">
        <f t="shared" si="10"/>
        <v>100</v>
      </c>
      <c r="X56" s="37">
        <f>MIN((I56*0.05)-'CIT - DEDS'!Y55,2500)</f>
        <v>0</v>
      </c>
      <c r="Y56" s="35">
        <f t="shared" si="2"/>
        <v>200</v>
      </c>
    </row>
    <row r="57" spans="1:25" ht="18.75" customHeight="1" x14ac:dyDescent="0.25">
      <c r="A57" s="98"/>
      <c r="B57" s="34">
        <f t="shared" si="1"/>
        <v>37</v>
      </c>
      <c r="C57" s="72">
        <f>VLOOKUP(B57,'WTAX-CIT'!B:N,2,0)</f>
        <v>0</v>
      </c>
      <c r="D57" s="182" t="e">
        <f>VLOOKUP(C57,'WTAX-CIT'!C:O,2,0)</f>
        <v>#N/A</v>
      </c>
      <c r="E57" s="306">
        <f>VLOOKUP(B57,'WTAX-CIT'!B:N,4,0)</f>
        <v>0</v>
      </c>
      <c r="F57" s="87"/>
      <c r="G57" s="88"/>
      <c r="H57" s="88"/>
      <c r="I57" s="37">
        <f t="shared" si="11"/>
        <v>0</v>
      </c>
      <c r="J57" s="332">
        <f>'WTAX-CIT'!N44</f>
        <v>0</v>
      </c>
      <c r="K57" s="216">
        <f t="shared" si="12"/>
        <v>0</v>
      </c>
      <c r="L57" s="36">
        <f>'WTAX-CIT'!F44</f>
        <v>0</v>
      </c>
      <c r="M57" s="37">
        <f>'CIT - DEDS'!R56</f>
        <v>0</v>
      </c>
      <c r="N57" s="37">
        <f>'CIT - DEDS'!X56</f>
        <v>0</v>
      </c>
      <c r="O57" s="37">
        <f>'CIT - DEDS'!Y56</f>
        <v>0</v>
      </c>
      <c r="P57" s="37">
        <f>'CIT - DEDS'!AE56</f>
        <v>0</v>
      </c>
      <c r="Q57" s="35">
        <f t="shared" si="13"/>
        <v>0</v>
      </c>
      <c r="R57" s="45">
        <f t="shared" si="14"/>
        <v>0</v>
      </c>
      <c r="S57" s="219">
        <f t="shared" si="15"/>
        <v>0</v>
      </c>
      <c r="T57" s="220">
        <f t="shared" si="16"/>
        <v>0</v>
      </c>
      <c r="U57" s="33">
        <f t="shared" si="17"/>
        <v>37</v>
      </c>
      <c r="V57" s="36">
        <f>ROUND('CIT - PAY'!I57*0.12,2)</f>
        <v>0</v>
      </c>
      <c r="W57" s="37">
        <f t="shared" si="10"/>
        <v>100</v>
      </c>
      <c r="X57" s="37">
        <f>MIN((I57*0.05)-'CIT - DEDS'!Y56,2500)</f>
        <v>0</v>
      </c>
      <c r="Y57" s="35">
        <f t="shared" si="2"/>
        <v>200</v>
      </c>
    </row>
    <row r="58" spans="1:25" ht="18.75" customHeight="1" x14ac:dyDescent="0.25">
      <c r="A58" s="98"/>
      <c r="B58" s="34">
        <f t="shared" si="1"/>
        <v>38</v>
      </c>
      <c r="C58" s="72">
        <f>VLOOKUP(B58,'WTAX-CIT'!B:N,2,0)</f>
        <v>0</v>
      </c>
      <c r="D58" s="182" t="e">
        <f>VLOOKUP(C58,'WTAX-CIT'!C:O,2,0)</f>
        <v>#N/A</v>
      </c>
      <c r="E58" s="306">
        <f>VLOOKUP(B58,'WTAX-CIT'!B:N,4,0)</f>
        <v>0</v>
      </c>
      <c r="F58" s="87"/>
      <c r="G58" s="88"/>
      <c r="H58" s="88"/>
      <c r="I58" s="37">
        <f t="shared" si="11"/>
        <v>0</v>
      </c>
      <c r="J58" s="332">
        <f>'WTAX-CIT'!N45</f>
        <v>0</v>
      </c>
      <c r="K58" s="216">
        <f t="shared" si="12"/>
        <v>0</v>
      </c>
      <c r="L58" s="36">
        <f>'WTAX-CIT'!F45</f>
        <v>0</v>
      </c>
      <c r="M58" s="37">
        <f>'CIT - DEDS'!R57</f>
        <v>0</v>
      </c>
      <c r="N58" s="37">
        <f>'CIT - DEDS'!X57</f>
        <v>0</v>
      </c>
      <c r="O58" s="37">
        <f>'CIT - DEDS'!Y57</f>
        <v>0</v>
      </c>
      <c r="P58" s="37">
        <f>'CIT - DEDS'!AE57</f>
        <v>0</v>
      </c>
      <c r="Q58" s="35">
        <f t="shared" si="13"/>
        <v>0</v>
      </c>
      <c r="R58" s="45">
        <f t="shared" si="14"/>
        <v>0</v>
      </c>
      <c r="S58" s="219">
        <f t="shared" si="15"/>
        <v>0</v>
      </c>
      <c r="T58" s="220">
        <f t="shared" si="16"/>
        <v>0</v>
      </c>
      <c r="U58" s="33">
        <f t="shared" si="17"/>
        <v>38</v>
      </c>
      <c r="V58" s="36">
        <f>ROUND('CIT - PAY'!I58*0.12,2)</f>
        <v>0</v>
      </c>
      <c r="W58" s="37">
        <f t="shared" si="10"/>
        <v>100</v>
      </c>
      <c r="X58" s="37">
        <f>MIN((I58*0.05)-'CIT - DEDS'!Y57,2500)</f>
        <v>0</v>
      </c>
      <c r="Y58" s="35">
        <f t="shared" si="2"/>
        <v>200</v>
      </c>
    </row>
    <row r="59" spans="1:25" ht="18.75" customHeight="1" x14ac:dyDescent="0.25">
      <c r="A59" s="98"/>
      <c r="B59" s="34">
        <f t="shared" si="1"/>
        <v>39</v>
      </c>
      <c r="C59" s="72">
        <f>VLOOKUP(B59,'WTAX-CIT'!B:N,2,0)</f>
        <v>0</v>
      </c>
      <c r="D59" s="182" t="e">
        <f>VLOOKUP(C59,'WTAX-CIT'!C:O,2,0)</f>
        <v>#N/A</v>
      </c>
      <c r="E59" s="306">
        <f>VLOOKUP(B59,'WTAX-CIT'!B:N,4,0)</f>
        <v>0</v>
      </c>
      <c r="F59" s="87"/>
      <c r="G59" s="88"/>
      <c r="H59" s="88"/>
      <c r="I59" s="37">
        <f t="shared" si="11"/>
        <v>0</v>
      </c>
      <c r="J59" s="332">
        <f>'WTAX-CIT'!N46</f>
        <v>0</v>
      </c>
      <c r="K59" s="216">
        <f t="shared" si="12"/>
        <v>0</v>
      </c>
      <c r="L59" s="36">
        <f>'WTAX-CIT'!F46</f>
        <v>0</v>
      </c>
      <c r="M59" s="37">
        <f>'CIT - DEDS'!R58</f>
        <v>0</v>
      </c>
      <c r="N59" s="37">
        <f>'CIT - DEDS'!X58</f>
        <v>0</v>
      </c>
      <c r="O59" s="37">
        <f>'CIT - DEDS'!Y58</f>
        <v>0</v>
      </c>
      <c r="P59" s="37">
        <f>'CIT - DEDS'!AE58</f>
        <v>0</v>
      </c>
      <c r="Q59" s="35">
        <f t="shared" si="13"/>
        <v>0</v>
      </c>
      <c r="R59" s="45">
        <f t="shared" si="14"/>
        <v>0</v>
      </c>
      <c r="S59" s="219">
        <f t="shared" si="15"/>
        <v>0</v>
      </c>
      <c r="T59" s="220">
        <f t="shared" si="16"/>
        <v>0</v>
      </c>
      <c r="U59" s="33">
        <f t="shared" si="17"/>
        <v>39</v>
      </c>
      <c r="V59" s="36">
        <f>ROUND('CIT - PAY'!I59*0.12,2)</f>
        <v>0</v>
      </c>
      <c r="W59" s="37">
        <f t="shared" si="10"/>
        <v>100</v>
      </c>
      <c r="X59" s="37">
        <f>MIN((I59*0.05)-'CIT - DEDS'!Y58,2500)</f>
        <v>0</v>
      </c>
      <c r="Y59" s="35">
        <f t="shared" si="2"/>
        <v>200</v>
      </c>
    </row>
    <row r="60" spans="1:25" ht="18.75" customHeight="1" x14ac:dyDescent="0.25">
      <c r="A60" s="98"/>
      <c r="B60" s="34">
        <f t="shared" si="1"/>
        <v>40</v>
      </c>
      <c r="C60" s="72">
        <f>VLOOKUP(B60,'WTAX-CIT'!B:N,2,0)</f>
        <v>0</v>
      </c>
      <c r="D60" s="182" t="e">
        <f>VLOOKUP(C60,'WTAX-CIT'!C:O,2,0)</f>
        <v>#N/A</v>
      </c>
      <c r="E60" s="306">
        <f>VLOOKUP(B60,'WTAX-CIT'!B:N,4,0)</f>
        <v>0</v>
      </c>
      <c r="F60" s="87"/>
      <c r="G60" s="88"/>
      <c r="H60" s="88"/>
      <c r="I60" s="37">
        <f t="shared" si="11"/>
        <v>0</v>
      </c>
      <c r="J60" s="332">
        <f>'WTAX-CIT'!N47</f>
        <v>0</v>
      </c>
      <c r="K60" s="216">
        <f t="shared" si="12"/>
        <v>0</v>
      </c>
      <c r="L60" s="36">
        <f>'WTAX-CIT'!F47</f>
        <v>0</v>
      </c>
      <c r="M60" s="37">
        <f>'CIT - DEDS'!R59</f>
        <v>0</v>
      </c>
      <c r="N60" s="37">
        <f>'CIT - DEDS'!X59</f>
        <v>0</v>
      </c>
      <c r="O60" s="37">
        <f>'CIT - DEDS'!Y59</f>
        <v>0</v>
      </c>
      <c r="P60" s="37">
        <f>'CIT - DEDS'!AE59</f>
        <v>0</v>
      </c>
      <c r="Q60" s="35">
        <f t="shared" si="13"/>
        <v>0</v>
      </c>
      <c r="R60" s="45">
        <f t="shared" si="14"/>
        <v>0</v>
      </c>
      <c r="S60" s="219">
        <f t="shared" si="15"/>
        <v>0</v>
      </c>
      <c r="T60" s="220">
        <f t="shared" si="16"/>
        <v>0</v>
      </c>
      <c r="U60" s="33">
        <f t="shared" si="17"/>
        <v>40</v>
      </c>
      <c r="V60" s="36">
        <f>ROUND('CIT - PAY'!I60*0.12,2)</f>
        <v>0</v>
      </c>
      <c r="W60" s="37">
        <f t="shared" si="10"/>
        <v>100</v>
      </c>
      <c r="X60" s="37">
        <f>MIN((I60*0.05)-'CIT - DEDS'!Y59,2500)</f>
        <v>0</v>
      </c>
      <c r="Y60" s="35">
        <f t="shared" si="2"/>
        <v>200</v>
      </c>
    </row>
    <row r="61" spans="1:25" ht="18.75" customHeight="1" x14ac:dyDescent="0.25">
      <c r="A61" s="98"/>
      <c r="B61" s="34">
        <f t="shared" ref="B61:B81" si="18">+B39+1</f>
        <v>20</v>
      </c>
      <c r="C61" s="72">
        <f>VLOOKUP(B61,'WTAX-CIT'!B:N,2,0)</f>
        <v>0</v>
      </c>
      <c r="D61" s="182" t="e">
        <f>VLOOKUP(C61,'WTAX-CIT'!C:O,2,0)</f>
        <v>#N/A</v>
      </c>
      <c r="E61" s="306">
        <f>VLOOKUP(B61,'WTAX-CIT'!B:N,4,0)</f>
        <v>0</v>
      </c>
      <c r="F61" s="87"/>
      <c r="G61" s="88"/>
      <c r="H61" s="88"/>
      <c r="I61" s="37">
        <f t="shared" ref="I61:I81" si="19">SUM(F61:H61)</f>
        <v>0</v>
      </c>
      <c r="J61" s="332">
        <f>'WTAX-CIT'!N48</f>
        <v>0</v>
      </c>
      <c r="K61" s="216">
        <f t="shared" ref="K61:K81" si="20">ROUND(I61-J61,2)</f>
        <v>0</v>
      </c>
      <c r="L61" s="36">
        <f>'WTAX-CIT'!F48</f>
        <v>0</v>
      </c>
      <c r="M61" s="37">
        <f>'CIT - DEDS'!R39</f>
        <v>0</v>
      </c>
      <c r="N61" s="37">
        <f>'CIT - DEDS'!X39</f>
        <v>0</v>
      </c>
      <c r="O61" s="37">
        <f>'CIT - DEDS'!Y39</f>
        <v>0</v>
      </c>
      <c r="P61" s="37">
        <f>'CIT - DEDS'!AE39</f>
        <v>0</v>
      </c>
      <c r="Q61" s="35">
        <f t="shared" ref="Q61:Q81" si="21">ROUND(SUM(L61:P61),2)</f>
        <v>0</v>
      </c>
      <c r="R61" s="45">
        <f t="shared" ref="R61:R81" si="22">K61-Q61</f>
        <v>0</v>
      </c>
      <c r="S61" s="219">
        <f t="shared" ref="S61:S81" si="23">ROUND(R61/2,0)</f>
        <v>0</v>
      </c>
      <c r="T61" s="220">
        <f t="shared" ref="T61:T81" si="24">R61-S61</f>
        <v>0</v>
      </c>
      <c r="U61" s="33">
        <f t="shared" ref="U61:U81" si="25">B61</f>
        <v>20</v>
      </c>
      <c r="V61" s="36">
        <f>ROUND('CIT - PAY'!I61*0.12,2)</f>
        <v>0</v>
      </c>
      <c r="W61" s="37">
        <f t="shared" ref="W61:W81" si="26">W39</f>
        <v>100</v>
      </c>
      <c r="X61" s="37">
        <f>MIN((I61*0.05)-'CIT - DEDS'!Y39,2500)</f>
        <v>0</v>
      </c>
      <c r="Y61" s="35">
        <f t="shared" ref="Y61:Y81" si="27">Y39</f>
        <v>200</v>
      </c>
    </row>
    <row r="62" spans="1:25" ht="18.75" customHeight="1" x14ac:dyDescent="0.25">
      <c r="A62" s="98"/>
      <c r="B62" s="34">
        <f t="shared" si="18"/>
        <v>21</v>
      </c>
      <c r="C62" s="72">
        <f>VLOOKUP(B62,'WTAX-CIT'!B:N,2,0)</f>
        <v>0</v>
      </c>
      <c r="D62" s="182" t="e">
        <f>VLOOKUP(C62,'WTAX-CIT'!C:O,2,0)</f>
        <v>#N/A</v>
      </c>
      <c r="E62" s="306">
        <f>VLOOKUP(B62,'WTAX-CIT'!B:N,4,0)</f>
        <v>0</v>
      </c>
      <c r="F62" s="87"/>
      <c r="G62" s="88"/>
      <c r="H62" s="88"/>
      <c r="I62" s="37">
        <f t="shared" si="19"/>
        <v>0</v>
      </c>
      <c r="J62" s="332">
        <f>'WTAX-CIT'!N49</f>
        <v>0</v>
      </c>
      <c r="K62" s="216">
        <f t="shared" si="20"/>
        <v>0</v>
      </c>
      <c r="L62" s="36">
        <f>'WTAX-CIT'!F49</f>
        <v>0</v>
      </c>
      <c r="M62" s="37">
        <f>'CIT - DEDS'!R40</f>
        <v>0</v>
      </c>
      <c r="N62" s="37">
        <f>'CIT - DEDS'!X40</f>
        <v>0</v>
      </c>
      <c r="O62" s="37">
        <f>'CIT - DEDS'!Y40</f>
        <v>0</v>
      </c>
      <c r="P62" s="37">
        <f>'CIT - DEDS'!AE40</f>
        <v>0</v>
      </c>
      <c r="Q62" s="35">
        <f t="shared" si="21"/>
        <v>0</v>
      </c>
      <c r="R62" s="45">
        <f t="shared" si="22"/>
        <v>0</v>
      </c>
      <c r="S62" s="219">
        <f t="shared" si="23"/>
        <v>0</v>
      </c>
      <c r="T62" s="220">
        <f t="shared" si="24"/>
        <v>0</v>
      </c>
      <c r="U62" s="33">
        <f t="shared" si="25"/>
        <v>21</v>
      </c>
      <c r="V62" s="36">
        <f>ROUND('CIT - PAY'!I62*0.12,2)</f>
        <v>0</v>
      </c>
      <c r="W62" s="37">
        <f t="shared" si="26"/>
        <v>100</v>
      </c>
      <c r="X62" s="37">
        <f>MIN((I62*0.05)-'CIT - DEDS'!Y40,2500)</f>
        <v>0</v>
      </c>
      <c r="Y62" s="35">
        <f t="shared" si="27"/>
        <v>200</v>
      </c>
    </row>
    <row r="63" spans="1:25" ht="18.75" customHeight="1" x14ac:dyDescent="0.25">
      <c r="A63" s="98"/>
      <c r="B63" s="34">
        <f t="shared" si="18"/>
        <v>22</v>
      </c>
      <c r="C63" s="72">
        <f>VLOOKUP(B63,'WTAX-CIT'!B:N,2,0)</f>
        <v>0</v>
      </c>
      <c r="D63" s="182" t="e">
        <f>VLOOKUP(C63,'WTAX-CIT'!C:O,2,0)</f>
        <v>#N/A</v>
      </c>
      <c r="E63" s="306">
        <f>VLOOKUP(B63,'WTAX-CIT'!B:N,4,0)</f>
        <v>0</v>
      </c>
      <c r="F63" s="87"/>
      <c r="G63" s="88"/>
      <c r="H63" s="88"/>
      <c r="I63" s="37">
        <f t="shared" si="19"/>
        <v>0</v>
      </c>
      <c r="J63" s="332">
        <f>'WTAX-CIT'!N50</f>
        <v>0</v>
      </c>
      <c r="K63" s="216">
        <f t="shared" si="20"/>
        <v>0</v>
      </c>
      <c r="L63" s="36">
        <f>'WTAX-CIT'!F50</f>
        <v>0</v>
      </c>
      <c r="M63" s="37">
        <f>'CIT - DEDS'!R41</f>
        <v>0</v>
      </c>
      <c r="N63" s="37">
        <f>'CIT - DEDS'!X41</f>
        <v>0</v>
      </c>
      <c r="O63" s="37">
        <f>'CIT - DEDS'!Y41</f>
        <v>0</v>
      </c>
      <c r="P63" s="37">
        <f>'CIT - DEDS'!AE41</f>
        <v>0</v>
      </c>
      <c r="Q63" s="35">
        <f t="shared" si="21"/>
        <v>0</v>
      </c>
      <c r="R63" s="45">
        <f t="shared" si="22"/>
        <v>0</v>
      </c>
      <c r="S63" s="219">
        <f t="shared" si="23"/>
        <v>0</v>
      </c>
      <c r="T63" s="220">
        <f t="shared" si="24"/>
        <v>0</v>
      </c>
      <c r="U63" s="33">
        <f t="shared" si="25"/>
        <v>22</v>
      </c>
      <c r="V63" s="36">
        <f>ROUND('CIT - PAY'!I63*0.12,2)</f>
        <v>0</v>
      </c>
      <c r="W63" s="37">
        <f t="shared" si="26"/>
        <v>100</v>
      </c>
      <c r="X63" s="37">
        <f>MIN((I63*0.05)-'CIT - DEDS'!Y41,2500)</f>
        <v>0</v>
      </c>
      <c r="Y63" s="35">
        <f t="shared" si="27"/>
        <v>200</v>
      </c>
    </row>
    <row r="64" spans="1:25" ht="18.75" customHeight="1" x14ac:dyDescent="0.25">
      <c r="A64" s="98"/>
      <c r="B64" s="34">
        <f t="shared" si="18"/>
        <v>23</v>
      </c>
      <c r="C64" s="72">
        <f>VLOOKUP(B64,'WTAX-CIT'!B:N,2,0)</f>
        <v>0</v>
      </c>
      <c r="D64" s="182" t="e">
        <f>VLOOKUP(C64,'WTAX-CIT'!C:O,2,0)</f>
        <v>#N/A</v>
      </c>
      <c r="E64" s="306">
        <f>VLOOKUP(B64,'WTAX-CIT'!B:N,4,0)</f>
        <v>0</v>
      </c>
      <c r="F64" s="87"/>
      <c r="G64" s="88"/>
      <c r="H64" s="88"/>
      <c r="I64" s="37">
        <f t="shared" si="19"/>
        <v>0</v>
      </c>
      <c r="J64" s="332">
        <f>'WTAX-CIT'!N51</f>
        <v>0</v>
      </c>
      <c r="K64" s="216">
        <f t="shared" si="20"/>
        <v>0</v>
      </c>
      <c r="L64" s="36">
        <f>'WTAX-CIT'!F51</f>
        <v>0</v>
      </c>
      <c r="M64" s="37">
        <f>'CIT - DEDS'!R42</f>
        <v>0</v>
      </c>
      <c r="N64" s="37">
        <f>'CIT - DEDS'!X42</f>
        <v>0</v>
      </c>
      <c r="O64" s="37">
        <f>'CIT - DEDS'!Y42</f>
        <v>0</v>
      </c>
      <c r="P64" s="37">
        <f>'CIT - DEDS'!AE42</f>
        <v>0</v>
      </c>
      <c r="Q64" s="35">
        <f t="shared" si="21"/>
        <v>0</v>
      </c>
      <c r="R64" s="45">
        <f t="shared" si="22"/>
        <v>0</v>
      </c>
      <c r="S64" s="219">
        <f t="shared" si="23"/>
        <v>0</v>
      </c>
      <c r="T64" s="220">
        <f t="shared" si="24"/>
        <v>0</v>
      </c>
      <c r="U64" s="33">
        <f t="shared" si="25"/>
        <v>23</v>
      </c>
      <c r="V64" s="36">
        <f>ROUND('CIT - PAY'!I64*0.12,2)</f>
        <v>0</v>
      </c>
      <c r="W64" s="37">
        <f t="shared" si="26"/>
        <v>100</v>
      </c>
      <c r="X64" s="37">
        <f>MIN((I64*0.05)-'CIT - DEDS'!Y42,2500)</f>
        <v>0</v>
      </c>
      <c r="Y64" s="35">
        <f t="shared" si="27"/>
        <v>200</v>
      </c>
    </row>
    <row r="65" spans="1:25" ht="18.75" customHeight="1" x14ac:dyDescent="0.25">
      <c r="A65" s="98"/>
      <c r="B65" s="34">
        <f t="shared" si="18"/>
        <v>24</v>
      </c>
      <c r="C65" s="72">
        <f>VLOOKUP(B65,'WTAX-CIT'!B:N,2,0)</f>
        <v>0</v>
      </c>
      <c r="D65" s="182" t="e">
        <f>VLOOKUP(C65,'WTAX-CIT'!C:O,2,0)</f>
        <v>#N/A</v>
      </c>
      <c r="E65" s="306">
        <f>VLOOKUP(B65,'WTAX-CIT'!B:N,4,0)</f>
        <v>0</v>
      </c>
      <c r="F65" s="87"/>
      <c r="G65" s="88"/>
      <c r="H65" s="88"/>
      <c r="I65" s="37">
        <f t="shared" si="19"/>
        <v>0</v>
      </c>
      <c r="J65" s="332">
        <f>'WTAX-CIT'!N52</f>
        <v>0</v>
      </c>
      <c r="K65" s="216">
        <f t="shared" si="20"/>
        <v>0</v>
      </c>
      <c r="L65" s="36">
        <f>'WTAX-CIT'!F52</f>
        <v>0</v>
      </c>
      <c r="M65" s="37">
        <f>'CIT - DEDS'!R43</f>
        <v>0</v>
      </c>
      <c r="N65" s="37">
        <f>'CIT - DEDS'!X43</f>
        <v>0</v>
      </c>
      <c r="O65" s="37">
        <f>'CIT - DEDS'!Y43</f>
        <v>0</v>
      </c>
      <c r="P65" s="37">
        <f>'CIT - DEDS'!AE43</f>
        <v>0</v>
      </c>
      <c r="Q65" s="35">
        <f t="shared" si="21"/>
        <v>0</v>
      </c>
      <c r="R65" s="45">
        <f t="shared" si="22"/>
        <v>0</v>
      </c>
      <c r="S65" s="219">
        <f t="shared" si="23"/>
        <v>0</v>
      </c>
      <c r="T65" s="220">
        <f t="shared" si="24"/>
        <v>0</v>
      </c>
      <c r="U65" s="33">
        <f t="shared" si="25"/>
        <v>24</v>
      </c>
      <c r="V65" s="36">
        <f>ROUND('CIT - PAY'!I65*0.12,2)</f>
        <v>0</v>
      </c>
      <c r="W65" s="37">
        <f t="shared" si="26"/>
        <v>100</v>
      </c>
      <c r="X65" s="37">
        <f>MIN((I65*0.05)-'CIT - DEDS'!Y43,2500)</f>
        <v>0</v>
      </c>
      <c r="Y65" s="35">
        <f t="shared" si="27"/>
        <v>200</v>
      </c>
    </row>
    <row r="66" spans="1:25" ht="18.75" customHeight="1" x14ac:dyDescent="0.25">
      <c r="A66" s="98"/>
      <c r="B66" s="34">
        <f t="shared" si="18"/>
        <v>25</v>
      </c>
      <c r="C66" s="72">
        <f>VLOOKUP(B66,'WTAX-CIT'!B:N,2,0)</f>
        <v>0</v>
      </c>
      <c r="D66" s="182" t="e">
        <f>VLOOKUP(C66,'WTAX-CIT'!C:O,2,0)</f>
        <v>#N/A</v>
      </c>
      <c r="E66" s="306">
        <f>VLOOKUP(B66,'WTAX-CIT'!B:N,4,0)</f>
        <v>0</v>
      </c>
      <c r="F66" s="87"/>
      <c r="G66" s="88"/>
      <c r="H66" s="88"/>
      <c r="I66" s="37">
        <f t="shared" si="19"/>
        <v>0</v>
      </c>
      <c r="J66" s="332">
        <f>'WTAX-CIT'!N53</f>
        <v>0</v>
      </c>
      <c r="K66" s="216">
        <f t="shared" si="20"/>
        <v>0</v>
      </c>
      <c r="L66" s="36">
        <f>'WTAX-CIT'!F53</f>
        <v>0</v>
      </c>
      <c r="M66" s="37">
        <f>'CIT - DEDS'!R44</f>
        <v>0</v>
      </c>
      <c r="N66" s="37">
        <f>'CIT - DEDS'!X44</f>
        <v>0</v>
      </c>
      <c r="O66" s="37">
        <f>'CIT - DEDS'!Y44</f>
        <v>0</v>
      </c>
      <c r="P66" s="37">
        <f>'CIT - DEDS'!AE44</f>
        <v>0</v>
      </c>
      <c r="Q66" s="35">
        <f t="shared" si="21"/>
        <v>0</v>
      </c>
      <c r="R66" s="45">
        <f t="shared" si="22"/>
        <v>0</v>
      </c>
      <c r="S66" s="219">
        <f t="shared" si="23"/>
        <v>0</v>
      </c>
      <c r="T66" s="220">
        <f t="shared" si="24"/>
        <v>0</v>
      </c>
      <c r="U66" s="33">
        <f t="shared" si="25"/>
        <v>25</v>
      </c>
      <c r="V66" s="36">
        <f>ROUND('CIT - PAY'!I66*0.12,2)</f>
        <v>0</v>
      </c>
      <c r="W66" s="37">
        <f t="shared" si="26"/>
        <v>100</v>
      </c>
      <c r="X66" s="37">
        <f>MIN((I66*0.05)-'CIT - DEDS'!Y44,2500)</f>
        <v>0</v>
      </c>
      <c r="Y66" s="35">
        <f t="shared" si="27"/>
        <v>200</v>
      </c>
    </row>
    <row r="67" spans="1:25" ht="18.75" customHeight="1" x14ac:dyDescent="0.25">
      <c r="A67" s="98"/>
      <c r="B67" s="34">
        <f t="shared" si="18"/>
        <v>26</v>
      </c>
      <c r="C67" s="72">
        <f>VLOOKUP(B67,'WTAX-CIT'!B:N,2,0)</f>
        <v>0</v>
      </c>
      <c r="D67" s="182" t="e">
        <f>VLOOKUP(C67,'WTAX-CIT'!C:O,2,0)</f>
        <v>#N/A</v>
      </c>
      <c r="E67" s="306">
        <f>VLOOKUP(B67,'WTAX-CIT'!B:N,4,0)</f>
        <v>0</v>
      </c>
      <c r="F67" s="87"/>
      <c r="G67" s="88"/>
      <c r="H67" s="88"/>
      <c r="I67" s="37">
        <f t="shared" si="19"/>
        <v>0</v>
      </c>
      <c r="J67" s="332">
        <f>'WTAX-CIT'!N54</f>
        <v>0</v>
      </c>
      <c r="K67" s="216">
        <f t="shared" si="20"/>
        <v>0</v>
      </c>
      <c r="L67" s="36">
        <f>'WTAX-CIT'!F54</f>
        <v>0</v>
      </c>
      <c r="M67" s="37">
        <f>'CIT - DEDS'!R45</f>
        <v>0</v>
      </c>
      <c r="N67" s="37">
        <f>'CIT - DEDS'!X45</f>
        <v>0</v>
      </c>
      <c r="O67" s="37">
        <f>'CIT - DEDS'!Y45</f>
        <v>0</v>
      </c>
      <c r="P67" s="37">
        <f>'CIT - DEDS'!AE45</f>
        <v>0</v>
      </c>
      <c r="Q67" s="35">
        <f t="shared" si="21"/>
        <v>0</v>
      </c>
      <c r="R67" s="45">
        <f t="shared" si="22"/>
        <v>0</v>
      </c>
      <c r="S67" s="219">
        <f t="shared" si="23"/>
        <v>0</v>
      </c>
      <c r="T67" s="220">
        <f t="shared" si="24"/>
        <v>0</v>
      </c>
      <c r="U67" s="33">
        <f t="shared" si="25"/>
        <v>26</v>
      </c>
      <c r="V67" s="36">
        <f>ROUND('CIT - PAY'!I67*0.12,2)</f>
        <v>0</v>
      </c>
      <c r="W67" s="37">
        <f t="shared" si="26"/>
        <v>100</v>
      </c>
      <c r="X67" s="37">
        <f>MIN((I67*0.05)-'CIT - DEDS'!Y45,2500)</f>
        <v>0</v>
      </c>
      <c r="Y67" s="35">
        <f t="shared" si="27"/>
        <v>200</v>
      </c>
    </row>
    <row r="68" spans="1:25" ht="18.75" customHeight="1" x14ac:dyDescent="0.25">
      <c r="A68" s="98"/>
      <c r="B68" s="34">
        <f t="shared" si="18"/>
        <v>27</v>
      </c>
      <c r="C68" s="72">
        <f>VLOOKUP(B68,'WTAX-CIT'!B:N,2,0)</f>
        <v>0</v>
      </c>
      <c r="D68" s="182" t="e">
        <f>VLOOKUP(C68,'WTAX-CIT'!C:O,2,0)</f>
        <v>#N/A</v>
      </c>
      <c r="E68" s="306">
        <f>VLOOKUP(B68,'WTAX-CIT'!B:N,4,0)</f>
        <v>0</v>
      </c>
      <c r="F68" s="87"/>
      <c r="G68" s="88"/>
      <c r="H68" s="88"/>
      <c r="I68" s="37">
        <f t="shared" si="19"/>
        <v>0</v>
      </c>
      <c r="J68" s="332">
        <f>'WTAX-CIT'!N55</f>
        <v>0</v>
      </c>
      <c r="K68" s="216">
        <f t="shared" si="20"/>
        <v>0</v>
      </c>
      <c r="L68" s="36">
        <f>'WTAX-CIT'!F55</f>
        <v>0</v>
      </c>
      <c r="M68" s="37">
        <f>'CIT - DEDS'!R46</f>
        <v>0</v>
      </c>
      <c r="N68" s="37">
        <f>'CIT - DEDS'!X46</f>
        <v>0</v>
      </c>
      <c r="O68" s="37">
        <f>'CIT - DEDS'!Y46</f>
        <v>0</v>
      </c>
      <c r="P68" s="37">
        <f>'CIT - DEDS'!AE46</f>
        <v>0</v>
      </c>
      <c r="Q68" s="35">
        <f t="shared" si="21"/>
        <v>0</v>
      </c>
      <c r="R68" s="45">
        <f t="shared" si="22"/>
        <v>0</v>
      </c>
      <c r="S68" s="219">
        <f t="shared" si="23"/>
        <v>0</v>
      </c>
      <c r="T68" s="220">
        <f t="shared" si="24"/>
        <v>0</v>
      </c>
      <c r="U68" s="33">
        <f t="shared" si="25"/>
        <v>27</v>
      </c>
      <c r="V68" s="36">
        <f>ROUND('CIT - PAY'!I68*0.12,2)</f>
        <v>0</v>
      </c>
      <c r="W68" s="37">
        <f t="shared" si="26"/>
        <v>100</v>
      </c>
      <c r="X68" s="37">
        <f>MIN((I68*0.05)-'CIT - DEDS'!Y46,2500)</f>
        <v>0</v>
      </c>
      <c r="Y68" s="35">
        <f t="shared" si="27"/>
        <v>200</v>
      </c>
    </row>
    <row r="69" spans="1:25" ht="18.75" customHeight="1" x14ac:dyDescent="0.25">
      <c r="A69" s="98"/>
      <c r="B69" s="34">
        <f t="shared" si="18"/>
        <v>28</v>
      </c>
      <c r="C69" s="72">
        <f>VLOOKUP(B69,'WTAX-CIT'!B:N,2,0)</f>
        <v>0</v>
      </c>
      <c r="D69" s="182" t="e">
        <f>VLOOKUP(C69,'WTAX-CIT'!C:O,2,0)</f>
        <v>#N/A</v>
      </c>
      <c r="E69" s="306">
        <f>VLOOKUP(B69,'WTAX-CIT'!B:N,4,0)</f>
        <v>0</v>
      </c>
      <c r="F69" s="87"/>
      <c r="G69" s="88"/>
      <c r="H69" s="88"/>
      <c r="I69" s="37">
        <f t="shared" si="19"/>
        <v>0</v>
      </c>
      <c r="J69" s="332">
        <f>'WTAX-CIT'!N56</f>
        <v>0</v>
      </c>
      <c r="K69" s="216">
        <f t="shared" si="20"/>
        <v>0</v>
      </c>
      <c r="L69" s="36">
        <f>'WTAX-CIT'!F56</f>
        <v>0</v>
      </c>
      <c r="M69" s="37">
        <f>'CIT - DEDS'!R47</f>
        <v>0</v>
      </c>
      <c r="N69" s="37">
        <f>'CIT - DEDS'!X47</f>
        <v>0</v>
      </c>
      <c r="O69" s="37">
        <f>'CIT - DEDS'!Y47</f>
        <v>0</v>
      </c>
      <c r="P69" s="37">
        <f>'CIT - DEDS'!AE47</f>
        <v>0</v>
      </c>
      <c r="Q69" s="35">
        <f t="shared" si="21"/>
        <v>0</v>
      </c>
      <c r="R69" s="45">
        <f t="shared" si="22"/>
        <v>0</v>
      </c>
      <c r="S69" s="219">
        <f t="shared" si="23"/>
        <v>0</v>
      </c>
      <c r="T69" s="220">
        <f t="shared" si="24"/>
        <v>0</v>
      </c>
      <c r="U69" s="33">
        <f t="shared" si="25"/>
        <v>28</v>
      </c>
      <c r="V69" s="36">
        <f>ROUND('CIT - PAY'!I69*0.12,2)</f>
        <v>0</v>
      </c>
      <c r="W69" s="37">
        <f t="shared" si="26"/>
        <v>100</v>
      </c>
      <c r="X69" s="37">
        <f>MIN((I69*0.05)-'CIT - DEDS'!Y47,2500)</f>
        <v>0</v>
      </c>
      <c r="Y69" s="35">
        <f t="shared" si="27"/>
        <v>200</v>
      </c>
    </row>
    <row r="70" spans="1:25" ht="18.75" customHeight="1" x14ac:dyDescent="0.25">
      <c r="A70" s="98"/>
      <c r="B70" s="34">
        <f t="shared" si="18"/>
        <v>29</v>
      </c>
      <c r="C70" s="72">
        <f>VLOOKUP(B70,'WTAX-CIT'!B:N,2,0)</f>
        <v>0</v>
      </c>
      <c r="D70" s="182" t="e">
        <f>VLOOKUP(C70,'WTAX-CIT'!C:O,2,0)</f>
        <v>#N/A</v>
      </c>
      <c r="E70" s="306">
        <f>VLOOKUP(B70,'WTAX-CIT'!B:N,4,0)</f>
        <v>0</v>
      </c>
      <c r="F70" s="87"/>
      <c r="G70" s="88"/>
      <c r="H70" s="88"/>
      <c r="I70" s="37">
        <f t="shared" si="19"/>
        <v>0</v>
      </c>
      <c r="J70" s="332">
        <f>'WTAX-CIT'!N57</f>
        <v>0</v>
      </c>
      <c r="K70" s="216">
        <f t="shared" si="20"/>
        <v>0</v>
      </c>
      <c r="L70" s="36">
        <f>'WTAX-CIT'!F57</f>
        <v>0</v>
      </c>
      <c r="M70" s="37">
        <f>'CIT - DEDS'!R48</f>
        <v>0</v>
      </c>
      <c r="N70" s="37">
        <f>'CIT - DEDS'!X48</f>
        <v>0</v>
      </c>
      <c r="O70" s="37">
        <f>'CIT - DEDS'!Y48</f>
        <v>0</v>
      </c>
      <c r="P70" s="37">
        <f>'CIT - DEDS'!AE48</f>
        <v>0</v>
      </c>
      <c r="Q70" s="35">
        <f t="shared" si="21"/>
        <v>0</v>
      </c>
      <c r="R70" s="45">
        <f t="shared" si="22"/>
        <v>0</v>
      </c>
      <c r="S70" s="219">
        <f t="shared" si="23"/>
        <v>0</v>
      </c>
      <c r="T70" s="220">
        <f t="shared" si="24"/>
        <v>0</v>
      </c>
      <c r="U70" s="33">
        <f t="shared" si="25"/>
        <v>29</v>
      </c>
      <c r="V70" s="36">
        <f>ROUND('CIT - PAY'!I70*0.12,2)</f>
        <v>0</v>
      </c>
      <c r="W70" s="37">
        <f t="shared" si="26"/>
        <v>100</v>
      </c>
      <c r="X70" s="37">
        <f>MIN((I70*0.05)-'CIT - DEDS'!Y48,2500)</f>
        <v>0</v>
      </c>
      <c r="Y70" s="35">
        <f t="shared" si="27"/>
        <v>200</v>
      </c>
    </row>
    <row r="71" spans="1:25" ht="18.75" customHeight="1" x14ac:dyDescent="0.25">
      <c r="A71" s="98"/>
      <c r="B71" s="34">
        <f t="shared" si="18"/>
        <v>30</v>
      </c>
      <c r="C71" s="72">
        <f>VLOOKUP(B71,'WTAX-CIT'!B:N,2,0)</f>
        <v>0</v>
      </c>
      <c r="D71" s="182" t="e">
        <f>VLOOKUP(C71,'WTAX-CIT'!C:O,2,0)</f>
        <v>#N/A</v>
      </c>
      <c r="E71" s="306">
        <f>VLOOKUP(B71,'WTAX-CIT'!B:N,4,0)</f>
        <v>0</v>
      </c>
      <c r="F71" s="87"/>
      <c r="G71" s="88"/>
      <c r="H71" s="88"/>
      <c r="I71" s="37">
        <f t="shared" si="19"/>
        <v>0</v>
      </c>
      <c r="J71" s="332">
        <f>'WTAX-CIT'!N58</f>
        <v>0</v>
      </c>
      <c r="K71" s="216">
        <f t="shared" si="20"/>
        <v>0</v>
      </c>
      <c r="L71" s="36">
        <f>'WTAX-CIT'!F58</f>
        <v>0</v>
      </c>
      <c r="M71" s="37">
        <f>'CIT - DEDS'!R49</f>
        <v>0</v>
      </c>
      <c r="N71" s="37">
        <f>'CIT - DEDS'!X49</f>
        <v>0</v>
      </c>
      <c r="O71" s="37">
        <f>'CIT - DEDS'!Y49</f>
        <v>0</v>
      </c>
      <c r="P71" s="37">
        <f>'CIT - DEDS'!AE49</f>
        <v>0</v>
      </c>
      <c r="Q71" s="35">
        <f t="shared" si="21"/>
        <v>0</v>
      </c>
      <c r="R71" s="45">
        <f t="shared" si="22"/>
        <v>0</v>
      </c>
      <c r="S71" s="219">
        <f t="shared" si="23"/>
        <v>0</v>
      </c>
      <c r="T71" s="220">
        <f t="shared" si="24"/>
        <v>0</v>
      </c>
      <c r="U71" s="33">
        <f t="shared" si="25"/>
        <v>30</v>
      </c>
      <c r="V71" s="36">
        <f>ROUND('CIT - PAY'!I71*0.12,2)</f>
        <v>0</v>
      </c>
      <c r="W71" s="37">
        <f t="shared" si="26"/>
        <v>100</v>
      </c>
      <c r="X71" s="37">
        <f>MIN((I71*0.05)-'CIT - DEDS'!Y49,2500)</f>
        <v>0</v>
      </c>
      <c r="Y71" s="35">
        <f t="shared" si="27"/>
        <v>200</v>
      </c>
    </row>
    <row r="72" spans="1:25" ht="18.75" customHeight="1" x14ac:dyDescent="0.25">
      <c r="A72" s="98"/>
      <c r="B72" s="34">
        <f t="shared" si="18"/>
        <v>31</v>
      </c>
      <c r="C72" s="72">
        <f>VLOOKUP(B72,'WTAX-CIT'!B:N,2,0)</f>
        <v>0</v>
      </c>
      <c r="D72" s="182" t="e">
        <f>VLOOKUP(C72,'WTAX-CIT'!C:O,2,0)</f>
        <v>#N/A</v>
      </c>
      <c r="E72" s="306">
        <f>VLOOKUP(B72,'WTAX-CIT'!B:N,4,0)</f>
        <v>0</v>
      </c>
      <c r="F72" s="87"/>
      <c r="G72" s="88"/>
      <c r="H72" s="88"/>
      <c r="I72" s="37">
        <f t="shared" si="19"/>
        <v>0</v>
      </c>
      <c r="J72" s="332">
        <f>'WTAX-CIT'!N59</f>
        <v>0</v>
      </c>
      <c r="K72" s="216">
        <f t="shared" si="20"/>
        <v>0</v>
      </c>
      <c r="L72" s="36">
        <f>'WTAX-CIT'!F59</f>
        <v>0</v>
      </c>
      <c r="M72" s="37">
        <f>'CIT - DEDS'!R50</f>
        <v>0</v>
      </c>
      <c r="N72" s="37">
        <f>'CIT - DEDS'!X50</f>
        <v>0</v>
      </c>
      <c r="O72" s="37">
        <f>'CIT - DEDS'!Y50</f>
        <v>0</v>
      </c>
      <c r="P72" s="37">
        <f>'CIT - DEDS'!AE50</f>
        <v>0</v>
      </c>
      <c r="Q72" s="35">
        <f t="shared" si="21"/>
        <v>0</v>
      </c>
      <c r="R72" s="45">
        <f t="shared" si="22"/>
        <v>0</v>
      </c>
      <c r="S72" s="219">
        <f t="shared" si="23"/>
        <v>0</v>
      </c>
      <c r="T72" s="220">
        <f t="shared" si="24"/>
        <v>0</v>
      </c>
      <c r="U72" s="33">
        <f t="shared" si="25"/>
        <v>31</v>
      </c>
      <c r="V72" s="36">
        <f>ROUND('CIT - PAY'!I72*0.12,2)</f>
        <v>0</v>
      </c>
      <c r="W72" s="37">
        <f t="shared" si="26"/>
        <v>100</v>
      </c>
      <c r="X72" s="37">
        <f>MIN((I72*0.05)-'CIT - DEDS'!Y50,2500)</f>
        <v>0</v>
      </c>
      <c r="Y72" s="35">
        <f t="shared" si="27"/>
        <v>200</v>
      </c>
    </row>
    <row r="73" spans="1:25" ht="18.75" customHeight="1" x14ac:dyDescent="0.25">
      <c r="A73" s="98"/>
      <c r="B73" s="34">
        <f t="shared" si="18"/>
        <v>32</v>
      </c>
      <c r="C73" s="72">
        <f>VLOOKUP(B73,'WTAX-CIT'!B:N,2,0)</f>
        <v>0</v>
      </c>
      <c r="D73" s="182" t="e">
        <f>VLOOKUP(C73,'WTAX-CIT'!C:O,2,0)</f>
        <v>#N/A</v>
      </c>
      <c r="E73" s="306">
        <f>VLOOKUP(B73,'WTAX-CIT'!B:N,4,0)</f>
        <v>0</v>
      </c>
      <c r="F73" s="87"/>
      <c r="G73" s="88"/>
      <c r="H73" s="88"/>
      <c r="I73" s="37">
        <f t="shared" si="19"/>
        <v>0</v>
      </c>
      <c r="J73" s="332">
        <f>'WTAX-CIT'!N60</f>
        <v>0</v>
      </c>
      <c r="K73" s="216">
        <f t="shared" si="20"/>
        <v>0</v>
      </c>
      <c r="L73" s="36">
        <f>'WTAX-CIT'!F60</f>
        <v>0</v>
      </c>
      <c r="M73" s="37">
        <f>'CIT - DEDS'!R51</f>
        <v>0</v>
      </c>
      <c r="N73" s="37">
        <f>'CIT - DEDS'!X51</f>
        <v>0</v>
      </c>
      <c r="O73" s="37">
        <f>'CIT - DEDS'!Y51</f>
        <v>0</v>
      </c>
      <c r="P73" s="37">
        <f>'CIT - DEDS'!AE51</f>
        <v>0</v>
      </c>
      <c r="Q73" s="35">
        <f t="shared" si="21"/>
        <v>0</v>
      </c>
      <c r="R73" s="45">
        <f t="shared" si="22"/>
        <v>0</v>
      </c>
      <c r="S73" s="219">
        <f t="shared" si="23"/>
        <v>0</v>
      </c>
      <c r="T73" s="220">
        <f t="shared" si="24"/>
        <v>0</v>
      </c>
      <c r="U73" s="33">
        <f t="shared" si="25"/>
        <v>32</v>
      </c>
      <c r="V73" s="36">
        <f>ROUND('CIT - PAY'!I73*0.12,2)</f>
        <v>0</v>
      </c>
      <c r="W73" s="37">
        <f t="shared" si="26"/>
        <v>100</v>
      </c>
      <c r="X73" s="37">
        <f>MIN((I73*0.05)-'CIT - DEDS'!Y51,2500)</f>
        <v>0</v>
      </c>
      <c r="Y73" s="35">
        <f t="shared" si="27"/>
        <v>200</v>
      </c>
    </row>
    <row r="74" spans="1:25" ht="18.75" customHeight="1" x14ac:dyDescent="0.25">
      <c r="A74" s="98"/>
      <c r="B74" s="34">
        <f t="shared" si="18"/>
        <v>33</v>
      </c>
      <c r="C74" s="72">
        <f>VLOOKUP(B74,'WTAX-CIT'!B:N,2,0)</f>
        <v>0</v>
      </c>
      <c r="D74" s="182" t="e">
        <f>VLOOKUP(C74,'WTAX-CIT'!C:O,2,0)</f>
        <v>#N/A</v>
      </c>
      <c r="E74" s="306">
        <f>VLOOKUP(B74,'WTAX-CIT'!B:N,4,0)</f>
        <v>0</v>
      </c>
      <c r="F74" s="87"/>
      <c r="G74" s="88"/>
      <c r="H74" s="88"/>
      <c r="I74" s="37">
        <f t="shared" si="19"/>
        <v>0</v>
      </c>
      <c r="J74" s="332">
        <f>'WTAX-CIT'!N61</f>
        <v>0</v>
      </c>
      <c r="K74" s="216">
        <f t="shared" si="20"/>
        <v>0</v>
      </c>
      <c r="L74" s="36">
        <f>'WTAX-CIT'!F61</f>
        <v>0</v>
      </c>
      <c r="M74" s="37">
        <f>'CIT - DEDS'!R52</f>
        <v>0</v>
      </c>
      <c r="N74" s="37">
        <f>'CIT - DEDS'!X52</f>
        <v>0</v>
      </c>
      <c r="O74" s="37">
        <f>'CIT - DEDS'!Y52</f>
        <v>0</v>
      </c>
      <c r="P74" s="37">
        <f>'CIT - DEDS'!AE52</f>
        <v>0</v>
      </c>
      <c r="Q74" s="35">
        <f t="shared" si="21"/>
        <v>0</v>
      </c>
      <c r="R74" s="45">
        <f t="shared" si="22"/>
        <v>0</v>
      </c>
      <c r="S74" s="219">
        <f t="shared" si="23"/>
        <v>0</v>
      </c>
      <c r="T74" s="220">
        <f t="shared" si="24"/>
        <v>0</v>
      </c>
      <c r="U74" s="33">
        <f t="shared" si="25"/>
        <v>33</v>
      </c>
      <c r="V74" s="36">
        <f>ROUND('CIT - PAY'!I74*0.12,2)</f>
        <v>0</v>
      </c>
      <c r="W74" s="37">
        <f t="shared" si="26"/>
        <v>100</v>
      </c>
      <c r="X74" s="37">
        <f>MIN((I74*0.05)-'CIT - DEDS'!Y52,2500)</f>
        <v>0</v>
      </c>
      <c r="Y74" s="35">
        <f t="shared" si="27"/>
        <v>200</v>
      </c>
    </row>
    <row r="75" spans="1:25" ht="18.75" customHeight="1" x14ac:dyDescent="0.25">
      <c r="A75" s="98"/>
      <c r="B75" s="34">
        <f t="shared" si="18"/>
        <v>34</v>
      </c>
      <c r="C75" s="72">
        <f>VLOOKUP(B75,'WTAX-CIT'!B:N,2,0)</f>
        <v>0</v>
      </c>
      <c r="D75" s="182" t="e">
        <f>VLOOKUP(C75,'WTAX-CIT'!C:O,2,0)</f>
        <v>#N/A</v>
      </c>
      <c r="E75" s="306">
        <f>VLOOKUP(B75,'WTAX-CIT'!B:N,4,0)</f>
        <v>0</v>
      </c>
      <c r="F75" s="87"/>
      <c r="G75" s="88"/>
      <c r="H75" s="88"/>
      <c r="I75" s="37">
        <f t="shared" si="19"/>
        <v>0</v>
      </c>
      <c r="J75" s="332">
        <f>'WTAX-CIT'!N62</f>
        <v>0</v>
      </c>
      <c r="K75" s="216">
        <f t="shared" si="20"/>
        <v>0</v>
      </c>
      <c r="L75" s="36">
        <f>'WTAX-CIT'!F62</f>
        <v>0</v>
      </c>
      <c r="M75" s="37">
        <f>'CIT - DEDS'!R53</f>
        <v>0</v>
      </c>
      <c r="N75" s="37">
        <f>'CIT - DEDS'!X53</f>
        <v>0</v>
      </c>
      <c r="O75" s="37">
        <f>'CIT - DEDS'!Y53</f>
        <v>0</v>
      </c>
      <c r="P75" s="37">
        <f>'CIT - DEDS'!AE53</f>
        <v>0</v>
      </c>
      <c r="Q75" s="35">
        <f t="shared" si="21"/>
        <v>0</v>
      </c>
      <c r="R75" s="45">
        <f t="shared" si="22"/>
        <v>0</v>
      </c>
      <c r="S75" s="219">
        <f t="shared" si="23"/>
        <v>0</v>
      </c>
      <c r="T75" s="220">
        <f t="shared" si="24"/>
        <v>0</v>
      </c>
      <c r="U75" s="33">
        <f t="shared" si="25"/>
        <v>34</v>
      </c>
      <c r="V75" s="36">
        <f>ROUND('CIT - PAY'!I75*0.12,2)</f>
        <v>0</v>
      </c>
      <c r="W75" s="37">
        <f t="shared" si="26"/>
        <v>100</v>
      </c>
      <c r="X75" s="37">
        <f>MIN((I75*0.05)-'CIT - DEDS'!Y53,2500)</f>
        <v>0</v>
      </c>
      <c r="Y75" s="35">
        <f t="shared" si="27"/>
        <v>200</v>
      </c>
    </row>
    <row r="76" spans="1:25" ht="18.75" customHeight="1" x14ac:dyDescent="0.25">
      <c r="A76" s="98"/>
      <c r="B76" s="34">
        <f t="shared" si="18"/>
        <v>35</v>
      </c>
      <c r="C76" s="72">
        <f>VLOOKUP(B76,'WTAX-CIT'!B:N,2,0)</f>
        <v>0</v>
      </c>
      <c r="D76" s="182" t="e">
        <f>VLOOKUP(C76,'WTAX-CIT'!C:O,2,0)</f>
        <v>#N/A</v>
      </c>
      <c r="E76" s="306">
        <f>VLOOKUP(B76,'WTAX-CIT'!B:N,4,0)</f>
        <v>0</v>
      </c>
      <c r="F76" s="87"/>
      <c r="G76" s="88"/>
      <c r="H76" s="88"/>
      <c r="I76" s="37">
        <f t="shared" si="19"/>
        <v>0</v>
      </c>
      <c r="J76" s="332">
        <f>'WTAX-CIT'!N63</f>
        <v>0</v>
      </c>
      <c r="K76" s="216">
        <f t="shared" si="20"/>
        <v>0</v>
      </c>
      <c r="L76" s="36">
        <f>'WTAX-CIT'!F63</f>
        <v>0</v>
      </c>
      <c r="M76" s="37">
        <f>'CIT - DEDS'!R54</f>
        <v>0</v>
      </c>
      <c r="N76" s="37">
        <f>'CIT - DEDS'!X54</f>
        <v>0</v>
      </c>
      <c r="O76" s="37">
        <f>'CIT - DEDS'!Y54</f>
        <v>0</v>
      </c>
      <c r="P76" s="37">
        <f>'CIT - DEDS'!AE54</f>
        <v>0</v>
      </c>
      <c r="Q76" s="35">
        <f t="shared" si="21"/>
        <v>0</v>
      </c>
      <c r="R76" s="45">
        <f t="shared" si="22"/>
        <v>0</v>
      </c>
      <c r="S76" s="219">
        <f t="shared" si="23"/>
        <v>0</v>
      </c>
      <c r="T76" s="220">
        <f t="shared" si="24"/>
        <v>0</v>
      </c>
      <c r="U76" s="33">
        <f t="shared" si="25"/>
        <v>35</v>
      </c>
      <c r="V76" s="36">
        <f>ROUND('CIT - PAY'!I76*0.12,2)</f>
        <v>0</v>
      </c>
      <c r="W76" s="37">
        <f t="shared" si="26"/>
        <v>100</v>
      </c>
      <c r="X76" s="37">
        <f>MIN((I76*0.05)-'CIT - DEDS'!Y54,2500)</f>
        <v>0</v>
      </c>
      <c r="Y76" s="35">
        <f t="shared" si="27"/>
        <v>200</v>
      </c>
    </row>
    <row r="77" spans="1:25" ht="18.75" customHeight="1" x14ac:dyDescent="0.25">
      <c r="A77" s="98"/>
      <c r="B77" s="34">
        <f t="shared" si="18"/>
        <v>36</v>
      </c>
      <c r="C77" s="72">
        <f>VLOOKUP(B77,'WTAX-CIT'!B:N,2,0)</f>
        <v>0</v>
      </c>
      <c r="D77" s="182" t="e">
        <f>VLOOKUP(C77,'WTAX-CIT'!C:O,2,0)</f>
        <v>#N/A</v>
      </c>
      <c r="E77" s="306">
        <f>VLOOKUP(B77,'WTAX-CIT'!B:N,4,0)</f>
        <v>0</v>
      </c>
      <c r="F77" s="87"/>
      <c r="G77" s="88"/>
      <c r="H77" s="88"/>
      <c r="I77" s="37">
        <f t="shared" si="19"/>
        <v>0</v>
      </c>
      <c r="J77" s="332">
        <f>'WTAX-CIT'!N64</f>
        <v>0</v>
      </c>
      <c r="K77" s="216">
        <f t="shared" si="20"/>
        <v>0</v>
      </c>
      <c r="L77" s="36">
        <f>'WTAX-CIT'!F64</f>
        <v>0</v>
      </c>
      <c r="M77" s="37">
        <f>'CIT - DEDS'!R55</f>
        <v>0</v>
      </c>
      <c r="N77" s="37">
        <f>'CIT - DEDS'!X55</f>
        <v>0</v>
      </c>
      <c r="O77" s="37">
        <f>'CIT - DEDS'!Y55</f>
        <v>0</v>
      </c>
      <c r="P77" s="37">
        <f>'CIT - DEDS'!AE55</f>
        <v>0</v>
      </c>
      <c r="Q77" s="35">
        <f t="shared" si="21"/>
        <v>0</v>
      </c>
      <c r="R77" s="45">
        <f t="shared" si="22"/>
        <v>0</v>
      </c>
      <c r="S77" s="219">
        <f t="shared" si="23"/>
        <v>0</v>
      </c>
      <c r="T77" s="220">
        <f t="shared" si="24"/>
        <v>0</v>
      </c>
      <c r="U77" s="33">
        <f t="shared" si="25"/>
        <v>36</v>
      </c>
      <c r="V77" s="36">
        <f>ROUND('CIT - PAY'!I77*0.12,2)</f>
        <v>0</v>
      </c>
      <c r="W77" s="37">
        <f t="shared" si="26"/>
        <v>100</v>
      </c>
      <c r="X77" s="37">
        <f>MIN((I77*0.05)-'CIT - DEDS'!Y55,2500)</f>
        <v>0</v>
      </c>
      <c r="Y77" s="35">
        <f t="shared" si="27"/>
        <v>200</v>
      </c>
    </row>
    <row r="78" spans="1:25" ht="18.75" customHeight="1" x14ac:dyDescent="0.25">
      <c r="A78" s="98"/>
      <c r="B78" s="34">
        <f t="shared" si="18"/>
        <v>37</v>
      </c>
      <c r="C78" s="72">
        <f>VLOOKUP(B78,'WTAX-CIT'!B:N,2,0)</f>
        <v>0</v>
      </c>
      <c r="D78" s="182" t="e">
        <f>VLOOKUP(C78,'WTAX-CIT'!C:O,2,0)</f>
        <v>#N/A</v>
      </c>
      <c r="E78" s="306">
        <f>VLOOKUP(B78,'WTAX-CIT'!B:N,4,0)</f>
        <v>0</v>
      </c>
      <c r="F78" s="87"/>
      <c r="G78" s="88"/>
      <c r="H78" s="88"/>
      <c r="I78" s="37">
        <f t="shared" si="19"/>
        <v>0</v>
      </c>
      <c r="J78" s="332">
        <f>'WTAX-CIT'!N65</f>
        <v>0</v>
      </c>
      <c r="K78" s="216">
        <f t="shared" si="20"/>
        <v>0</v>
      </c>
      <c r="L78" s="36">
        <f>'WTAX-CIT'!F65</f>
        <v>0</v>
      </c>
      <c r="M78" s="37">
        <f>'CIT - DEDS'!R56</f>
        <v>0</v>
      </c>
      <c r="N78" s="37">
        <f>'CIT - DEDS'!X56</f>
        <v>0</v>
      </c>
      <c r="O78" s="37">
        <f>'CIT - DEDS'!Y56</f>
        <v>0</v>
      </c>
      <c r="P78" s="37">
        <f>'CIT - DEDS'!AE56</f>
        <v>0</v>
      </c>
      <c r="Q78" s="35">
        <f t="shared" si="21"/>
        <v>0</v>
      </c>
      <c r="R78" s="45">
        <f t="shared" si="22"/>
        <v>0</v>
      </c>
      <c r="S78" s="219">
        <f t="shared" si="23"/>
        <v>0</v>
      </c>
      <c r="T78" s="220">
        <f t="shared" si="24"/>
        <v>0</v>
      </c>
      <c r="U78" s="33">
        <f t="shared" si="25"/>
        <v>37</v>
      </c>
      <c r="V78" s="36">
        <f>ROUND('CIT - PAY'!I78*0.12,2)</f>
        <v>0</v>
      </c>
      <c r="W78" s="37">
        <f t="shared" si="26"/>
        <v>100</v>
      </c>
      <c r="X78" s="37">
        <f>MIN((I78*0.05)-'CIT - DEDS'!Y56,2500)</f>
        <v>0</v>
      </c>
      <c r="Y78" s="35">
        <f t="shared" si="27"/>
        <v>200</v>
      </c>
    </row>
    <row r="79" spans="1:25" ht="18.75" customHeight="1" x14ac:dyDescent="0.25">
      <c r="A79" s="98"/>
      <c r="B79" s="34">
        <f t="shared" si="18"/>
        <v>38</v>
      </c>
      <c r="C79" s="72">
        <f>VLOOKUP(B79,'WTAX-CIT'!B:N,2,0)</f>
        <v>0</v>
      </c>
      <c r="D79" s="182" t="e">
        <f>VLOOKUP(C79,'WTAX-CIT'!C:O,2,0)</f>
        <v>#N/A</v>
      </c>
      <c r="E79" s="306">
        <f>VLOOKUP(B79,'WTAX-CIT'!B:N,4,0)</f>
        <v>0</v>
      </c>
      <c r="F79" s="87"/>
      <c r="G79" s="88"/>
      <c r="H79" s="88"/>
      <c r="I79" s="37">
        <f t="shared" si="19"/>
        <v>0</v>
      </c>
      <c r="J79" s="332">
        <f>'WTAX-CIT'!N66</f>
        <v>0</v>
      </c>
      <c r="K79" s="216">
        <f t="shared" si="20"/>
        <v>0</v>
      </c>
      <c r="L79" s="36">
        <f>'WTAX-CIT'!F66</f>
        <v>0</v>
      </c>
      <c r="M79" s="37">
        <f>'CIT - DEDS'!R57</f>
        <v>0</v>
      </c>
      <c r="N79" s="37">
        <f>'CIT - DEDS'!X57</f>
        <v>0</v>
      </c>
      <c r="O79" s="37">
        <f>'CIT - DEDS'!Y57</f>
        <v>0</v>
      </c>
      <c r="P79" s="37">
        <f>'CIT - DEDS'!AE57</f>
        <v>0</v>
      </c>
      <c r="Q79" s="35">
        <f t="shared" si="21"/>
        <v>0</v>
      </c>
      <c r="R79" s="45">
        <f t="shared" si="22"/>
        <v>0</v>
      </c>
      <c r="S79" s="219">
        <f t="shared" si="23"/>
        <v>0</v>
      </c>
      <c r="T79" s="220">
        <f t="shared" si="24"/>
        <v>0</v>
      </c>
      <c r="U79" s="33">
        <f t="shared" si="25"/>
        <v>38</v>
      </c>
      <c r="V79" s="36">
        <f>ROUND('CIT - PAY'!I79*0.12,2)</f>
        <v>0</v>
      </c>
      <c r="W79" s="37">
        <f t="shared" si="26"/>
        <v>100</v>
      </c>
      <c r="X79" s="37">
        <f>MIN((I79*0.05)-'CIT - DEDS'!Y57,2500)</f>
        <v>0</v>
      </c>
      <c r="Y79" s="35">
        <f t="shared" si="27"/>
        <v>200</v>
      </c>
    </row>
    <row r="80" spans="1:25" ht="18.75" customHeight="1" x14ac:dyDescent="0.25">
      <c r="A80" s="98"/>
      <c r="B80" s="34">
        <f t="shared" si="18"/>
        <v>39</v>
      </c>
      <c r="C80" s="72">
        <f>VLOOKUP(B80,'WTAX-CIT'!B:N,2,0)</f>
        <v>0</v>
      </c>
      <c r="D80" s="182" t="e">
        <f>VLOOKUP(C80,'WTAX-CIT'!C:O,2,0)</f>
        <v>#N/A</v>
      </c>
      <c r="E80" s="306">
        <f>VLOOKUP(B80,'WTAX-CIT'!B:N,4,0)</f>
        <v>0</v>
      </c>
      <c r="F80" s="87"/>
      <c r="G80" s="88"/>
      <c r="H80" s="88"/>
      <c r="I80" s="37">
        <f t="shared" si="19"/>
        <v>0</v>
      </c>
      <c r="J80" s="332">
        <f>'WTAX-CIT'!N67</f>
        <v>0</v>
      </c>
      <c r="K80" s="216">
        <f t="shared" si="20"/>
        <v>0</v>
      </c>
      <c r="L80" s="36">
        <f>'WTAX-CIT'!F67</f>
        <v>0</v>
      </c>
      <c r="M80" s="37">
        <f>'CIT - DEDS'!R58</f>
        <v>0</v>
      </c>
      <c r="N80" s="37">
        <f>'CIT - DEDS'!X58</f>
        <v>0</v>
      </c>
      <c r="O80" s="37">
        <f>'CIT - DEDS'!Y58</f>
        <v>0</v>
      </c>
      <c r="P80" s="37">
        <f>'CIT - DEDS'!AE58</f>
        <v>0</v>
      </c>
      <c r="Q80" s="35">
        <f t="shared" si="21"/>
        <v>0</v>
      </c>
      <c r="R80" s="45">
        <f t="shared" si="22"/>
        <v>0</v>
      </c>
      <c r="S80" s="219">
        <f t="shared" si="23"/>
        <v>0</v>
      </c>
      <c r="T80" s="220">
        <f t="shared" si="24"/>
        <v>0</v>
      </c>
      <c r="U80" s="33">
        <f t="shared" si="25"/>
        <v>39</v>
      </c>
      <c r="V80" s="36">
        <f>ROUND('CIT - PAY'!I80*0.12,2)</f>
        <v>0</v>
      </c>
      <c r="W80" s="37">
        <f t="shared" si="26"/>
        <v>100</v>
      </c>
      <c r="X80" s="37">
        <f>MIN((I80*0.05)-'CIT - DEDS'!Y58,2500)</f>
        <v>0</v>
      </c>
      <c r="Y80" s="35">
        <f t="shared" si="27"/>
        <v>200</v>
      </c>
    </row>
    <row r="81" spans="1:26" ht="18.75" customHeight="1" x14ac:dyDescent="0.25">
      <c r="A81" s="98"/>
      <c r="B81" s="34">
        <f t="shared" si="18"/>
        <v>40</v>
      </c>
      <c r="C81" s="72">
        <f>VLOOKUP(B81,'WTAX-CIT'!B:N,2,0)</f>
        <v>0</v>
      </c>
      <c r="D81" s="182" t="e">
        <f>VLOOKUP(C81,'WTAX-CIT'!C:O,2,0)</f>
        <v>#N/A</v>
      </c>
      <c r="E81" s="306">
        <f>VLOOKUP(B81,'WTAX-CIT'!B:N,4,0)</f>
        <v>0</v>
      </c>
      <c r="F81" s="87"/>
      <c r="G81" s="88"/>
      <c r="H81" s="88"/>
      <c r="I81" s="37">
        <f t="shared" si="19"/>
        <v>0</v>
      </c>
      <c r="J81" s="332">
        <f>'WTAX-CIT'!N68</f>
        <v>0</v>
      </c>
      <c r="K81" s="216">
        <f t="shared" si="20"/>
        <v>0</v>
      </c>
      <c r="L81" s="36">
        <f>'WTAX-CIT'!F68</f>
        <v>0</v>
      </c>
      <c r="M81" s="37">
        <f>'CIT - DEDS'!R59</f>
        <v>0</v>
      </c>
      <c r="N81" s="37">
        <f>'CIT - DEDS'!X59</f>
        <v>0</v>
      </c>
      <c r="O81" s="37">
        <f>'CIT - DEDS'!Y59</f>
        <v>0</v>
      </c>
      <c r="P81" s="37">
        <f>'CIT - DEDS'!AE59</f>
        <v>0</v>
      </c>
      <c r="Q81" s="35">
        <f t="shared" si="21"/>
        <v>0</v>
      </c>
      <c r="R81" s="45">
        <f t="shared" si="22"/>
        <v>0</v>
      </c>
      <c r="S81" s="219">
        <f t="shared" si="23"/>
        <v>0</v>
      </c>
      <c r="T81" s="220">
        <f t="shared" si="24"/>
        <v>0</v>
      </c>
      <c r="U81" s="33">
        <f t="shared" si="25"/>
        <v>40</v>
      </c>
      <c r="V81" s="36">
        <f>ROUND('CIT - PAY'!I81*0.12,2)</f>
        <v>0</v>
      </c>
      <c r="W81" s="37">
        <f t="shared" si="26"/>
        <v>100</v>
      </c>
      <c r="X81" s="37">
        <f>MIN((I81*0.05)-'CIT - DEDS'!Y59,2500)</f>
        <v>0</v>
      </c>
      <c r="Y81" s="35">
        <f t="shared" si="27"/>
        <v>200</v>
      </c>
    </row>
    <row r="82" spans="1:26" ht="18.75" customHeight="1" x14ac:dyDescent="0.25">
      <c r="A82" s="98"/>
      <c r="B82" s="34">
        <f>+B60+1</f>
        <v>41</v>
      </c>
      <c r="C82" s="72">
        <f>VLOOKUP(B82,'WTAX-CIT'!B:N,2,0)</f>
        <v>0</v>
      </c>
      <c r="D82" s="182" t="e">
        <f>VLOOKUP(C82,'WTAX-CIT'!C:O,2,0)</f>
        <v>#N/A</v>
      </c>
      <c r="E82" s="306">
        <f>VLOOKUP(B82,'WTAX-CIT'!B:N,4,0)</f>
        <v>0</v>
      </c>
      <c r="F82" s="87"/>
      <c r="G82" s="88"/>
      <c r="H82" s="88"/>
      <c r="I82" s="37">
        <f t="shared" si="11"/>
        <v>0</v>
      </c>
      <c r="J82" s="332">
        <f>'WTAX-CIT'!N69</f>
        <v>0</v>
      </c>
      <c r="K82" s="216">
        <f t="shared" si="12"/>
        <v>0</v>
      </c>
      <c r="L82" s="36">
        <f>'WTAX-CIT'!F69</f>
        <v>0</v>
      </c>
      <c r="M82" s="37">
        <f>'CIT - DEDS'!R81</f>
        <v>0</v>
      </c>
      <c r="N82" s="37">
        <f>'CIT - DEDS'!X81</f>
        <v>0</v>
      </c>
      <c r="O82" s="37">
        <f>'CIT - DEDS'!Y81</f>
        <v>0</v>
      </c>
      <c r="P82" s="37">
        <f>'CIT - DEDS'!AE81</f>
        <v>0</v>
      </c>
      <c r="Q82" s="35">
        <f t="shared" si="13"/>
        <v>0</v>
      </c>
      <c r="R82" s="45">
        <f t="shared" si="14"/>
        <v>0</v>
      </c>
      <c r="S82" s="219">
        <f t="shared" si="15"/>
        <v>0</v>
      </c>
      <c r="T82" s="220">
        <f t="shared" si="16"/>
        <v>0</v>
      </c>
      <c r="U82" s="33">
        <f t="shared" si="17"/>
        <v>41</v>
      </c>
      <c r="V82" s="36">
        <f>ROUND('CIT - PAY'!I82*0.12,2)</f>
        <v>0</v>
      </c>
      <c r="W82" s="37">
        <f>W60</f>
        <v>100</v>
      </c>
      <c r="X82" s="37">
        <f>MIN((I82*0.05)-'CIT - DEDS'!Y81,2500)</f>
        <v>0</v>
      </c>
      <c r="Y82" s="35">
        <f>Y60</f>
        <v>200</v>
      </c>
    </row>
    <row r="83" spans="1:26" ht="18.75" customHeight="1" x14ac:dyDescent="0.25">
      <c r="A83" s="98"/>
      <c r="B83" s="34"/>
      <c r="C83" s="15"/>
      <c r="D83" s="59"/>
      <c r="E83" s="33"/>
      <c r="F83" s="87"/>
      <c r="G83" s="88"/>
      <c r="H83" s="88"/>
      <c r="I83" s="37"/>
      <c r="J83" s="332"/>
      <c r="K83" s="216"/>
      <c r="L83" s="36"/>
      <c r="M83" s="37"/>
      <c r="N83" s="37"/>
      <c r="O83" s="37"/>
      <c r="P83" s="37"/>
      <c r="Q83" s="35"/>
      <c r="R83" s="45"/>
      <c r="S83" s="36"/>
      <c r="T83" s="35"/>
      <c r="U83" s="221"/>
      <c r="V83" s="36"/>
      <c r="W83" s="37"/>
      <c r="X83" s="37"/>
      <c r="Y83" s="35"/>
    </row>
    <row r="84" spans="1:26" ht="18.75" customHeight="1" thickBot="1" x14ac:dyDescent="0.3">
      <c r="A84" s="98"/>
      <c r="B84" s="215"/>
      <c r="C84" s="16"/>
      <c r="D84" s="60"/>
      <c r="E84" s="324"/>
      <c r="F84" s="97">
        <f>SUM(F21:F83)</f>
        <v>0</v>
      </c>
      <c r="G84" s="93"/>
      <c r="H84" s="93">
        <f t="shared" ref="H84:S84" si="28">SUM(H21:H83)</f>
        <v>0</v>
      </c>
      <c r="I84" s="79">
        <f t="shared" si="28"/>
        <v>0</v>
      </c>
      <c r="J84" s="334">
        <f t="shared" si="28"/>
        <v>0</v>
      </c>
      <c r="K84" s="217">
        <f t="shared" si="28"/>
        <v>0</v>
      </c>
      <c r="L84" s="78">
        <f t="shared" si="28"/>
        <v>0</v>
      </c>
      <c r="M84" s="79">
        <f t="shared" si="28"/>
        <v>0</v>
      </c>
      <c r="N84" s="79">
        <f t="shared" si="28"/>
        <v>0</v>
      </c>
      <c r="O84" s="79">
        <f t="shared" si="28"/>
        <v>0</v>
      </c>
      <c r="P84" s="79">
        <f t="shared" si="28"/>
        <v>0</v>
      </c>
      <c r="Q84" s="83">
        <f t="shared" si="28"/>
        <v>0</v>
      </c>
      <c r="R84" s="218">
        <f t="shared" si="28"/>
        <v>0</v>
      </c>
      <c r="S84" s="78">
        <f t="shared" si="28"/>
        <v>0</v>
      </c>
      <c r="T84" s="83" t="s">
        <v>163</v>
      </c>
      <c r="U84" s="222"/>
      <c r="V84" s="78">
        <f>SUM(V21:V83)</f>
        <v>0</v>
      </c>
      <c r="W84" s="79">
        <f>SUM(W21:W83)</f>
        <v>6200</v>
      </c>
      <c r="X84" s="79">
        <f>SUM(X21:X83)</f>
        <v>0</v>
      </c>
      <c r="Y84" s="83">
        <f>SUM(Y21:Y83)</f>
        <v>12400</v>
      </c>
    </row>
    <row r="85" spans="1:26" ht="21" customHeight="1" thickBot="1" x14ac:dyDescent="0.3">
      <c r="A85" s="98"/>
      <c r="B85" s="166" t="s">
        <v>21</v>
      </c>
      <c r="C85" s="922" t="s">
        <v>104</v>
      </c>
      <c r="D85" s="923"/>
      <c r="E85" s="923"/>
      <c r="F85" s="923"/>
      <c r="G85" s="923"/>
      <c r="J85" s="7"/>
      <c r="K85" s="7"/>
      <c r="L85" s="7"/>
      <c r="M85" s="7"/>
      <c r="N85" s="58"/>
      <c r="O85" s="166" t="s">
        <v>23</v>
      </c>
      <c r="P85" s="214" t="s">
        <v>89</v>
      </c>
      <c r="Q85" s="7"/>
      <c r="R85" s="7"/>
      <c r="S85" s="924"/>
      <c r="T85" s="924"/>
      <c r="U85" s="924"/>
      <c r="V85" s="924"/>
      <c r="W85" s="924"/>
      <c r="X85" s="924"/>
      <c r="Y85" s="925"/>
    </row>
    <row r="86" spans="1:26" ht="30.75" customHeight="1" x14ac:dyDescent="0.25">
      <c r="A86" s="98"/>
      <c r="B86" s="17" t="s">
        <v>22</v>
      </c>
      <c r="D86" s="8"/>
      <c r="E86" s="50"/>
      <c r="F86" s="8"/>
      <c r="G86" s="8"/>
      <c r="H86" s="8"/>
      <c r="I86" s="160"/>
      <c r="J86" s="160"/>
      <c r="K86" s="160"/>
      <c r="L86" s="160"/>
      <c r="M86" s="160"/>
      <c r="N86" s="147"/>
      <c r="O86" s="870" t="e" cm="1">
        <f t="array" aca="1" ref="O86" ca="1">PesosInWords2Caps(W86)</f>
        <v>#NAME?</v>
      </c>
      <c r="P86" s="871"/>
      <c r="Q86" s="871"/>
      <c r="R86" s="871"/>
      <c r="S86" s="871"/>
      <c r="T86" s="871"/>
      <c r="U86" s="871"/>
      <c r="V86" s="871"/>
      <c r="W86" s="868">
        <f>S84</f>
        <v>0</v>
      </c>
      <c r="X86" s="868"/>
      <c r="Y86" s="869"/>
    </row>
    <row r="87" spans="1:26" ht="21.75" customHeight="1" x14ac:dyDescent="0.25">
      <c r="A87" s="98"/>
      <c r="B87" s="17"/>
      <c r="C87" s="8"/>
      <c r="D87" s="8"/>
      <c r="E87" s="50"/>
      <c r="F87" s="8"/>
      <c r="G87" s="8"/>
      <c r="H87" s="8"/>
      <c r="I87" s="8"/>
      <c r="J87" s="8"/>
      <c r="K87" s="8"/>
      <c r="L87" s="8"/>
      <c r="M87" s="8"/>
      <c r="N87" s="18"/>
      <c r="O87" s="25"/>
      <c r="P87" s="8"/>
      <c r="Q87" s="8"/>
      <c r="R87" s="8"/>
      <c r="S87" s="9"/>
      <c r="T87" s="9"/>
      <c r="U87" s="6"/>
      <c r="V87" s="9"/>
      <c r="W87" s="9"/>
      <c r="X87" s="9"/>
      <c r="Y87" s="19"/>
    </row>
    <row r="88" spans="1:26" ht="21.75" customHeight="1" x14ac:dyDescent="0.25">
      <c r="A88" s="98"/>
      <c r="B88" s="17"/>
      <c r="N88" s="56"/>
      <c r="O88" s="149"/>
      <c r="P88" s="50"/>
      <c r="U88" s="6"/>
      <c r="Y88" s="19"/>
    </row>
    <row r="89" spans="1:26" ht="16.5" customHeight="1" x14ac:dyDescent="0.25">
      <c r="A89" s="98"/>
      <c r="B89" s="17"/>
      <c r="C89" s="820" t="s">
        <v>47</v>
      </c>
      <c r="D89" s="820"/>
      <c r="E89" s="325"/>
      <c r="F89" s="342">
        <f ca="1">NOW()</f>
        <v>46275.505203009256</v>
      </c>
      <c r="G89" s="164"/>
      <c r="H89" s="820" t="s">
        <v>95</v>
      </c>
      <c r="I89" s="820"/>
      <c r="J89" s="820"/>
      <c r="K89" s="820"/>
      <c r="L89" s="8"/>
      <c r="M89" s="342">
        <f ca="1">NOW()</f>
        <v>46275.505203009256</v>
      </c>
      <c r="N89" s="165"/>
      <c r="O89" s="161"/>
      <c r="P89" s="51"/>
      <c r="Q89" s="820" t="s">
        <v>97</v>
      </c>
      <c r="R89" s="820"/>
      <c r="S89" s="820"/>
      <c r="U89" s="6"/>
      <c r="V89" s="839"/>
      <c r="W89" s="839"/>
      <c r="X89" s="839"/>
      <c r="Y89" s="19"/>
    </row>
    <row r="90" spans="1:26" ht="15.75" x14ac:dyDescent="0.25">
      <c r="A90" s="98"/>
      <c r="B90" s="17"/>
      <c r="C90" s="827" t="s">
        <v>93</v>
      </c>
      <c r="D90" s="827"/>
      <c r="E90" s="6"/>
      <c r="F90" s="171" t="s">
        <v>29</v>
      </c>
      <c r="G90" s="9"/>
      <c r="H90" s="827" t="s">
        <v>94</v>
      </c>
      <c r="I90" s="827"/>
      <c r="J90" s="827"/>
      <c r="K90" s="827"/>
      <c r="L90" s="9"/>
      <c r="M90" s="171" t="s">
        <v>29</v>
      </c>
      <c r="N90" s="172"/>
      <c r="O90" s="161"/>
      <c r="P90" s="51"/>
      <c r="Q90" s="827" t="s">
        <v>96</v>
      </c>
      <c r="R90" s="827"/>
      <c r="S90" s="827"/>
      <c r="T90" s="9"/>
      <c r="U90" s="6"/>
      <c r="V90" s="840" t="s">
        <v>29</v>
      </c>
      <c r="W90" s="840"/>
      <c r="X90" s="840"/>
      <c r="Y90" s="19"/>
    </row>
    <row r="91" spans="1:26" ht="16.5" thickBot="1" x14ac:dyDescent="0.3">
      <c r="A91" s="98"/>
      <c r="B91" s="20"/>
      <c r="C91" s="21"/>
      <c r="D91" s="21"/>
      <c r="E91" s="326"/>
      <c r="F91" s="21"/>
      <c r="G91" s="21"/>
      <c r="H91" s="21"/>
      <c r="I91" s="21"/>
      <c r="J91" s="29"/>
      <c r="K91" s="29"/>
      <c r="L91" s="29"/>
      <c r="M91" s="29"/>
      <c r="N91" s="168"/>
      <c r="O91" s="162"/>
      <c r="P91" s="22"/>
      <c r="Q91" s="30"/>
      <c r="R91" s="30"/>
      <c r="S91" s="30"/>
      <c r="T91" s="10"/>
      <c r="U91" s="54"/>
      <c r="V91" s="10"/>
      <c r="W91" s="10"/>
      <c r="X91" s="10"/>
      <c r="Y91" s="23"/>
      <c r="Z91" s="842"/>
    </row>
    <row r="92" spans="1:26" ht="21" customHeight="1" thickBot="1" x14ac:dyDescent="0.3">
      <c r="A92" s="98"/>
      <c r="B92" s="1" t="s">
        <v>24</v>
      </c>
      <c r="C92" s="818" t="s">
        <v>105</v>
      </c>
      <c r="D92" s="818" t="s">
        <v>100</v>
      </c>
      <c r="E92" s="818"/>
      <c r="F92" s="818"/>
      <c r="G92" s="818"/>
      <c r="H92" s="818"/>
      <c r="I92" s="818"/>
      <c r="J92" s="818"/>
      <c r="K92" s="818"/>
      <c r="L92" s="828">
        <f>S84</f>
        <v>0</v>
      </c>
      <c r="M92" s="828"/>
      <c r="N92" s="829"/>
      <c r="O92" s="1" t="s">
        <v>25</v>
      </c>
      <c r="P92" s="835" t="s">
        <v>35</v>
      </c>
      <c r="Q92" s="835"/>
      <c r="R92" s="835"/>
      <c r="S92" s="835"/>
      <c r="T92" s="836"/>
      <c r="U92" s="1" t="s">
        <v>27</v>
      </c>
      <c r="V92" s="148"/>
      <c r="W92" s="148"/>
      <c r="X92" s="148"/>
      <c r="Y92" s="24"/>
      <c r="Z92" s="843"/>
    </row>
    <row r="93" spans="1:26" ht="30.75" customHeight="1" x14ac:dyDescent="0.25">
      <c r="A93" s="98"/>
      <c r="B93" s="17" t="s">
        <v>26</v>
      </c>
      <c r="C93" s="819"/>
      <c r="D93" s="819"/>
      <c r="E93" s="819"/>
      <c r="F93" s="819"/>
      <c r="G93" s="819"/>
      <c r="H93" s="819"/>
      <c r="I93" s="819"/>
      <c r="J93" s="819"/>
      <c r="K93" s="819"/>
      <c r="L93" s="830"/>
      <c r="M93" s="830"/>
      <c r="N93" s="831"/>
      <c r="O93" s="25"/>
      <c r="P93" s="837"/>
      <c r="Q93" s="837"/>
      <c r="R93" s="837"/>
      <c r="S93" s="837"/>
      <c r="T93" s="838"/>
      <c r="U93" s="149"/>
      <c r="V93" s="61" t="s">
        <v>90</v>
      </c>
      <c r="W93" s="820" t="str">
        <f>'GEN.AD - PAY'!$W$172</f>
        <v>01-101101-2026-01-0003</v>
      </c>
      <c r="X93" s="820"/>
      <c r="Y93" s="822"/>
      <c r="Z93" s="843"/>
    </row>
    <row r="94" spans="1:26" ht="24.95" customHeight="1" x14ac:dyDescent="0.25">
      <c r="A94" s="98"/>
      <c r="B94" s="17"/>
      <c r="C94" s="8" t="s">
        <v>28</v>
      </c>
      <c r="D94" s="8"/>
      <c r="E94" s="50"/>
      <c r="F94" s="8"/>
      <c r="G94" s="8"/>
      <c r="H94" s="8"/>
      <c r="I94" s="8"/>
      <c r="J94" s="8"/>
      <c r="K94" s="8"/>
      <c r="L94" s="8"/>
      <c r="M94" s="8"/>
      <c r="N94" s="18"/>
      <c r="O94" s="25"/>
      <c r="P94" s="8"/>
      <c r="T94" s="26"/>
      <c r="U94" s="150"/>
      <c r="V94" s="61" t="s">
        <v>91</v>
      </c>
      <c r="W94" s="918">
        <f>'GEN.AD - PAY'!$W$173</f>
        <v>46038</v>
      </c>
      <c r="X94" s="918"/>
      <c r="Y94" s="919"/>
      <c r="Z94" s="843"/>
    </row>
    <row r="95" spans="1:26" ht="24.95" customHeight="1" x14ac:dyDescent="0.25">
      <c r="A95" s="98"/>
      <c r="B95" s="17"/>
      <c r="E95" s="820" t="s">
        <v>102</v>
      </c>
      <c r="F95" s="820"/>
      <c r="G95" s="820"/>
      <c r="H95" s="820"/>
      <c r="I95" s="820"/>
      <c r="K95" s="821"/>
      <c r="L95" s="821"/>
      <c r="M95" s="8"/>
      <c r="N95" s="18"/>
      <c r="O95" s="25"/>
      <c r="P95" s="820" t="s">
        <v>99</v>
      </c>
      <c r="Q95" s="820"/>
      <c r="R95" s="820"/>
      <c r="S95" s="820"/>
      <c r="T95" s="26"/>
      <c r="U95" s="149"/>
      <c r="V95" s="61" t="s">
        <v>92</v>
      </c>
      <c r="W95" s="820" t="str">
        <f>'GEN.AD - PAY'!$W$174</f>
        <v>01-2026-01-0019</v>
      </c>
      <c r="X95" s="820"/>
      <c r="Y95" s="822"/>
      <c r="Z95" s="843"/>
    </row>
    <row r="96" spans="1:26" ht="24.95" customHeight="1" x14ac:dyDescent="0.25">
      <c r="A96" s="98"/>
      <c r="B96" s="17"/>
      <c r="E96" s="881" t="s">
        <v>101</v>
      </c>
      <c r="F96" s="881"/>
      <c r="G96" s="881"/>
      <c r="H96" s="881"/>
      <c r="I96" s="881"/>
      <c r="J96" s="9"/>
      <c r="K96" s="889" t="s">
        <v>29</v>
      </c>
      <c r="L96" s="889"/>
      <c r="M96" s="27"/>
      <c r="N96" s="165"/>
      <c r="O96" s="161"/>
      <c r="P96" s="827" t="s">
        <v>98</v>
      </c>
      <c r="Q96" s="827"/>
      <c r="R96" s="827"/>
      <c r="S96" s="827"/>
      <c r="T96" s="26"/>
      <c r="U96" s="150"/>
      <c r="V96" s="61" t="s">
        <v>91</v>
      </c>
      <c r="W96" s="918">
        <f>'GEN.AD - PAY'!$W$175</f>
        <v>46038</v>
      </c>
      <c r="X96" s="918"/>
      <c r="Y96" s="919"/>
      <c r="Z96" s="28"/>
    </row>
    <row r="97" spans="1:25" ht="16.5" thickBot="1" x14ac:dyDescent="0.3">
      <c r="A97" s="98"/>
      <c r="B97" s="20"/>
      <c r="C97" s="29"/>
      <c r="D97" s="29"/>
      <c r="E97" s="880"/>
      <c r="F97" s="880"/>
      <c r="G97" s="880"/>
      <c r="H97" s="880"/>
      <c r="I97" s="29"/>
      <c r="J97" s="30"/>
      <c r="K97" s="30"/>
      <c r="L97" s="30"/>
      <c r="M97" s="30"/>
      <c r="N97" s="168"/>
      <c r="O97" s="162"/>
      <c r="P97" s="30"/>
      <c r="Q97" s="30"/>
      <c r="R97" s="30"/>
      <c r="S97" s="30"/>
      <c r="T97" s="23"/>
      <c r="U97" s="151"/>
      <c r="V97" s="10"/>
      <c r="W97" s="10"/>
      <c r="X97" s="10"/>
      <c r="Y97" s="23"/>
    </row>
    <row r="99" spans="1:25" x14ac:dyDescent="0.25">
      <c r="C99" s="32"/>
    </row>
    <row r="100" spans="1:25" x14ac:dyDescent="0.25">
      <c r="C100" s="32"/>
    </row>
    <row r="101" spans="1:25" x14ac:dyDescent="0.25">
      <c r="C101" s="32"/>
    </row>
    <row r="102" spans="1:25" x14ac:dyDescent="0.25">
      <c r="C102" s="32"/>
    </row>
    <row r="103" spans="1:25" x14ac:dyDescent="0.25">
      <c r="C103" s="32"/>
    </row>
  </sheetData>
  <mergeCells count="68">
    <mergeCell ref="B8:Y8"/>
    <mergeCell ref="X2:Y2"/>
    <mergeCell ref="B3:Y3"/>
    <mergeCell ref="B4:Y4"/>
    <mergeCell ref="B5:Y5"/>
    <mergeCell ref="B6:Y6"/>
    <mergeCell ref="B15:Y15"/>
    <mergeCell ref="B11:Y11"/>
    <mergeCell ref="B17:B19"/>
    <mergeCell ref="C17:C19"/>
    <mergeCell ref="D17:D19"/>
    <mergeCell ref="E17:E19"/>
    <mergeCell ref="L18:L19"/>
    <mergeCell ref="Y18:Y19"/>
    <mergeCell ref="R17:R19"/>
    <mergeCell ref="S17:S19"/>
    <mergeCell ref="F18:F19"/>
    <mergeCell ref="G18:G19"/>
    <mergeCell ref="H18:H19"/>
    <mergeCell ref="I18:I19"/>
    <mergeCell ref="O18:O19"/>
    <mergeCell ref="P18:P19"/>
    <mergeCell ref="B9:Y9"/>
    <mergeCell ref="B10:Y10"/>
    <mergeCell ref="D12:D14"/>
    <mergeCell ref="B13:C13"/>
    <mergeCell ref="W13:Y13"/>
    <mergeCell ref="Q18:Q19"/>
    <mergeCell ref="V18:V19"/>
    <mergeCell ref="W18:W19"/>
    <mergeCell ref="X18:X19"/>
    <mergeCell ref="K18:K19"/>
    <mergeCell ref="M18:M19"/>
    <mergeCell ref="N18:N19"/>
    <mergeCell ref="T17:T19"/>
    <mergeCell ref="U17:U19"/>
    <mergeCell ref="V17:Y17"/>
    <mergeCell ref="Z91:Z95"/>
    <mergeCell ref="C92:C93"/>
    <mergeCell ref="D92:K93"/>
    <mergeCell ref="L92:N93"/>
    <mergeCell ref="P92:T93"/>
    <mergeCell ref="W93:Y93"/>
    <mergeCell ref="C89:D89"/>
    <mergeCell ref="H89:K89"/>
    <mergeCell ref="Q89:S89"/>
    <mergeCell ref="V89:X89"/>
    <mergeCell ref="W96:Y96"/>
    <mergeCell ref="C90:D90"/>
    <mergeCell ref="H90:K90"/>
    <mergeCell ref="Q90:S90"/>
    <mergeCell ref="V90:X90"/>
    <mergeCell ref="E97:H97"/>
    <mergeCell ref="J18:J19"/>
    <mergeCell ref="L17:Q17"/>
    <mergeCell ref="F17:K17"/>
    <mergeCell ref="E95:I95"/>
    <mergeCell ref="E96:I96"/>
    <mergeCell ref="O86:V86"/>
    <mergeCell ref="C85:G85"/>
    <mergeCell ref="S85:Y85"/>
    <mergeCell ref="W86:Y86"/>
    <mergeCell ref="W94:Y94"/>
    <mergeCell ref="K95:L95"/>
    <mergeCell ref="P95:S95"/>
    <mergeCell ref="W95:Y95"/>
    <mergeCell ref="K96:L96"/>
    <mergeCell ref="P96:S96"/>
  </mergeCells>
  <conditionalFormatting sqref="S21:T82">
    <cfRule type="cellIs" dxfId="10" priority="1" stopIfTrue="1" operator="equal">
      <formula>2500</formula>
    </cfRule>
  </conditionalFormatting>
  <printOptions horizontalCentered="1"/>
  <pageMargins left="0.39370078740157483" right="0.39370078740157483" top="0.39370078740157483" bottom="0.19685039370078741" header="0" footer="0"/>
  <pageSetup paperSize="258" scale="51" fitToHeight="0" orientation="landscape" r:id="rId1"/>
  <headerFooter alignWithMargins="0">
    <oddHeader>&amp;R
&amp;16Sheet &amp;"Times New Roman,Bold"&amp;U&amp;P&amp;"Times New Roman,Regular"&amp;U of &amp;"Times New Roman,Bold"&amp;U&amp;N&amp;"Times New Roman,Regular"&amp;U Sheet/s</oddHeader>
  </headerFooter>
  <rowBreaks count="1" manualBreakCount="1">
    <brk id="57" min="1" max="24" man="1"/>
  </row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rgb="FFFFFF00"/>
    <pageSetUpPr fitToPage="1"/>
  </sheetPr>
  <dimension ref="A1:AG89"/>
  <sheetViews>
    <sheetView showWhiteSpace="0" topLeftCell="B16" zoomScaleNormal="100" zoomScaleSheetLayoutView="100" workbookViewId="0">
      <pane xSplit="6" ySplit="3" topLeftCell="X19" activePane="bottomRight" state="frozen"/>
      <selection activeCell="W78" sqref="W78:Y81"/>
      <selection pane="topRight" activeCell="W78" sqref="W78:Y81"/>
      <selection pane="bottomLeft" activeCell="W78" sqref="W78:Y81"/>
      <selection pane="bottomRight" activeCell="W78" sqref="W78:Y81"/>
    </sheetView>
  </sheetViews>
  <sheetFormatPr defaultRowHeight="30.75" x14ac:dyDescent="0.25"/>
  <cols>
    <col min="1" max="1" width="9.375" style="31" customWidth="1"/>
    <col min="2" max="2" width="6.75" style="4" customWidth="1"/>
    <col min="3" max="3" width="24.625" style="4" customWidth="1"/>
    <col min="4" max="4" width="12.875" style="4" customWidth="1"/>
    <col min="5" max="5" width="9.625" style="57" customWidth="1"/>
    <col min="6" max="6" width="11.125" style="4" bestFit="1" customWidth="1"/>
    <col min="7" max="7" width="12" style="4" customWidth="1"/>
    <col min="8" max="12" width="10.625" style="4" customWidth="1"/>
    <col min="13" max="13" width="12.25" style="4" customWidth="1"/>
    <col min="14" max="17" width="10.625" style="4" customWidth="1"/>
    <col min="18" max="18" width="11.75" style="4" customWidth="1"/>
    <col min="19" max="19" width="11.25" style="4" customWidth="1"/>
    <col min="20" max="20" width="10.625" style="4" customWidth="1"/>
    <col min="21" max="21" width="10.75" style="4" customWidth="1"/>
    <col min="22" max="23" width="9.875" style="4" customWidth="1"/>
    <col min="24" max="24" width="11.125" style="4" customWidth="1"/>
    <col min="25" max="25" width="10.875" style="4" customWidth="1"/>
    <col min="26" max="26" width="12.375" style="4" customWidth="1"/>
    <col min="27" max="27" width="10.625" style="4" customWidth="1"/>
    <col min="28" max="28" width="11.25" style="4" customWidth="1"/>
    <col min="29" max="30" width="9.875" style="4" customWidth="1"/>
    <col min="31" max="31" width="11.5" style="4" customWidth="1"/>
    <col min="32" max="32" width="13.875" style="4" customWidth="1"/>
    <col min="33" max="33" width="10.375" style="4" bestFit="1" customWidth="1"/>
    <col min="34" max="16384" width="9" style="4"/>
  </cols>
  <sheetData>
    <row r="1" spans="1:33" ht="23.25" customHeight="1" x14ac:dyDescent="0.25">
      <c r="A1" s="98">
        <v>94</v>
      </c>
      <c r="F1" s="5"/>
      <c r="X1" s="5"/>
      <c r="Y1" s="5"/>
      <c r="AE1" s="5"/>
      <c r="AF1" s="3"/>
    </row>
    <row r="2" spans="1:33" ht="23.25" x14ac:dyDescent="0.25">
      <c r="A2" s="98"/>
      <c r="F2" s="5"/>
      <c r="X2" s="5"/>
      <c r="Y2" s="5"/>
      <c r="AE2" s="864" t="s">
        <v>40</v>
      </c>
      <c r="AF2" s="864"/>
    </row>
    <row r="3" spans="1:33" ht="15.75" customHeight="1" x14ac:dyDescent="0.25">
      <c r="A3" s="98"/>
      <c r="B3" s="877" t="s">
        <v>42</v>
      </c>
      <c r="C3" s="877"/>
      <c r="D3" s="877"/>
      <c r="E3" s="877"/>
      <c r="F3" s="877"/>
      <c r="G3" s="877"/>
      <c r="H3" s="877"/>
      <c r="I3" s="877"/>
      <c r="J3" s="877"/>
      <c r="K3" s="877"/>
      <c r="L3" s="877"/>
      <c r="M3" s="877"/>
      <c r="N3" s="877"/>
      <c r="O3" s="877"/>
      <c r="P3" s="877"/>
      <c r="Q3" s="877"/>
      <c r="R3" s="877"/>
      <c r="S3" s="877"/>
      <c r="T3" s="877"/>
      <c r="U3" s="877"/>
      <c r="V3" s="877"/>
      <c r="W3" s="877"/>
      <c r="X3" s="877"/>
      <c r="Y3" s="877"/>
      <c r="Z3" s="877"/>
      <c r="AA3" s="877"/>
      <c r="AB3" s="877"/>
      <c r="AC3" s="877"/>
      <c r="AD3" s="877"/>
      <c r="AE3" s="877"/>
      <c r="AF3" s="877"/>
    </row>
    <row r="4" spans="1:33" ht="15.75" customHeight="1" x14ac:dyDescent="0.25">
      <c r="A4" s="98"/>
      <c r="B4" s="878" t="s">
        <v>43</v>
      </c>
      <c r="C4" s="878"/>
      <c r="D4" s="878"/>
      <c r="E4" s="878"/>
      <c r="F4" s="878"/>
      <c r="G4" s="878"/>
      <c r="H4" s="878"/>
      <c r="I4" s="878"/>
      <c r="J4" s="878"/>
      <c r="K4" s="878"/>
      <c r="L4" s="878"/>
      <c r="M4" s="878"/>
      <c r="N4" s="878"/>
      <c r="O4" s="878"/>
      <c r="P4" s="878"/>
      <c r="Q4" s="878"/>
      <c r="R4" s="878"/>
      <c r="S4" s="878"/>
      <c r="T4" s="878"/>
      <c r="U4" s="878"/>
      <c r="V4" s="878"/>
      <c r="W4" s="878"/>
      <c r="X4" s="878"/>
      <c r="Y4" s="878"/>
      <c r="Z4" s="878"/>
      <c r="AA4" s="878"/>
      <c r="AB4" s="878"/>
      <c r="AC4" s="878"/>
      <c r="AD4" s="878"/>
      <c r="AE4" s="878"/>
      <c r="AF4" s="878"/>
    </row>
    <row r="5" spans="1:33" ht="15.75" customHeight="1" x14ac:dyDescent="0.25">
      <c r="A5" s="98"/>
      <c r="B5" s="878" t="s">
        <v>44</v>
      </c>
      <c r="C5" s="878"/>
      <c r="D5" s="878"/>
      <c r="E5" s="878"/>
      <c r="F5" s="878"/>
      <c r="G5" s="878"/>
      <c r="H5" s="878"/>
      <c r="I5" s="878"/>
      <c r="J5" s="878"/>
      <c r="K5" s="878"/>
      <c r="L5" s="878"/>
      <c r="M5" s="878"/>
      <c r="N5" s="878"/>
      <c r="O5" s="878"/>
      <c r="P5" s="878"/>
      <c r="Q5" s="878"/>
      <c r="R5" s="878"/>
      <c r="S5" s="878"/>
      <c r="T5" s="878"/>
      <c r="U5" s="878"/>
      <c r="V5" s="878"/>
      <c r="W5" s="878"/>
      <c r="X5" s="878"/>
      <c r="Y5" s="878"/>
      <c r="Z5" s="878"/>
      <c r="AA5" s="878"/>
      <c r="AB5" s="878"/>
      <c r="AC5" s="878"/>
      <c r="AD5" s="878"/>
      <c r="AE5" s="878"/>
      <c r="AF5" s="878"/>
    </row>
    <row r="6" spans="1:33" ht="15.75" customHeight="1" x14ac:dyDescent="0.25">
      <c r="A6" s="98"/>
      <c r="B6" s="877" t="s">
        <v>45</v>
      </c>
      <c r="C6" s="877"/>
      <c r="D6" s="877"/>
      <c r="E6" s="877"/>
      <c r="F6" s="877"/>
      <c r="G6" s="877"/>
      <c r="H6" s="877"/>
      <c r="I6" s="877"/>
      <c r="J6" s="877"/>
      <c r="K6" s="877"/>
      <c r="L6" s="877"/>
      <c r="M6" s="877"/>
      <c r="N6" s="877"/>
      <c r="O6" s="877"/>
      <c r="P6" s="877"/>
      <c r="Q6" s="877"/>
      <c r="R6" s="877"/>
      <c r="S6" s="877"/>
      <c r="T6" s="877"/>
      <c r="U6" s="877"/>
      <c r="V6" s="877"/>
      <c r="W6" s="877"/>
      <c r="X6" s="877"/>
      <c r="Y6" s="877"/>
      <c r="Z6" s="877"/>
      <c r="AA6" s="877"/>
      <c r="AB6" s="877"/>
      <c r="AC6" s="877"/>
      <c r="AD6" s="877"/>
      <c r="AE6" s="877"/>
      <c r="AF6" s="877"/>
    </row>
    <row r="7" spans="1:33" ht="15.75" customHeight="1" x14ac:dyDescent="0.25">
      <c r="A7" s="98"/>
      <c r="F7" s="2"/>
      <c r="X7" s="2"/>
      <c r="Y7" s="2"/>
      <c r="AE7" s="2"/>
      <c r="AF7" s="2"/>
    </row>
    <row r="8" spans="1:33" ht="22.5" x14ac:dyDescent="0.25">
      <c r="A8" s="98"/>
      <c r="B8" s="882" t="s">
        <v>64</v>
      </c>
      <c r="C8" s="882"/>
      <c r="D8" s="882"/>
      <c r="E8" s="882"/>
      <c r="F8" s="882"/>
      <c r="G8" s="882"/>
      <c r="H8" s="882"/>
      <c r="I8" s="882"/>
      <c r="J8" s="882"/>
      <c r="K8" s="882"/>
      <c r="L8" s="882"/>
      <c r="M8" s="882"/>
      <c r="N8" s="882"/>
      <c r="O8" s="882"/>
      <c r="P8" s="882"/>
      <c r="Q8" s="882"/>
      <c r="R8" s="882"/>
      <c r="S8" s="882"/>
      <c r="T8" s="882"/>
      <c r="U8" s="882"/>
      <c r="V8" s="882"/>
      <c r="W8" s="882"/>
      <c r="X8" s="882"/>
      <c r="Y8" s="882"/>
      <c r="Z8" s="882"/>
      <c r="AA8" s="882"/>
      <c r="AB8" s="882"/>
      <c r="AC8" s="882"/>
      <c r="AD8" s="882"/>
      <c r="AE8" s="882"/>
      <c r="AF8" s="882"/>
    </row>
    <row r="9" spans="1:33" ht="20.25" x14ac:dyDescent="0.25">
      <c r="A9" s="98"/>
      <c r="B9" s="867" t="str">
        <f>'CIT - PAY'!B9</f>
        <v>Regular Employees - COLLEGE OF INDUSTRIAL TECHNOLOGY</v>
      </c>
      <c r="C9" s="867"/>
      <c r="D9" s="867"/>
      <c r="E9" s="867"/>
      <c r="F9" s="867"/>
      <c r="G9" s="867"/>
      <c r="H9" s="867"/>
      <c r="I9" s="867"/>
      <c r="J9" s="867"/>
      <c r="K9" s="867"/>
      <c r="L9" s="867"/>
      <c r="M9" s="867"/>
      <c r="N9" s="867"/>
      <c r="O9" s="867"/>
      <c r="P9" s="867"/>
      <c r="Q9" s="867"/>
      <c r="R9" s="867"/>
      <c r="S9" s="867"/>
      <c r="T9" s="867"/>
      <c r="U9" s="867"/>
      <c r="V9" s="867"/>
      <c r="W9" s="867"/>
      <c r="X9" s="867"/>
      <c r="Y9" s="867"/>
      <c r="Z9" s="867"/>
      <c r="AA9" s="867"/>
      <c r="AB9" s="867"/>
      <c r="AC9" s="867"/>
      <c r="AD9" s="867"/>
      <c r="AE9" s="867"/>
      <c r="AF9" s="867"/>
    </row>
    <row r="10" spans="1:33" ht="20.25" x14ac:dyDescent="0.25">
      <c r="A10" s="98"/>
      <c r="B10" s="879" t="str">
        <f>'CIT - PAY'!B10</f>
        <v>For the period JANUARY 1-31, 2026</v>
      </c>
      <c r="C10" s="879"/>
      <c r="D10" s="879"/>
      <c r="E10" s="879"/>
      <c r="F10" s="879"/>
      <c r="G10" s="879"/>
      <c r="H10" s="879"/>
      <c r="I10" s="879"/>
      <c r="J10" s="879"/>
      <c r="K10" s="879"/>
      <c r="L10" s="879"/>
      <c r="M10" s="879"/>
      <c r="N10" s="879"/>
      <c r="O10" s="879"/>
      <c r="P10" s="879"/>
      <c r="Q10" s="879"/>
      <c r="R10" s="879"/>
      <c r="S10" s="879"/>
      <c r="T10" s="879"/>
      <c r="U10" s="879"/>
      <c r="V10" s="879"/>
      <c r="W10" s="879"/>
      <c r="X10" s="879"/>
      <c r="Y10" s="879"/>
      <c r="Z10" s="879"/>
      <c r="AA10" s="879"/>
      <c r="AB10" s="879"/>
      <c r="AC10" s="879"/>
      <c r="AD10" s="879"/>
      <c r="AE10" s="879"/>
      <c r="AF10" s="879"/>
    </row>
    <row r="11" spans="1:33" ht="15.75" x14ac:dyDescent="0.25">
      <c r="A11" s="98"/>
      <c r="B11" s="9"/>
      <c r="C11" s="6"/>
      <c r="D11" s="866" t="str">
        <f>+'CIT - PAY'!D12</f>
        <v>01</v>
      </c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</row>
    <row r="12" spans="1:33" s="8" customFormat="1" ht="24.95" customHeight="1" x14ac:dyDescent="0.25">
      <c r="A12" s="98"/>
      <c r="B12" s="865" t="s">
        <v>88</v>
      </c>
      <c r="C12" s="865"/>
      <c r="D12" s="867"/>
      <c r="E12" s="178"/>
      <c r="F12" s="169"/>
      <c r="G12" s="169"/>
      <c r="H12" s="169"/>
      <c r="I12" s="169"/>
      <c r="J12" s="169"/>
      <c r="K12" s="169"/>
      <c r="L12" s="169"/>
      <c r="M12" s="169"/>
      <c r="N12" s="169"/>
      <c r="O12" s="169"/>
      <c r="P12" s="169"/>
      <c r="Q12" s="169"/>
      <c r="R12" s="9"/>
      <c r="S12" s="9"/>
      <c r="T12" s="9"/>
      <c r="U12" s="9"/>
      <c r="AA12" s="7"/>
      <c r="AB12" s="169" t="s">
        <v>103</v>
      </c>
      <c r="AC12" s="169"/>
      <c r="AD12" s="832" t="str">
        <f>'CIT - PAY'!W13</f>
        <v>2026-01-017</v>
      </c>
      <c r="AE12" s="832"/>
      <c r="AF12" s="832"/>
    </row>
    <row r="13" spans="1:33" s="8" customFormat="1" ht="24.95" customHeight="1" x14ac:dyDescent="0.25">
      <c r="A13" s="98"/>
      <c r="B13" s="9"/>
      <c r="C13" s="9"/>
      <c r="D13" s="867"/>
      <c r="E13" s="6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AB13" s="169"/>
      <c r="AC13" s="169"/>
      <c r="AD13" s="9"/>
      <c r="AE13" s="9"/>
      <c r="AF13" s="9"/>
    </row>
    <row r="14" spans="1:33" s="8" customFormat="1" ht="15.75" customHeight="1" x14ac:dyDescent="0.25">
      <c r="A14" s="98"/>
      <c r="B14" s="872"/>
      <c r="C14" s="872"/>
      <c r="D14" s="872"/>
      <c r="E14" s="872"/>
      <c r="F14" s="872"/>
      <c r="G14" s="872"/>
      <c r="H14" s="872"/>
      <c r="I14" s="872"/>
      <c r="J14" s="872"/>
      <c r="K14" s="872"/>
      <c r="L14" s="872"/>
      <c r="M14" s="872"/>
      <c r="N14" s="872"/>
      <c r="O14" s="872"/>
      <c r="P14" s="872"/>
      <c r="Q14" s="872"/>
      <c r="R14" s="872"/>
      <c r="S14" s="872"/>
      <c r="T14" s="872"/>
      <c r="U14" s="872"/>
      <c r="V14" s="872"/>
      <c r="W14" s="872"/>
      <c r="X14" s="872"/>
      <c r="Y14" s="872"/>
      <c r="Z14" s="872"/>
    </row>
    <row r="15" spans="1:33" ht="9" customHeight="1" thickBot="1" x14ac:dyDescent="0.3">
      <c r="A15" s="98"/>
      <c r="B15" s="9"/>
      <c r="C15" s="10"/>
      <c r="D15" s="10"/>
      <c r="E15" s="54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9"/>
      <c r="T15" s="9"/>
      <c r="U15" s="9"/>
      <c r="V15" s="9"/>
      <c r="W15" s="9"/>
      <c r="X15" s="10"/>
      <c r="Y15" s="10"/>
      <c r="Z15" s="9"/>
      <c r="AA15" s="9"/>
      <c r="AB15" s="9"/>
      <c r="AC15" s="9"/>
      <c r="AD15" s="9"/>
      <c r="AE15" s="10"/>
      <c r="AF15" s="10"/>
    </row>
    <row r="16" spans="1:33" ht="16.5" customHeight="1" thickBot="1" x14ac:dyDescent="0.3">
      <c r="A16" s="98"/>
      <c r="B16" s="802" t="s">
        <v>6</v>
      </c>
      <c r="C16" s="777" t="s">
        <v>1</v>
      </c>
      <c r="D16" s="777" t="s">
        <v>2</v>
      </c>
      <c r="E16" s="802" t="s">
        <v>14</v>
      </c>
      <c r="F16" s="904" t="s">
        <v>54</v>
      </c>
      <c r="G16" s="841" t="s">
        <v>66</v>
      </c>
      <c r="H16" s="833"/>
      <c r="I16" s="833"/>
      <c r="J16" s="833"/>
      <c r="K16" s="833"/>
      <c r="L16" s="833"/>
      <c r="M16" s="833"/>
      <c r="N16" s="833"/>
      <c r="O16" s="833"/>
      <c r="P16" s="833"/>
      <c r="Q16" s="833"/>
      <c r="R16" s="834"/>
      <c r="S16" s="841" t="s">
        <v>63</v>
      </c>
      <c r="T16" s="833"/>
      <c r="U16" s="833"/>
      <c r="V16" s="833"/>
      <c r="W16" s="833"/>
      <c r="X16" s="834"/>
      <c r="Y16" s="904" t="s">
        <v>57</v>
      </c>
      <c r="Z16" s="841" t="s">
        <v>80</v>
      </c>
      <c r="AA16" s="833"/>
      <c r="AB16" s="833"/>
      <c r="AC16" s="833"/>
      <c r="AD16" s="833"/>
      <c r="AE16" s="834"/>
      <c r="AF16" s="802" t="s">
        <v>87</v>
      </c>
      <c r="AG16" s="11"/>
    </row>
    <row r="17" spans="1:33" ht="19.5" customHeight="1" x14ac:dyDescent="0.25">
      <c r="A17" s="98"/>
      <c r="B17" s="803"/>
      <c r="C17" s="778"/>
      <c r="D17" s="778"/>
      <c r="E17" s="803"/>
      <c r="F17" s="905"/>
      <c r="G17" s="911" t="s">
        <v>65</v>
      </c>
      <c r="H17" s="894" t="s">
        <v>110</v>
      </c>
      <c r="I17" s="887" t="s">
        <v>67</v>
      </c>
      <c r="J17" s="892" t="s">
        <v>68</v>
      </c>
      <c r="K17" s="896" t="s">
        <v>69</v>
      </c>
      <c r="L17" s="896" t="s">
        <v>70</v>
      </c>
      <c r="M17" s="896" t="s">
        <v>71</v>
      </c>
      <c r="N17" s="896" t="s">
        <v>72</v>
      </c>
      <c r="O17" s="894" t="s">
        <v>73</v>
      </c>
      <c r="P17" s="894" t="s">
        <v>111</v>
      </c>
      <c r="Q17" s="894" t="s">
        <v>78</v>
      </c>
      <c r="R17" s="909" t="s">
        <v>74</v>
      </c>
      <c r="S17" s="844" t="s">
        <v>75</v>
      </c>
      <c r="T17" s="913" t="s">
        <v>76</v>
      </c>
      <c r="U17" s="896" t="s">
        <v>71</v>
      </c>
      <c r="V17" s="896" t="s">
        <v>77</v>
      </c>
      <c r="W17" s="907" t="s">
        <v>78</v>
      </c>
      <c r="X17" s="902" t="s">
        <v>79</v>
      </c>
      <c r="Y17" s="905"/>
      <c r="Z17" s="898" t="s">
        <v>81</v>
      </c>
      <c r="AA17" s="900" t="s">
        <v>82</v>
      </c>
      <c r="AB17" s="896" t="s">
        <v>83</v>
      </c>
      <c r="AC17" s="892" t="s">
        <v>84</v>
      </c>
      <c r="AD17" s="907" t="s">
        <v>86</v>
      </c>
      <c r="AE17" s="915" t="s">
        <v>85</v>
      </c>
      <c r="AF17" s="803"/>
      <c r="AG17" s="11"/>
    </row>
    <row r="18" spans="1:33" ht="26.25" customHeight="1" thickBot="1" x14ac:dyDescent="0.3">
      <c r="A18" s="98"/>
      <c r="B18" s="803"/>
      <c r="C18" s="778"/>
      <c r="D18" s="778"/>
      <c r="E18" s="803"/>
      <c r="F18" s="906"/>
      <c r="G18" s="912"/>
      <c r="H18" s="895"/>
      <c r="I18" s="888"/>
      <c r="J18" s="893"/>
      <c r="K18" s="897"/>
      <c r="L18" s="897"/>
      <c r="M18" s="897"/>
      <c r="N18" s="897"/>
      <c r="O18" s="895"/>
      <c r="P18" s="895"/>
      <c r="Q18" s="895"/>
      <c r="R18" s="910"/>
      <c r="S18" s="845"/>
      <c r="T18" s="914"/>
      <c r="U18" s="897"/>
      <c r="V18" s="897"/>
      <c r="W18" s="908"/>
      <c r="X18" s="903"/>
      <c r="Y18" s="906"/>
      <c r="Z18" s="899"/>
      <c r="AA18" s="901"/>
      <c r="AB18" s="897"/>
      <c r="AC18" s="893"/>
      <c r="AD18" s="908"/>
      <c r="AE18" s="916"/>
      <c r="AF18" s="804"/>
      <c r="AG18" s="11"/>
    </row>
    <row r="19" spans="1:33" ht="18.75" customHeight="1" x14ac:dyDescent="0.25">
      <c r="A19" s="98"/>
      <c r="B19" s="12"/>
      <c r="C19" s="12"/>
      <c r="D19" s="12"/>
      <c r="E19" s="55"/>
      <c r="F19" s="12"/>
      <c r="G19" s="46"/>
      <c r="H19" s="173"/>
      <c r="I19" s="173"/>
      <c r="J19" s="173"/>
      <c r="K19" s="173"/>
      <c r="L19" s="173"/>
      <c r="M19" s="173"/>
      <c r="N19" s="173"/>
      <c r="O19" s="173"/>
      <c r="P19" s="173"/>
      <c r="Q19" s="173"/>
      <c r="R19" s="43"/>
      <c r="S19" s="174"/>
      <c r="T19" s="175"/>
      <c r="U19" s="173"/>
      <c r="V19" s="173"/>
      <c r="W19" s="173"/>
      <c r="X19" s="176"/>
      <c r="Y19" s="12"/>
      <c r="Z19" s="174"/>
      <c r="AA19" s="175"/>
      <c r="AB19" s="173"/>
      <c r="AC19" s="173"/>
      <c r="AD19" s="173"/>
      <c r="AE19" s="177"/>
      <c r="AF19" s="43"/>
    </row>
    <row r="20" spans="1:33" ht="18.75" customHeight="1" x14ac:dyDescent="0.25">
      <c r="A20" s="98"/>
      <c r="B20" s="33">
        <v>1</v>
      </c>
      <c r="C20" s="72">
        <f>'CIT - PAY'!C21</f>
        <v>0</v>
      </c>
      <c r="D20" s="72" t="e">
        <f>'CIT - PAY'!D21</f>
        <v>#N/A</v>
      </c>
      <c r="E20" s="306">
        <f>'CIT - PAY'!E21</f>
        <v>0</v>
      </c>
      <c r="F20" s="49">
        <f>'CIT - PAY'!L21</f>
        <v>0</v>
      </c>
      <c r="G20" s="36">
        <f>ROUND('CIT - PAY'!I21*0.09,2)</f>
        <v>0</v>
      </c>
      <c r="H20" s="88"/>
      <c r="I20" s="88"/>
      <c r="J20" s="88"/>
      <c r="K20" s="88"/>
      <c r="L20" s="88"/>
      <c r="M20" s="88"/>
      <c r="N20" s="88"/>
      <c r="O20" s="88"/>
      <c r="P20" s="88"/>
      <c r="Q20" s="88"/>
      <c r="R20" s="41">
        <f>SUM(G20:Q20)</f>
        <v>0</v>
      </c>
      <c r="S20" s="86"/>
      <c r="T20" s="87"/>
      <c r="U20" s="88"/>
      <c r="V20" s="88"/>
      <c r="W20" s="88"/>
      <c r="X20" s="38">
        <f>SUM(S20:W20)</f>
        <v>0</v>
      </c>
      <c r="Y20" s="49">
        <f>MIN(ROUNDDOWN('CIT - PAY'!I21*0.05/2,2),2500)</f>
        <v>0</v>
      </c>
      <c r="Z20" s="86"/>
      <c r="AA20" s="87"/>
      <c r="AB20" s="88"/>
      <c r="AC20" s="88"/>
      <c r="AD20" s="88"/>
      <c r="AE20" s="35">
        <f>SUM(Z20:AD20)</f>
        <v>0</v>
      </c>
      <c r="AF20" s="62">
        <f>SUM(F20,R20,X20,Y20,AE20)</f>
        <v>0</v>
      </c>
    </row>
    <row r="21" spans="1:33" ht="18.75" customHeight="1" x14ac:dyDescent="0.25">
      <c r="A21" s="98"/>
      <c r="B21" s="33">
        <f t="shared" ref="B21:B59" si="0">+B20+1</f>
        <v>2</v>
      </c>
      <c r="C21" s="72">
        <f>'CIT - PAY'!C22</f>
        <v>0</v>
      </c>
      <c r="D21" s="72" t="e">
        <f>'CIT - PAY'!D22</f>
        <v>#N/A</v>
      </c>
      <c r="E21" s="306">
        <f>'CIT - PAY'!E22</f>
        <v>0</v>
      </c>
      <c r="F21" s="49">
        <f>'CIT - PAY'!L22</f>
        <v>0</v>
      </c>
      <c r="G21" s="36">
        <f>ROUND('CIT - PAY'!I22*0.09,2)</f>
        <v>0</v>
      </c>
      <c r="H21" s="88"/>
      <c r="I21" s="88"/>
      <c r="J21" s="88"/>
      <c r="K21" s="88"/>
      <c r="L21" s="88"/>
      <c r="M21" s="88"/>
      <c r="N21" s="88"/>
      <c r="O21" s="88"/>
      <c r="P21" s="88"/>
      <c r="Q21" s="88"/>
      <c r="R21" s="41">
        <f>SUM(G21:Q21)</f>
        <v>0</v>
      </c>
      <c r="S21" s="86"/>
      <c r="T21" s="87"/>
      <c r="U21" s="88"/>
      <c r="V21" s="88"/>
      <c r="W21" s="88"/>
      <c r="X21" s="38">
        <f>SUM(S21:W21)</f>
        <v>0</v>
      </c>
      <c r="Y21" s="49">
        <f>MIN(ROUNDDOWN('CIT - PAY'!I22*0.05/2,2),2500)</f>
        <v>0</v>
      </c>
      <c r="Z21" s="86"/>
      <c r="AA21" s="87"/>
      <c r="AB21" s="88"/>
      <c r="AC21" s="88"/>
      <c r="AD21" s="88"/>
      <c r="AE21" s="35">
        <f>SUM(Z21:AD21)</f>
        <v>0</v>
      </c>
      <c r="AF21" s="62">
        <f>SUM(F21,R21,X21,Y21,AE21)</f>
        <v>0</v>
      </c>
    </row>
    <row r="22" spans="1:33" ht="18.75" customHeight="1" x14ac:dyDescent="0.25">
      <c r="A22" s="98"/>
      <c r="B22" s="33">
        <f t="shared" si="0"/>
        <v>3</v>
      </c>
      <c r="C22" s="72">
        <f>'CIT - PAY'!C23</f>
        <v>0</v>
      </c>
      <c r="D22" s="72" t="e">
        <f>'CIT - PAY'!D23</f>
        <v>#N/A</v>
      </c>
      <c r="E22" s="306">
        <f>'CIT - PAY'!E23</f>
        <v>0</v>
      </c>
      <c r="F22" s="49">
        <f>'CIT - PAY'!L23</f>
        <v>0</v>
      </c>
      <c r="G22" s="36">
        <f>ROUND('CIT - PAY'!I23*0.09,2)</f>
        <v>0</v>
      </c>
      <c r="H22" s="88"/>
      <c r="I22" s="88"/>
      <c r="J22" s="88"/>
      <c r="K22" s="88"/>
      <c r="L22" s="88"/>
      <c r="M22" s="88"/>
      <c r="N22" s="88"/>
      <c r="O22" s="88"/>
      <c r="P22" s="88"/>
      <c r="Q22" s="88"/>
      <c r="R22" s="41">
        <f>SUM(G22:Q22)</f>
        <v>0</v>
      </c>
      <c r="S22" s="86"/>
      <c r="T22" s="87"/>
      <c r="U22" s="88"/>
      <c r="V22" s="88"/>
      <c r="W22" s="88"/>
      <c r="X22" s="38">
        <f>SUM(S22:W22)</f>
        <v>0</v>
      </c>
      <c r="Y22" s="49">
        <f>MIN(ROUNDDOWN('CIT - PAY'!I23*0.05/2,2),2500)</f>
        <v>0</v>
      </c>
      <c r="Z22" s="86"/>
      <c r="AA22" s="87"/>
      <c r="AB22" s="88"/>
      <c r="AC22" s="88"/>
      <c r="AD22" s="88"/>
      <c r="AE22" s="35">
        <f>SUM(Z22:AD22)</f>
        <v>0</v>
      </c>
      <c r="AF22" s="62">
        <f>SUM(F22,R22,X22,Y22,AE22)</f>
        <v>0</v>
      </c>
      <c r="AG22" s="75"/>
    </row>
    <row r="23" spans="1:33" ht="18.75" customHeight="1" x14ac:dyDescent="0.25">
      <c r="A23" s="98"/>
      <c r="B23" s="33">
        <f t="shared" si="0"/>
        <v>4</v>
      </c>
      <c r="C23" s="72">
        <f>'CIT - PAY'!C24</f>
        <v>0</v>
      </c>
      <c r="D23" s="72" t="e">
        <f>'CIT - PAY'!D24</f>
        <v>#N/A</v>
      </c>
      <c r="E23" s="306">
        <f>'CIT - PAY'!E24</f>
        <v>0</v>
      </c>
      <c r="F23" s="49">
        <f>'CIT - PAY'!L24</f>
        <v>0</v>
      </c>
      <c r="G23" s="36">
        <f>ROUND('CIT - PAY'!I24*0.09,2)</f>
        <v>0</v>
      </c>
      <c r="H23" s="88"/>
      <c r="I23" s="88"/>
      <c r="J23" s="88"/>
      <c r="K23" s="88"/>
      <c r="L23" s="88"/>
      <c r="M23" s="88"/>
      <c r="N23" s="88"/>
      <c r="O23" s="88"/>
      <c r="P23" s="88"/>
      <c r="Q23" s="88"/>
      <c r="R23" s="41">
        <f>SUM(G23:Q23)</f>
        <v>0</v>
      </c>
      <c r="S23" s="86"/>
      <c r="T23" s="87"/>
      <c r="U23" s="88"/>
      <c r="V23" s="88"/>
      <c r="W23" s="88"/>
      <c r="X23" s="38">
        <f>SUM(S23:W23)</f>
        <v>0</v>
      </c>
      <c r="Y23" s="49">
        <f>MIN(ROUNDDOWN('CIT - PAY'!I24*0.05/2,2),2500)</f>
        <v>0</v>
      </c>
      <c r="Z23" s="86"/>
      <c r="AA23" s="87"/>
      <c r="AB23" s="88"/>
      <c r="AC23" s="88"/>
      <c r="AD23" s="88"/>
      <c r="AE23" s="35">
        <f>SUM(Z23:AD23)</f>
        <v>0</v>
      </c>
      <c r="AF23" s="62">
        <f>SUM(F23,R23,X23,Y23,AE23)</f>
        <v>0</v>
      </c>
    </row>
    <row r="24" spans="1:33" ht="18.75" customHeight="1" x14ac:dyDescent="0.25">
      <c r="A24" s="98"/>
      <c r="B24" s="33">
        <f t="shared" si="0"/>
        <v>5</v>
      </c>
      <c r="C24" s="72">
        <f>'CIT - PAY'!C25</f>
        <v>0</v>
      </c>
      <c r="D24" s="72" t="e">
        <f>'CIT - PAY'!D25</f>
        <v>#N/A</v>
      </c>
      <c r="E24" s="306">
        <f>'CIT - PAY'!E25</f>
        <v>0</v>
      </c>
      <c r="F24" s="49">
        <f>'CIT - PAY'!L25</f>
        <v>0</v>
      </c>
      <c r="G24" s="36">
        <f>ROUND('CIT - PAY'!I25*0.09,2)</f>
        <v>0</v>
      </c>
      <c r="H24" s="88"/>
      <c r="I24" s="88"/>
      <c r="J24" s="88"/>
      <c r="K24" s="88"/>
      <c r="L24" s="88"/>
      <c r="M24" s="88"/>
      <c r="N24" s="88"/>
      <c r="O24" s="88"/>
      <c r="P24" s="88"/>
      <c r="Q24" s="88"/>
      <c r="R24" s="41">
        <f>SUM(G24:Q24)</f>
        <v>0</v>
      </c>
      <c r="S24" s="86"/>
      <c r="T24" s="87"/>
      <c r="U24" s="88"/>
      <c r="V24" s="88"/>
      <c r="W24" s="88"/>
      <c r="X24" s="38">
        <f>SUM(S24:W24)</f>
        <v>0</v>
      </c>
      <c r="Y24" s="49">
        <f>MIN(ROUNDDOWN('CIT - PAY'!I25*0.05/2,2),2500)</f>
        <v>0</v>
      </c>
      <c r="Z24" s="86"/>
      <c r="AA24" s="87"/>
      <c r="AB24" s="88"/>
      <c r="AC24" s="88"/>
      <c r="AD24" s="88"/>
      <c r="AE24" s="35">
        <f>SUM(Z24:AD24)</f>
        <v>0</v>
      </c>
      <c r="AF24" s="62">
        <f>SUM(F24,R24,X24,Y24,AE24)</f>
        <v>0</v>
      </c>
    </row>
    <row r="25" spans="1:33" ht="18.75" customHeight="1" x14ac:dyDescent="0.25">
      <c r="A25" s="98"/>
      <c r="B25" s="33">
        <f t="shared" si="0"/>
        <v>6</v>
      </c>
      <c r="C25" s="72">
        <f>'CIT - PAY'!C26</f>
        <v>0</v>
      </c>
      <c r="D25" s="72" t="e">
        <f>'CIT - PAY'!D26</f>
        <v>#N/A</v>
      </c>
      <c r="E25" s="306">
        <f>'CIT - PAY'!E26</f>
        <v>0</v>
      </c>
      <c r="F25" s="49">
        <f>'CIT - PAY'!L26</f>
        <v>0</v>
      </c>
      <c r="G25" s="36">
        <f>ROUND('CIT - PAY'!I26*0.09,2)</f>
        <v>0</v>
      </c>
      <c r="H25" s="88"/>
      <c r="I25" s="88"/>
      <c r="J25" s="88"/>
      <c r="K25" s="88"/>
      <c r="L25" s="88"/>
      <c r="M25" s="88"/>
      <c r="N25" s="88"/>
      <c r="O25" s="88"/>
      <c r="P25" s="88"/>
      <c r="Q25" s="88"/>
      <c r="R25" s="41">
        <f t="shared" ref="R25:R50" si="1">SUM(G25:Q25)</f>
        <v>0</v>
      </c>
      <c r="S25" s="86"/>
      <c r="T25" s="87"/>
      <c r="U25" s="88"/>
      <c r="V25" s="88"/>
      <c r="W25" s="88"/>
      <c r="X25" s="38">
        <f t="shared" ref="X25:X50" si="2">SUM(S25:W25)</f>
        <v>0</v>
      </c>
      <c r="Y25" s="49">
        <f>MIN(ROUNDDOWN('CIT - PAY'!I26*0.05/2,2),2500)</f>
        <v>0</v>
      </c>
      <c r="Z25" s="86"/>
      <c r="AA25" s="87"/>
      <c r="AB25" s="88"/>
      <c r="AC25" s="88"/>
      <c r="AD25" s="88"/>
      <c r="AE25" s="35">
        <f t="shared" ref="AE25:AE50" si="3">SUM(Z25:AD25)</f>
        <v>0</v>
      </c>
      <c r="AF25" s="62">
        <f t="shared" ref="AF25:AF50" si="4">SUM(F25,R25,X25,Y25,AE25)</f>
        <v>0</v>
      </c>
    </row>
    <row r="26" spans="1:33" ht="18.75" customHeight="1" x14ac:dyDescent="0.25">
      <c r="A26" s="98"/>
      <c r="B26" s="33">
        <f t="shared" si="0"/>
        <v>7</v>
      </c>
      <c r="C26" s="72">
        <f>'CIT - PAY'!C27</f>
        <v>0</v>
      </c>
      <c r="D26" s="72" t="e">
        <f>'CIT - PAY'!D27</f>
        <v>#N/A</v>
      </c>
      <c r="E26" s="306">
        <f>'CIT - PAY'!E27</f>
        <v>0</v>
      </c>
      <c r="F26" s="49">
        <f>'CIT - PAY'!L27</f>
        <v>0</v>
      </c>
      <c r="G26" s="36">
        <f>ROUND('CIT - PAY'!I27*0.09,2)</f>
        <v>0</v>
      </c>
      <c r="H26" s="88"/>
      <c r="I26" s="88"/>
      <c r="J26" s="88"/>
      <c r="K26" s="88"/>
      <c r="L26" s="88"/>
      <c r="M26" s="88"/>
      <c r="N26" s="88"/>
      <c r="O26" s="88"/>
      <c r="P26" s="88"/>
      <c r="Q26" s="88"/>
      <c r="R26" s="41">
        <f t="shared" si="1"/>
        <v>0</v>
      </c>
      <c r="S26" s="86"/>
      <c r="T26" s="87"/>
      <c r="U26" s="88"/>
      <c r="V26" s="88"/>
      <c r="W26" s="88"/>
      <c r="X26" s="38">
        <f t="shared" si="2"/>
        <v>0</v>
      </c>
      <c r="Y26" s="49">
        <f>MIN(ROUNDDOWN('CIT - PAY'!I27*0.05/2,2),2500)</f>
        <v>0</v>
      </c>
      <c r="Z26" s="86"/>
      <c r="AA26" s="87"/>
      <c r="AB26" s="88"/>
      <c r="AC26" s="88"/>
      <c r="AD26" s="88"/>
      <c r="AE26" s="35">
        <f t="shared" si="3"/>
        <v>0</v>
      </c>
      <c r="AF26" s="62">
        <f t="shared" si="4"/>
        <v>0</v>
      </c>
    </row>
    <row r="27" spans="1:33" ht="18.75" customHeight="1" x14ac:dyDescent="0.25">
      <c r="A27" s="98"/>
      <c r="B27" s="33">
        <f t="shared" si="0"/>
        <v>8</v>
      </c>
      <c r="C27" s="72">
        <f>'CIT - PAY'!C28</f>
        <v>0</v>
      </c>
      <c r="D27" s="72" t="e">
        <f>'CIT - PAY'!D28</f>
        <v>#N/A</v>
      </c>
      <c r="E27" s="306">
        <f>'CIT - PAY'!E28</f>
        <v>0</v>
      </c>
      <c r="F27" s="49">
        <f>'CIT - PAY'!L28</f>
        <v>0</v>
      </c>
      <c r="G27" s="36">
        <f>ROUND('CIT - PAY'!I28*0.09,2)</f>
        <v>0</v>
      </c>
      <c r="H27" s="88"/>
      <c r="I27" s="88"/>
      <c r="J27" s="88"/>
      <c r="K27" s="88"/>
      <c r="L27" s="88"/>
      <c r="M27" s="88"/>
      <c r="N27" s="88"/>
      <c r="O27" s="88"/>
      <c r="P27" s="88"/>
      <c r="Q27" s="88"/>
      <c r="R27" s="41">
        <f t="shared" si="1"/>
        <v>0</v>
      </c>
      <c r="S27" s="86"/>
      <c r="T27" s="87"/>
      <c r="U27" s="88"/>
      <c r="V27" s="88"/>
      <c r="W27" s="88"/>
      <c r="X27" s="38">
        <f t="shared" si="2"/>
        <v>0</v>
      </c>
      <c r="Y27" s="49">
        <f>MIN(ROUNDDOWN('CIT - PAY'!I28*0.05/2,2),2500)</f>
        <v>0</v>
      </c>
      <c r="Z27" s="86"/>
      <c r="AA27" s="87"/>
      <c r="AB27" s="88"/>
      <c r="AC27" s="88"/>
      <c r="AD27" s="88"/>
      <c r="AE27" s="35">
        <f t="shared" si="3"/>
        <v>0</v>
      </c>
      <c r="AF27" s="62">
        <f t="shared" si="4"/>
        <v>0</v>
      </c>
    </row>
    <row r="28" spans="1:33" ht="18.75" customHeight="1" x14ac:dyDescent="0.25">
      <c r="A28" s="98"/>
      <c r="B28" s="33">
        <f t="shared" si="0"/>
        <v>9</v>
      </c>
      <c r="C28" s="72">
        <f>'CIT - PAY'!C29</f>
        <v>0</v>
      </c>
      <c r="D28" s="72" t="e">
        <f>'CIT - PAY'!D29</f>
        <v>#N/A</v>
      </c>
      <c r="E28" s="306">
        <f>'CIT - PAY'!E29</f>
        <v>0</v>
      </c>
      <c r="F28" s="49">
        <f>'CIT - PAY'!L29</f>
        <v>0</v>
      </c>
      <c r="G28" s="36">
        <f>ROUND('CIT - PAY'!I29*0.09,2)</f>
        <v>0</v>
      </c>
      <c r="H28" s="88"/>
      <c r="I28" s="88"/>
      <c r="J28" s="88"/>
      <c r="K28" s="88"/>
      <c r="L28" s="88"/>
      <c r="M28" s="88"/>
      <c r="N28" s="88"/>
      <c r="O28" s="88"/>
      <c r="P28" s="88"/>
      <c r="Q28" s="88"/>
      <c r="R28" s="41">
        <f t="shared" si="1"/>
        <v>0</v>
      </c>
      <c r="S28" s="86"/>
      <c r="T28" s="87"/>
      <c r="U28" s="88"/>
      <c r="V28" s="88"/>
      <c r="W28" s="88"/>
      <c r="X28" s="38">
        <f t="shared" si="2"/>
        <v>0</v>
      </c>
      <c r="Y28" s="49">
        <f>MIN(ROUNDDOWN('CIT - PAY'!I29*0.05/2,2),2500)</f>
        <v>0</v>
      </c>
      <c r="Z28" s="86"/>
      <c r="AA28" s="87"/>
      <c r="AB28" s="88"/>
      <c r="AC28" s="88"/>
      <c r="AD28" s="88"/>
      <c r="AE28" s="35">
        <f t="shared" si="3"/>
        <v>0</v>
      </c>
      <c r="AF28" s="62">
        <f t="shared" si="4"/>
        <v>0</v>
      </c>
    </row>
    <row r="29" spans="1:33" ht="18.75" customHeight="1" x14ac:dyDescent="0.25">
      <c r="A29" s="98"/>
      <c r="B29" s="33">
        <f t="shared" si="0"/>
        <v>10</v>
      </c>
      <c r="C29" s="72">
        <f>'CIT - PAY'!C30</f>
        <v>0</v>
      </c>
      <c r="D29" s="72" t="e">
        <f>'CIT - PAY'!D30</f>
        <v>#N/A</v>
      </c>
      <c r="E29" s="306">
        <f>'CIT - PAY'!E30</f>
        <v>0</v>
      </c>
      <c r="F29" s="49">
        <f>'CIT - PAY'!L30</f>
        <v>0</v>
      </c>
      <c r="G29" s="36">
        <f>ROUND('CIT - PAY'!I30*0.09,2)</f>
        <v>0</v>
      </c>
      <c r="H29" s="88"/>
      <c r="I29" s="88"/>
      <c r="J29" s="88"/>
      <c r="K29" s="88"/>
      <c r="L29" s="88"/>
      <c r="M29" s="88"/>
      <c r="N29" s="88"/>
      <c r="O29" s="88"/>
      <c r="P29" s="88"/>
      <c r="Q29" s="88"/>
      <c r="R29" s="41">
        <f t="shared" si="1"/>
        <v>0</v>
      </c>
      <c r="S29" s="86"/>
      <c r="T29" s="87"/>
      <c r="U29" s="88"/>
      <c r="V29" s="88"/>
      <c r="W29" s="88"/>
      <c r="X29" s="38">
        <f t="shared" si="2"/>
        <v>0</v>
      </c>
      <c r="Y29" s="49">
        <f>MIN(ROUNDDOWN('CIT - PAY'!I30*0.05/2,2),2500)</f>
        <v>0</v>
      </c>
      <c r="Z29" s="86"/>
      <c r="AA29" s="87"/>
      <c r="AB29" s="88"/>
      <c r="AC29" s="88"/>
      <c r="AD29" s="88"/>
      <c r="AE29" s="35">
        <f t="shared" si="3"/>
        <v>0</v>
      </c>
      <c r="AF29" s="62">
        <f t="shared" si="4"/>
        <v>0</v>
      </c>
    </row>
    <row r="30" spans="1:33" ht="18.75" customHeight="1" x14ac:dyDescent="0.25">
      <c r="A30" s="98"/>
      <c r="B30" s="33">
        <f t="shared" si="0"/>
        <v>11</v>
      </c>
      <c r="C30" s="72">
        <f>'CIT - PAY'!C31</f>
        <v>0</v>
      </c>
      <c r="D30" s="72" t="e">
        <f>'CIT - PAY'!D31</f>
        <v>#N/A</v>
      </c>
      <c r="E30" s="306">
        <f>'CIT - PAY'!E31</f>
        <v>0</v>
      </c>
      <c r="F30" s="49">
        <f>'CIT - PAY'!L31</f>
        <v>0</v>
      </c>
      <c r="G30" s="36">
        <f>ROUND('CIT - PAY'!I31*0.09,2)</f>
        <v>0</v>
      </c>
      <c r="H30" s="88"/>
      <c r="I30" s="88"/>
      <c r="J30" s="88"/>
      <c r="K30" s="88"/>
      <c r="L30" s="88"/>
      <c r="M30" s="88"/>
      <c r="N30" s="88"/>
      <c r="O30" s="88"/>
      <c r="P30" s="88"/>
      <c r="Q30" s="88"/>
      <c r="R30" s="41">
        <f t="shared" si="1"/>
        <v>0</v>
      </c>
      <c r="S30" s="86"/>
      <c r="T30" s="87"/>
      <c r="U30" s="88"/>
      <c r="V30" s="88"/>
      <c r="W30" s="88"/>
      <c r="X30" s="38">
        <f t="shared" si="2"/>
        <v>0</v>
      </c>
      <c r="Y30" s="49">
        <f>MIN(ROUNDDOWN('CIT - PAY'!I31*0.05/2,2),2500)</f>
        <v>0</v>
      </c>
      <c r="Z30" s="86"/>
      <c r="AA30" s="87"/>
      <c r="AB30" s="88"/>
      <c r="AC30" s="88"/>
      <c r="AD30" s="88"/>
      <c r="AE30" s="35">
        <f t="shared" si="3"/>
        <v>0</v>
      </c>
      <c r="AF30" s="62">
        <f t="shared" si="4"/>
        <v>0</v>
      </c>
    </row>
    <row r="31" spans="1:33" ht="18.75" customHeight="1" x14ac:dyDescent="0.25">
      <c r="A31" s="98"/>
      <c r="B31" s="33">
        <f t="shared" si="0"/>
        <v>12</v>
      </c>
      <c r="C31" s="72">
        <f>'CIT - PAY'!C32</f>
        <v>0</v>
      </c>
      <c r="D31" s="72" t="e">
        <f>'CIT - PAY'!D32</f>
        <v>#N/A</v>
      </c>
      <c r="E31" s="306">
        <f>'CIT - PAY'!E32</f>
        <v>0</v>
      </c>
      <c r="F31" s="49">
        <f>'CIT - PAY'!L32</f>
        <v>0</v>
      </c>
      <c r="G31" s="36">
        <f>ROUND('CIT - PAY'!I32*0.09,2)</f>
        <v>0</v>
      </c>
      <c r="H31" s="88"/>
      <c r="I31" s="88"/>
      <c r="J31" s="88"/>
      <c r="K31" s="88"/>
      <c r="L31" s="88"/>
      <c r="M31" s="88"/>
      <c r="N31" s="88"/>
      <c r="O31" s="88"/>
      <c r="P31" s="88"/>
      <c r="Q31" s="88"/>
      <c r="R31" s="41">
        <f t="shared" si="1"/>
        <v>0</v>
      </c>
      <c r="S31" s="86"/>
      <c r="T31" s="87"/>
      <c r="U31" s="88"/>
      <c r="V31" s="88"/>
      <c r="W31" s="88"/>
      <c r="X31" s="38">
        <f t="shared" si="2"/>
        <v>0</v>
      </c>
      <c r="Y31" s="49">
        <f>MIN(ROUNDDOWN('CIT - PAY'!I32*0.05/2,2),2500)</f>
        <v>0</v>
      </c>
      <c r="Z31" s="86"/>
      <c r="AA31" s="87"/>
      <c r="AB31" s="88"/>
      <c r="AC31" s="88"/>
      <c r="AD31" s="88"/>
      <c r="AE31" s="35">
        <f t="shared" si="3"/>
        <v>0</v>
      </c>
      <c r="AF31" s="62">
        <f t="shared" si="4"/>
        <v>0</v>
      </c>
    </row>
    <row r="32" spans="1:33" ht="18.75" customHeight="1" x14ac:dyDescent="0.25">
      <c r="A32" s="98"/>
      <c r="B32" s="33">
        <f t="shared" si="0"/>
        <v>13</v>
      </c>
      <c r="C32" s="72">
        <f>'CIT - PAY'!C33</f>
        <v>0</v>
      </c>
      <c r="D32" s="72" t="e">
        <f>'CIT - PAY'!D33</f>
        <v>#N/A</v>
      </c>
      <c r="E32" s="306">
        <f>'CIT - PAY'!E33</f>
        <v>0</v>
      </c>
      <c r="F32" s="49">
        <f>'CIT - PAY'!L33</f>
        <v>0</v>
      </c>
      <c r="G32" s="36">
        <f>ROUND('CIT - PAY'!I33*0.09,2)</f>
        <v>0</v>
      </c>
      <c r="H32" s="88"/>
      <c r="I32" s="88"/>
      <c r="J32" s="88"/>
      <c r="K32" s="88"/>
      <c r="L32" s="88"/>
      <c r="M32" s="88"/>
      <c r="N32" s="88"/>
      <c r="O32" s="88"/>
      <c r="P32" s="88"/>
      <c r="Q32" s="88"/>
      <c r="R32" s="41">
        <f t="shared" si="1"/>
        <v>0</v>
      </c>
      <c r="S32" s="86"/>
      <c r="T32" s="87"/>
      <c r="U32" s="88"/>
      <c r="V32" s="88"/>
      <c r="W32" s="88"/>
      <c r="X32" s="38">
        <f t="shared" si="2"/>
        <v>0</v>
      </c>
      <c r="Y32" s="49">
        <f>MIN(ROUNDDOWN('CIT - PAY'!I33*0.05/2,2),2500)</f>
        <v>0</v>
      </c>
      <c r="Z32" s="86"/>
      <c r="AA32" s="87"/>
      <c r="AB32" s="88"/>
      <c r="AC32" s="88"/>
      <c r="AD32" s="88"/>
      <c r="AE32" s="35">
        <f t="shared" si="3"/>
        <v>0</v>
      </c>
      <c r="AF32" s="62">
        <f t="shared" si="4"/>
        <v>0</v>
      </c>
    </row>
    <row r="33" spans="1:32" ht="18.75" customHeight="1" x14ac:dyDescent="0.25">
      <c r="A33" s="98"/>
      <c r="B33" s="33">
        <f t="shared" si="0"/>
        <v>14</v>
      </c>
      <c r="C33" s="72">
        <f>'CIT - PAY'!C34</f>
        <v>0</v>
      </c>
      <c r="D33" s="72" t="e">
        <f>'CIT - PAY'!D34</f>
        <v>#N/A</v>
      </c>
      <c r="E33" s="306">
        <f>'CIT - PAY'!E34</f>
        <v>0</v>
      </c>
      <c r="F33" s="49">
        <f>'CIT - PAY'!L34</f>
        <v>0</v>
      </c>
      <c r="G33" s="36">
        <f>ROUND('CIT - PAY'!I34*0.09,2)</f>
        <v>0</v>
      </c>
      <c r="H33" s="88"/>
      <c r="I33" s="88"/>
      <c r="J33" s="88"/>
      <c r="K33" s="88"/>
      <c r="L33" s="88"/>
      <c r="M33" s="88"/>
      <c r="N33" s="88"/>
      <c r="O33" s="88"/>
      <c r="P33" s="88"/>
      <c r="Q33" s="88"/>
      <c r="R33" s="41">
        <f t="shared" si="1"/>
        <v>0</v>
      </c>
      <c r="S33" s="86"/>
      <c r="T33" s="87"/>
      <c r="U33" s="88"/>
      <c r="V33" s="88"/>
      <c r="W33" s="88"/>
      <c r="X33" s="38">
        <f t="shared" si="2"/>
        <v>0</v>
      </c>
      <c r="Y33" s="49">
        <f>MIN(ROUNDDOWN('CIT - PAY'!I34*0.05/2,2),2500)</f>
        <v>0</v>
      </c>
      <c r="Z33" s="86"/>
      <c r="AA33" s="87"/>
      <c r="AB33" s="88"/>
      <c r="AC33" s="88"/>
      <c r="AD33" s="88"/>
      <c r="AE33" s="35">
        <f t="shared" si="3"/>
        <v>0</v>
      </c>
      <c r="AF33" s="62">
        <f t="shared" si="4"/>
        <v>0</v>
      </c>
    </row>
    <row r="34" spans="1:32" ht="18.75" customHeight="1" x14ac:dyDescent="0.25">
      <c r="A34" s="98"/>
      <c r="B34" s="33">
        <f t="shared" si="0"/>
        <v>15</v>
      </c>
      <c r="C34" s="72">
        <f>'CIT - PAY'!C35</f>
        <v>0</v>
      </c>
      <c r="D34" s="72" t="e">
        <f>'CIT - PAY'!D35</f>
        <v>#N/A</v>
      </c>
      <c r="E34" s="306">
        <f>'CIT - PAY'!E35</f>
        <v>0</v>
      </c>
      <c r="F34" s="49">
        <f>'CIT - PAY'!L35</f>
        <v>0</v>
      </c>
      <c r="G34" s="36">
        <f>ROUND('CIT - PAY'!I35*0.09,2)</f>
        <v>0</v>
      </c>
      <c r="H34" s="88"/>
      <c r="I34" s="88"/>
      <c r="J34" s="88"/>
      <c r="K34" s="88"/>
      <c r="L34" s="88"/>
      <c r="M34" s="88"/>
      <c r="N34" s="88"/>
      <c r="O34" s="88"/>
      <c r="P34" s="88"/>
      <c r="Q34" s="88"/>
      <c r="R34" s="41">
        <f t="shared" si="1"/>
        <v>0</v>
      </c>
      <c r="S34" s="86"/>
      <c r="T34" s="87"/>
      <c r="U34" s="88"/>
      <c r="V34" s="88"/>
      <c r="W34" s="88"/>
      <c r="X34" s="38">
        <f t="shared" si="2"/>
        <v>0</v>
      </c>
      <c r="Y34" s="49">
        <f>MIN(ROUNDDOWN('CIT - PAY'!I35*0.05/2,2),2500)</f>
        <v>0</v>
      </c>
      <c r="Z34" s="86"/>
      <c r="AA34" s="87"/>
      <c r="AB34" s="88"/>
      <c r="AC34" s="88"/>
      <c r="AD34" s="88"/>
      <c r="AE34" s="35">
        <f t="shared" si="3"/>
        <v>0</v>
      </c>
      <c r="AF34" s="62">
        <f t="shared" si="4"/>
        <v>0</v>
      </c>
    </row>
    <row r="35" spans="1:32" ht="18.75" customHeight="1" x14ac:dyDescent="0.25">
      <c r="A35" s="98"/>
      <c r="B35" s="33">
        <f t="shared" si="0"/>
        <v>16</v>
      </c>
      <c r="C35" s="72">
        <f>'CIT - PAY'!C36</f>
        <v>0</v>
      </c>
      <c r="D35" s="72" t="e">
        <f>'CIT - PAY'!D36</f>
        <v>#N/A</v>
      </c>
      <c r="E35" s="306">
        <f>'CIT - PAY'!E36</f>
        <v>0</v>
      </c>
      <c r="F35" s="49">
        <f>'CIT - PAY'!L36</f>
        <v>0</v>
      </c>
      <c r="G35" s="36">
        <f>ROUND('CIT - PAY'!I36*0.09,2)</f>
        <v>0</v>
      </c>
      <c r="H35" s="88"/>
      <c r="I35" s="88"/>
      <c r="J35" s="88"/>
      <c r="K35" s="88"/>
      <c r="L35" s="88"/>
      <c r="M35" s="88"/>
      <c r="N35" s="88"/>
      <c r="O35" s="88"/>
      <c r="P35" s="88"/>
      <c r="Q35" s="88"/>
      <c r="R35" s="41">
        <f t="shared" si="1"/>
        <v>0</v>
      </c>
      <c r="S35" s="86"/>
      <c r="T35" s="87"/>
      <c r="U35" s="88"/>
      <c r="V35" s="88"/>
      <c r="W35" s="88"/>
      <c r="X35" s="38">
        <f t="shared" si="2"/>
        <v>0</v>
      </c>
      <c r="Y35" s="49">
        <f>MIN(ROUNDDOWN('CIT - PAY'!I36*0.05/2,2),2500)</f>
        <v>0</v>
      </c>
      <c r="Z35" s="86"/>
      <c r="AA35" s="87"/>
      <c r="AB35" s="88"/>
      <c r="AC35" s="88"/>
      <c r="AD35" s="88"/>
      <c r="AE35" s="35">
        <f t="shared" si="3"/>
        <v>0</v>
      </c>
      <c r="AF35" s="62">
        <f t="shared" si="4"/>
        <v>0</v>
      </c>
    </row>
    <row r="36" spans="1:32" ht="18.75" customHeight="1" x14ac:dyDescent="0.25">
      <c r="A36" s="98"/>
      <c r="B36" s="33">
        <f t="shared" si="0"/>
        <v>17</v>
      </c>
      <c r="C36" s="72">
        <f>'CIT - PAY'!C37</f>
        <v>0</v>
      </c>
      <c r="D36" s="72" t="e">
        <f>'CIT - PAY'!D37</f>
        <v>#N/A</v>
      </c>
      <c r="E36" s="306">
        <f>'CIT - PAY'!E37</f>
        <v>0</v>
      </c>
      <c r="F36" s="49">
        <f>'CIT - PAY'!L37</f>
        <v>0</v>
      </c>
      <c r="G36" s="36">
        <f>ROUND('CIT - PAY'!I37*0.09,2)</f>
        <v>0</v>
      </c>
      <c r="H36" s="88"/>
      <c r="I36" s="88"/>
      <c r="J36" s="88"/>
      <c r="K36" s="88"/>
      <c r="L36" s="88"/>
      <c r="M36" s="88"/>
      <c r="N36" s="88"/>
      <c r="O36" s="88"/>
      <c r="P36" s="88"/>
      <c r="Q36" s="88"/>
      <c r="R36" s="41">
        <f t="shared" si="1"/>
        <v>0</v>
      </c>
      <c r="S36" s="86"/>
      <c r="T36" s="87"/>
      <c r="U36" s="88"/>
      <c r="V36" s="88"/>
      <c r="W36" s="88"/>
      <c r="X36" s="38">
        <f t="shared" si="2"/>
        <v>0</v>
      </c>
      <c r="Y36" s="49">
        <f>MIN(ROUNDDOWN('CIT - PAY'!I37*0.05/2,2),2500)</f>
        <v>0</v>
      </c>
      <c r="Z36" s="86"/>
      <c r="AA36" s="87"/>
      <c r="AB36" s="88"/>
      <c r="AC36" s="88"/>
      <c r="AD36" s="88"/>
      <c r="AE36" s="35">
        <f t="shared" si="3"/>
        <v>0</v>
      </c>
      <c r="AF36" s="62">
        <f t="shared" si="4"/>
        <v>0</v>
      </c>
    </row>
    <row r="37" spans="1:32" ht="18.75" customHeight="1" x14ac:dyDescent="0.25">
      <c r="A37" s="98"/>
      <c r="B37" s="33">
        <f t="shared" si="0"/>
        <v>18</v>
      </c>
      <c r="C37" s="72">
        <f>'CIT - PAY'!C38</f>
        <v>0</v>
      </c>
      <c r="D37" s="72" t="e">
        <f>'CIT - PAY'!D38</f>
        <v>#N/A</v>
      </c>
      <c r="E37" s="306">
        <f>'CIT - PAY'!E38</f>
        <v>0</v>
      </c>
      <c r="F37" s="49">
        <f>'CIT - PAY'!L38</f>
        <v>0</v>
      </c>
      <c r="G37" s="36">
        <f>ROUND('CIT - PAY'!I38*0.09,2)</f>
        <v>0</v>
      </c>
      <c r="H37" s="88"/>
      <c r="I37" s="88"/>
      <c r="J37" s="88"/>
      <c r="K37" s="88"/>
      <c r="L37" s="88"/>
      <c r="M37" s="88"/>
      <c r="N37" s="88"/>
      <c r="O37" s="88"/>
      <c r="P37" s="88"/>
      <c r="Q37" s="88"/>
      <c r="R37" s="41">
        <f t="shared" si="1"/>
        <v>0</v>
      </c>
      <c r="S37" s="86"/>
      <c r="T37" s="87"/>
      <c r="U37" s="88"/>
      <c r="V37" s="88"/>
      <c r="W37" s="88"/>
      <c r="X37" s="38">
        <f t="shared" si="2"/>
        <v>0</v>
      </c>
      <c r="Y37" s="49">
        <f>MIN(ROUNDDOWN('CIT - PAY'!I38*0.05/2,2),2500)</f>
        <v>0</v>
      </c>
      <c r="Z37" s="86"/>
      <c r="AA37" s="87"/>
      <c r="AB37" s="88"/>
      <c r="AC37" s="88"/>
      <c r="AD37" s="88"/>
      <c r="AE37" s="35">
        <f t="shared" si="3"/>
        <v>0</v>
      </c>
      <c r="AF37" s="62">
        <f t="shared" si="4"/>
        <v>0</v>
      </c>
    </row>
    <row r="38" spans="1:32" ht="18.75" customHeight="1" x14ac:dyDescent="0.25">
      <c r="A38" s="98"/>
      <c r="B38" s="33">
        <f t="shared" si="0"/>
        <v>19</v>
      </c>
      <c r="C38" s="72">
        <f>'CIT - PAY'!C39</f>
        <v>0</v>
      </c>
      <c r="D38" s="72" t="e">
        <f>'CIT - PAY'!D39</f>
        <v>#N/A</v>
      </c>
      <c r="E38" s="306">
        <f>'CIT - PAY'!E39</f>
        <v>0</v>
      </c>
      <c r="F38" s="49">
        <f>'CIT - PAY'!L39</f>
        <v>0</v>
      </c>
      <c r="G38" s="36">
        <f>ROUND('CIT - PAY'!I39*0.09,2)</f>
        <v>0</v>
      </c>
      <c r="H38" s="88"/>
      <c r="I38" s="88"/>
      <c r="J38" s="88"/>
      <c r="K38" s="88"/>
      <c r="L38" s="88"/>
      <c r="M38" s="88"/>
      <c r="N38" s="88"/>
      <c r="O38" s="88"/>
      <c r="P38" s="88"/>
      <c r="Q38" s="88"/>
      <c r="R38" s="41">
        <f t="shared" si="1"/>
        <v>0</v>
      </c>
      <c r="S38" s="86"/>
      <c r="T38" s="87"/>
      <c r="U38" s="88"/>
      <c r="V38" s="88"/>
      <c r="W38" s="88"/>
      <c r="X38" s="38">
        <f t="shared" si="2"/>
        <v>0</v>
      </c>
      <c r="Y38" s="49">
        <f>MIN(ROUNDDOWN('CIT - PAY'!I39*0.05/2,2),2500)</f>
        <v>0</v>
      </c>
      <c r="Z38" s="86"/>
      <c r="AA38" s="87"/>
      <c r="AB38" s="88"/>
      <c r="AC38" s="88"/>
      <c r="AD38" s="88"/>
      <c r="AE38" s="35">
        <f t="shared" si="3"/>
        <v>0</v>
      </c>
      <c r="AF38" s="62">
        <f t="shared" si="4"/>
        <v>0</v>
      </c>
    </row>
    <row r="39" spans="1:32" ht="18.75" customHeight="1" x14ac:dyDescent="0.25">
      <c r="A39" s="98"/>
      <c r="B39" s="33">
        <f t="shared" si="0"/>
        <v>20</v>
      </c>
      <c r="C39" s="72">
        <f>'CIT - PAY'!C40</f>
        <v>0</v>
      </c>
      <c r="D39" s="72" t="e">
        <f>'CIT - PAY'!D40</f>
        <v>#N/A</v>
      </c>
      <c r="E39" s="306">
        <f>'CIT - PAY'!E40</f>
        <v>0</v>
      </c>
      <c r="F39" s="49">
        <f>'CIT - PAY'!L40</f>
        <v>0</v>
      </c>
      <c r="G39" s="36">
        <f>ROUND('CIT - PAY'!I40*0.09,2)</f>
        <v>0</v>
      </c>
      <c r="H39" s="88"/>
      <c r="I39" s="88"/>
      <c r="J39" s="88"/>
      <c r="K39" s="88"/>
      <c r="L39" s="88"/>
      <c r="M39" s="88"/>
      <c r="N39" s="88"/>
      <c r="O39" s="88"/>
      <c r="P39" s="88"/>
      <c r="Q39" s="88"/>
      <c r="R39" s="41">
        <f t="shared" si="1"/>
        <v>0</v>
      </c>
      <c r="S39" s="86"/>
      <c r="T39" s="87"/>
      <c r="U39" s="88"/>
      <c r="V39" s="88"/>
      <c r="W39" s="88"/>
      <c r="X39" s="38">
        <f t="shared" si="2"/>
        <v>0</v>
      </c>
      <c r="Y39" s="49">
        <f>MIN(ROUNDDOWN('CIT - PAY'!I40*0.05/2,2),2500)</f>
        <v>0</v>
      </c>
      <c r="Z39" s="86"/>
      <c r="AA39" s="87"/>
      <c r="AB39" s="88"/>
      <c r="AC39" s="88"/>
      <c r="AD39" s="88"/>
      <c r="AE39" s="35">
        <f t="shared" si="3"/>
        <v>0</v>
      </c>
      <c r="AF39" s="62">
        <f t="shared" si="4"/>
        <v>0</v>
      </c>
    </row>
    <row r="40" spans="1:32" ht="18.75" customHeight="1" x14ac:dyDescent="0.25">
      <c r="A40" s="98"/>
      <c r="B40" s="33">
        <f t="shared" si="0"/>
        <v>21</v>
      </c>
      <c r="C40" s="72">
        <f>'CIT - PAY'!C41</f>
        <v>0</v>
      </c>
      <c r="D40" s="72" t="e">
        <f>'CIT - PAY'!D41</f>
        <v>#N/A</v>
      </c>
      <c r="E40" s="306">
        <f>'CIT - PAY'!E41</f>
        <v>0</v>
      </c>
      <c r="F40" s="49">
        <f>'CIT - PAY'!L41</f>
        <v>0</v>
      </c>
      <c r="G40" s="36">
        <f>ROUND('CIT - PAY'!I41*0.09,2)</f>
        <v>0</v>
      </c>
      <c r="H40" s="88"/>
      <c r="I40" s="88"/>
      <c r="J40" s="88"/>
      <c r="K40" s="88"/>
      <c r="L40" s="88"/>
      <c r="M40" s="88"/>
      <c r="N40" s="88"/>
      <c r="O40" s="88"/>
      <c r="P40" s="88"/>
      <c r="Q40" s="88"/>
      <c r="R40" s="41">
        <f t="shared" si="1"/>
        <v>0</v>
      </c>
      <c r="S40" s="86"/>
      <c r="T40" s="87"/>
      <c r="U40" s="88"/>
      <c r="V40" s="88"/>
      <c r="W40" s="88"/>
      <c r="X40" s="38">
        <f t="shared" si="2"/>
        <v>0</v>
      </c>
      <c r="Y40" s="49">
        <f>MIN(ROUNDDOWN('CIT - PAY'!I41*0.05/2,2),2500)</f>
        <v>0</v>
      </c>
      <c r="Z40" s="86"/>
      <c r="AA40" s="87"/>
      <c r="AB40" s="88"/>
      <c r="AC40" s="88"/>
      <c r="AD40" s="88"/>
      <c r="AE40" s="35">
        <f t="shared" si="3"/>
        <v>0</v>
      </c>
      <c r="AF40" s="62">
        <f t="shared" si="4"/>
        <v>0</v>
      </c>
    </row>
    <row r="41" spans="1:32" ht="18.75" customHeight="1" x14ac:dyDescent="0.25">
      <c r="A41" s="98"/>
      <c r="B41" s="33">
        <f t="shared" si="0"/>
        <v>22</v>
      </c>
      <c r="C41" s="72">
        <f>'CIT - PAY'!C42</f>
        <v>0</v>
      </c>
      <c r="D41" s="72" t="e">
        <f>'CIT - PAY'!D42</f>
        <v>#N/A</v>
      </c>
      <c r="E41" s="306">
        <f>'CIT - PAY'!E42</f>
        <v>0</v>
      </c>
      <c r="F41" s="49">
        <f>'CIT - PAY'!L42</f>
        <v>0</v>
      </c>
      <c r="G41" s="36">
        <f>ROUND('CIT - PAY'!I42*0.09,2)</f>
        <v>0</v>
      </c>
      <c r="H41" s="88"/>
      <c r="I41" s="88"/>
      <c r="J41" s="88"/>
      <c r="K41" s="88"/>
      <c r="L41" s="88"/>
      <c r="M41" s="88"/>
      <c r="N41" s="88"/>
      <c r="O41" s="88"/>
      <c r="P41" s="88"/>
      <c r="Q41" s="88"/>
      <c r="R41" s="41">
        <f t="shared" si="1"/>
        <v>0</v>
      </c>
      <c r="S41" s="86"/>
      <c r="T41" s="87"/>
      <c r="U41" s="88"/>
      <c r="V41" s="88"/>
      <c r="W41" s="88"/>
      <c r="X41" s="38">
        <f t="shared" si="2"/>
        <v>0</v>
      </c>
      <c r="Y41" s="49">
        <f>MIN(ROUNDDOWN('CIT - PAY'!I42*0.05/2,2),2500)</f>
        <v>0</v>
      </c>
      <c r="Z41" s="86"/>
      <c r="AA41" s="87"/>
      <c r="AB41" s="88"/>
      <c r="AC41" s="88"/>
      <c r="AD41" s="88"/>
      <c r="AE41" s="35">
        <f t="shared" si="3"/>
        <v>0</v>
      </c>
      <c r="AF41" s="62">
        <f t="shared" si="4"/>
        <v>0</v>
      </c>
    </row>
    <row r="42" spans="1:32" ht="18.75" customHeight="1" x14ac:dyDescent="0.25">
      <c r="A42" s="98"/>
      <c r="B42" s="33">
        <f t="shared" si="0"/>
        <v>23</v>
      </c>
      <c r="C42" s="72">
        <f>'CIT - PAY'!C43</f>
        <v>0</v>
      </c>
      <c r="D42" s="72" t="e">
        <f>'CIT - PAY'!D43</f>
        <v>#N/A</v>
      </c>
      <c r="E42" s="306">
        <f>'CIT - PAY'!E43</f>
        <v>0</v>
      </c>
      <c r="F42" s="49">
        <f>'CIT - PAY'!L43</f>
        <v>0</v>
      </c>
      <c r="G42" s="36">
        <f>ROUND('CIT - PAY'!I43*0.09,2)</f>
        <v>0</v>
      </c>
      <c r="H42" s="88"/>
      <c r="I42" s="88"/>
      <c r="J42" s="88"/>
      <c r="K42" s="88"/>
      <c r="L42" s="88"/>
      <c r="M42" s="88"/>
      <c r="N42" s="88"/>
      <c r="O42" s="88"/>
      <c r="P42" s="88"/>
      <c r="Q42" s="88"/>
      <c r="R42" s="41">
        <f t="shared" si="1"/>
        <v>0</v>
      </c>
      <c r="S42" s="86"/>
      <c r="T42" s="87"/>
      <c r="U42" s="88"/>
      <c r="V42" s="88"/>
      <c r="W42" s="88"/>
      <c r="X42" s="38">
        <f t="shared" si="2"/>
        <v>0</v>
      </c>
      <c r="Y42" s="49">
        <f>MIN(ROUNDDOWN('CIT - PAY'!I43*0.05/2,2),2500)</f>
        <v>0</v>
      </c>
      <c r="Z42" s="86"/>
      <c r="AA42" s="87"/>
      <c r="AB42" s="88"/>
      <c r="AC42" s="88"/>
      <c r="AD42" s="88"/>
      <c r="AE42" s="35">
        <f t="shared" si="3"/>
        <v>0</v>
      </c>
      <c r="AF42" s="62">
        <f t="shared" si="4"/>
        <v>0</v>
      </c>
    </row>
    <row r="43" spans="1:32" ht="18.75" customHeight="1" x14ac:dyDescent="0.25">
      <c r="A43" s="98"/>
      <c r="B43" s="33">
        <f t="shared" si="0"/>
        <v>24</v>
      </c>
      <c r="C43" s="72">
        <f>'CIT - PAY'!C44</f>
        <v>0</v>
      </c>
      <c r="D43" s="72" t="e">
        <f>'CIT - PAY'!D44</f>
        <v>#N/A</v>
      </c>
      <c r="E43" s="306">
        <f>'CIT - PAY'!E44</f>
        <v>0</v>
      </c>
      <c r="F43" s="49">
        <f>'CIT - PAY'!L44</f>
        <v>0</v>
      </c>
      <c r="G43" s="36">
        <f>ROUND('CIT - PAY'!I44*0.09,2)</f>
        <v>0</v>
      </c>
      <c r="H43" s="88"/>
      <c r="I43" s="88"/>
      <c r="J43" s="88"/>
      <c r="K43" s="88"/>
      <c r="L43" s="88"/>
      <c r="M43" s="88"/>
      <c r="N43" s="88"/>
      <c r="O43" s="88"/>
      <c r="P43" s="88"/>
      <c r="Q43" s="88"/>
      <c r="R43" s="41">
        <f t="shared" si="1"/>
        <v>0</v>
      </c>
      <c r="S43" s="86"/>
      <c r="T43" s="87"/>
      <c r="U43" s="88"/>
      <c r="V43" s="88"/>
      <c r="W43" s="88"/>
      <c r="X43" s="38">
        <f t="shared" si="2"/>
        <v>0</v>
      </c>
      <c r="Y43" s="49">
        <f>MIN(ROUNDDOWN('CIT - PAY'!I44*0.05/2,2),2500)</f>
        <v>0</v>
      </c>
      <c r="Z43" s="86"/>
      <c r="AA43" s="87"/>
      <c r="AB43" s="88"/>
      <c r="AC43" s="88"/>
      <c r="AD43" s="88"/>
      <c r="AE43" s="35">
        <f t="shared" si="3"/>
        <v>0</v>
      </c>
      <c r="AF43" s="62">
        <f t="shared" si="4"/>
        <v>0</v>
      </c>
    </row>
    <row r="44" spans="1:32" ht="18.75" customHeight="1" x14ac:dyDescent="0.25">
      <c r="A44" s="98"/>
      <c r="B44" s="33">
        <f t="shared" si="0"/>
        <v>25</v>
      </c>
      <c r="C44" s="72">
        <f>'CIT - PAY'!C45</f>
        <v>0</v>
      </c>
      <c r="D44" s="72" t="e">
        <f>'CIT - PAY'!D45</f>
        <v>#N/A</v>
      </c>
      <c r="E44" s="306">
        <f>'CIT - PAY'!E45</f>
        <v>0</v>
      </c>
      <c r="F44" s="49">
        <f>'CIT - PAY'!L45</f>
        <v>0</v>
      </c>
      <c r="G44" s="36">
        <f>ROUND('CIT - PAY'!I45*0.09,2)</f>
        <v>0</v>
      </c>
      <c r="H44" s="88"/>
      <c r="I44" s="88"/>
      <c r="J44" s="88"/>
      <c r="K44" s="88"/>
      <c r="L44" s="88"/>
      <c r="M44" s="88"/>
      <c r="N44" s="88"/>
      <c r="O44" s="88"/>
      <c r="P44" s="88"/>
      <c r="Q44" s="88"/>
      <c r="R44" s="41">
        <f t="shared" si="1"/>
        <v>0</v>
      </c>
      <c r="S44" s="86"/>
      <c r="T44" s="87"/>
      <c r="U44" s="88"/>
      <c r="V44" s="88"/>
      <c r="W44" s="88"/>
      <c r="X44" s="38">
        <f t="shared" si="2"/>
        <v>0</v>
      </c>
      <c r="Y44" s="49">
        <f>MIN(ROUNDDOWN('CIT - PAY'!I45*0.05/2,2),2500)</f>
        <v>0</v>
      </c>
      <c r="Z44" s="86"/>
      <c r="AA44" s="87"/>
      <c r="AB44" s="88"/>
      <c r="AC44" s="88"/>
      <c r="AD44" s="88"/>
      <c r="AE44" s="35">
        <f t="shared" si="3"/>
        <v>0</v>
      </c>
      <c r="AF44" s="62">
        <f t="shared" si="4"/>
        <v>0</v>
      </c>
    </row>
    <row r="45" spans="1:32" ht="18.75" customHeight="1" x14ac:dyDescent="0.25">
      <c r="A45" s="98"/>
      <c r="B45" s="33">
        <f t="shared" si="0"/>
        <v>26</v>
      </c>
      <c r="C45" s="72">
        <f>'CIT - PAY'!C46</f>
        <v>0</v>
      </c>
      <c r="D45" s="72" t="e">
        <f>'CIT - PAY'!D46</f>
        <v>#N/A</v>
      </c>
      <c r="E45" s="306">
        <f>'CIT - PAY'!E46</f>
        <v>0</v>
      </c>
      <c r="F45" s="49">
        <f>'CIT - PAY'!L46</f>
        <v>0</v>
      </c>
      <c r="G45" s="36">
        <f>ROUND('CIT - PAY'!I46*0.09,2)</f>
        <v>0</v>
      </c>
      <c r="H45" s="88"/>
      <c r="I45" s="88"/>
      <c r="J45" s="88"/>
      <c r="K45" s="88"/>
      <c r="L45" s="88"/>
      <c r="M45" s="88"/>
      <c r="N45" s="88"/>
      <c r="O45" s="88"/>
      <c r="P45" s="88"/>
      <c r="Q45" s="88"/>
      <c r="R45" s="41">
        <f t="shared" si="1"/>
        <v>0</v>
      </c>
      <c r="S45" s="86"/>
      <c r="T45" s="87"/>
      <c r="U45" s="88"/>
      <c r="V45" s="88"/>
      <c r="W45" s="88"/>
      <c r="X45" s="38">
        <f t="shared" si="2"/>
        <v>0</v>
      </c>
      <c r="Y45" s="49">
        <f>MIN(ROUNDDOWN('CIT - PAY'!I46*0.05/2,2),2500)</f>
        <v>0</v>
      </c>
      <c r="Z45" s="86"/>
      <c r="AA45" s="87"/>
      <c r="AB45" s="88"/>
      <c r="AC45" s="88"/>
      <c r="AD45" s="88"/>
      <c r="AE45" s="35">
        <f t="shared" si="3"/>
        <v>0</v>
      </c>
      <c r="AF45" s="62">
        <f t="shared" si="4"/>
        <v>0</v>
      </c>
    </row>
    <row r="46" spans="1:32" ht="18.75" customHeight="1" x14ac:dyDescent="0.25">
      <c r="A46" s="98"/>
      <c r="B46" s="33">
        <f t="shared" si="0"/>
        <v>27</v>
      </c>
      <c r="C46" s="72">
        <f>'CIT - PAY'!C47</f>
        <v>0</v>
      </c>
      <c r="D46" s="72" t="e">
        <f>'CIT - PAY'!D47</f>
        <v>#N/A</v>
      </c>
      <c r="E46" s="306">
        <f>'CIT - PAY'!E47</f>
        <v>0</v>
      </c>
      <c r="F46" s="49">
        <f>'CIT - PAY'!L47</f>
        <v>0</v>
      </c>
      <c r="G46" s="36">
        <f>ROUND('CIT - PAY'!I47*0.09,2)</f>
        <v>0</v>
      </c>
      <c r="H46" s="88"/>
      <c r="I46" s="88"/>
      <c r="J46" s="88"/>
      <c r="K46" s="88"/>
      <c r="L46" s="88"/>
      <c r="M46" s="88"/>
      <c r="N46" s="88"/>
      <c r="O46" s="88"/>
      <c r="P46" s="88"/>
      <c r="Q46" s="88"/>
      <c r="R46" s="41">
        <f t="shared" si="1"/>
        <v>0</v>
      </c>
      <c r="S46" s="86"/>
      <c r="T46" s="87"/>
      <c r="U46" s="88"/>
      <c r="V46" s="88"/>
      <c r="W46" s="88"/>
      <c r="X46" s="38">
        <f t="shared" si="2"/>
        <v>0</v>
      </c>
      <c r="Y46" s="49">
        <f>MIN(ROUNDDOWN('CIT - PAY'!I47*0.05/2,2),2500)</f>
        <v>0</v>
      </c>
      <c r="Z46" s="86"/>
      <c r="AA46" s="87"/>
      <c r="AB46" s="88"/>
      <c r="AC46" s="88"/>
      <c r="AD46" s="88"/>
      <c r="AE46" s="35">
        <f t="shared" si="3"/>
        <v>0</v>
      </c>
      <c r="AF46" s="62">
        <f t="shared" si="4"/>
        <v>0</v>
      </c>
    </row>
    <row r="47" spans="1:32" ht="18.75" customHeight="1" x14ac:dyDescent="0.25">
      <c r="A47" s="98"/>
      <c r="B47" s="33">
        <f t="shared" si="0"/>
        <v>28</v>
      </c>
      <c r="C47" s="72">
        <f>'CIT - PAY'!C48</f>
        <v>0</v>
      </c>
      <c r="D47" s="72" t="e">
        <f>'CIT - PAY'!D48</f>
        <v>#N/A</v>
      </c>
      <c r="E47" s="306">
        <f>'CIT - PAY'!E48</f>
        <v>0</v>
      </c>
      <c r="F47" s="49">
        <f>'CIT - PAY'!L48</f>
        <v>0</v>
      </c>
      <c r="G47" s="36">
        <f>ROUND('CIT - PAY'!I48*0.09,2)</f>
        <v>0</v>
      </c>
      <c r="H47" s="88"/>
      <c r="I47" s="88"/>
      <c r="J47" s="88"/>
      <c r="K47" s="88"/>
      <c r="L47" s="88"/>
      <c r="M47" s="88"/>
      <c r="N47" s="88"/>
      <c r="O47" s="88"/>
      <c r="P47" s="88"/>
      <c r="Q47" s="88"/>
      <c r="R47" s="41">
        <f t="shared" si="1"/>
        <v>0</v>
      </c>
      <c r="S47" s="86"/>
      <c r="T47" s="87"/>
      <c r="U47" s="88"/>
      <c r="V47" s="88"/>
      <c r="W47" s="88"/>
      <c r="X47" s="38">
        <f t="shared" si="2"/>
        <v>0</v>
      </c>
      <c r="Y47" s="49">
        <f>MIN(ROUNDDOWN('CIT - PAY'!I48*0.05/2,2),2500)</f>
        <v>0</v>
      </c>
      <c r="Z47" s="86"/>
      <c r="AA47" s="87"/>
      <c r="AB47" s="88"/>
      <c r="AC47" s="88"/>
      <c r="AD47" s="88"/>
      <c r="AE47" s="35">
        <f t="shared" si="3"/>
        <v>0</v>
      </c>
      <c r="AF47" s="62">
        <f t="shared" si="4"/>
        <v>0</v>
      </c>
    </row>
    <row r="48" spans="1:32" ht="18.75" customHeight="1" x14ac:dyDescent="0.25">
      <c r="A48" s="98"/>
      <c r="B48" s="33">
        <f t="shared" si="0"/>
        <v>29</v>
      </c>
      <c r="C48" s="72">
        <f>'CIT - PAY'!C49</f>
        <v>0</v>
      </c>
      <c r="D48" s="72" t="e">
        <f>'CIT - PAY'!D49</f>
        <v>#N/A</v>
      </c>
      <c r="E48" s="306">
        <f>'CIT - PAY'!E49</f>
        <v>0</v>
      </c>
      <c r="F48" s="49">
        <f>'CIT - PAY'!L49</f>
        <v>0</v>
      </c>
      <c r="G48" s="36">
        <f>ROUND('CIT - PAY'!I49*0.09,2)</f>
        <v>0</v>
      </c>
      <c r="H48" s="88"/>
      <c r="I48" s="88"/>
      <c r="J48" s="88"/>
      <c r="K48" s="88"/>
      <c r="L48" s="88"/>
      <c r="M48" s="88"/>
      <c r="N48" s="88"/>
      <c r="O48" s="88"/>
      <c r="P48" s="88"/>
      <c r="Q48" s="88"/>
      <c r="R48" s="41">
        <f t="shared" si="1"/>
        <v>0</v>
      </c>
      <c r="S48" s="86"/>
      <c r="T48" s="87"/>
      <c r="U48" s="88"/>
      <c r="V48" s="88"/>
      <c r="W48" s="88"/>
      <c r="X48" s="38">
        <f t="shared" si="2"/>
        <v>0</v>
      </c>
      <c r="Y48" s="49">
        <f>MIN(ROUNDDOWN('CIT - PAY'!I49*0.05/2,2),2500)</f>
        <v>0</v>
      </c>
      <c r="Z48" s="86"/>
      <c r="AA48" s="87"/>
      <c r="AB48" s="88"/>
      <c r="AC48" s="88"/>
      <c r="AD48" s="88"/>
      <c r="AE48" s="35">
        <f t="shared" si="3"/>
        <v>0</v>
      </c>
      <c r="AF48" s="62">
        <f t="shared" si="4"/>
        <v>0</v>
      </c>
    </row>
    <row r="49" spans="1:32" ht="18.75" customHeight="1" x14ac:dyDescent="0.25">
      <c r="A49" s="98"/>
      <c r="B49" s="33">
        <f t="shared" si="0"/>
        <v>30</v>
      </c>
      <c r="C49" s="72">
        <f>'CIT - PAY'!C50</f>
        <v>0</v>
      </c>
      <c r="D49" s="72" t="e">
        <f>'CIT - PAY'!D50</f>
        <v>#N/A</v>
      </c>
      <c r="E49" s="306">
        <f>'CIT - PAY'!E50</f>
        <v>0</v>
      </c>
      <c r="F49" s="49">
        <f>'CIT - PAY'!L50</f>
        <v>0</v>
      </c>
      <c r="G49" s="36">
        <f>ROUND('CIT - PAY'!I50*0.09,2)</f>
        <v>0</v>
      </c>
      <c r="H49" s="88"/>
      <c r="I49" s="88"/>
      <c r="J49" s="88"/>
      <c r="K49" s="88"/>
      <c r="L49" s="88"/>
      <c r="M49" s="88"/>
      <c r="N49" s="88"/>
      <c r="O49" s="88"/>
      <c r="P49" s="88"/>
      <c r="Q49" s="88"/>
      <c r="R49" s="41">
        <f t="shared" si="1"/>
        <v>0</v>
      </c>
      <c r="S49" s="86"/>
      <c r="T49" s="87"/>
      <c r="U49" s="88"/>
      <c r="V49" s="88"/>
      <c r="W49" s="88"/>
      <c r="X49" s="38">
        <f t="shared" si="2"/>
        <v>0</v>
      </c>
      <c r="Y49" s="49">
        <f>MIN(ROUNDDOWN('CIT - PAY'!I50*0.05/2,2),2500)</f>
        <v>0</v>
      </c>
      <c r="Z49" s="86"/>
      <c r="AA49" s="87"/>
      <c r="AB49" s="88"/>
      <c r="AC49" s="88"/>
      <c r="AD49" s="88"/>
      <c r="AE49" s="35">
        <f t="shared" si="3"/>
        <v>0</v>
      </c>
      <c r="AF49" s="62">
        <f t="shared" si="4"/>
        <v>0</v>
      </c>
    </row>
    <row r="50" spans="1:32" ht="18.75" customHeight="1" x14ac:dyDescent="0.25">
      <c r="A50" s="98"/>
      <c r="B50" s="33">
        <f t="shared" si="0"/>
        <v>31</v>
      </c>
      <c r="C50" s="72">
        <f>'CIT - PAY'!C51</f>
        <v>0</v>
      </c>
      <c r="D50" s="72" t="e">
        <f>'CIT - PAY'!D51</f>
        <v>#N/A</v>
      </c>
      <c r="E50" s="306">
        <f>'CIT - PAY'!E51</f>
        <v>0</v>
      </c>
      <c r="F50" s="49">
        <f>'CIT - PAY'!L51</f>
        <v>0</v>
      </c>
      <c r="G50" s="36">
        <f>ROUND('CIT - PAY'!I51*0.09,2)</f>
        <v>0</v>
      </c>
      <c r="H50" s="88"/>
      <c r="I50" s="88"/>
      <c r="J50" s="88"/>
      <c r="K50" s="88"/>
      <c r="L50" s="88"/>
      <c r="M50" s="88"/>
      <c r="N50" s="88"/>
      <c r="O50" s="88"/>
      <c r="P50" s="88"/>
      <c r="Q50" s="88"/>
      <c r="R50" s="41">
        <f t="shared" si="1"/>
        <v>0</v>
      </c>
      <c r="S50" s="86"/>
      <c r="T50" s="87"/>
      <c r="U50" s="88"/>
      <c r="V50" s="88"/>
      <c r="W50" s="88"/>
      <c r="X50" s="38">
        <f t="shared" si="2"/>
        <v>0</v>
      </c>
      <c r="Y50" s="49">
        <f>MIN(ROUNDDOWN('CIT - PAY'!I51*0.05/2,2),2500)</f>
        <v>0</v>
      </c>
      <c r="Z50" s="86"/>
      <c r="AA50" s="87"/>
      <c r="AB50" s="88"/>
      <c r="AC50" s="88"/>
      <c r="AD50" s="88"/>
      <c r="AE50" s="35">
        <f t="shared" si="3"/>
        <v>0</v>
      </c>
      <c r="AF50" s="62">
        <f t="shared" si="4"/>
        <v>0</v>
      </c>
    </row>
    <row r="51" spans="1:32" ht="18.75" customHeight="1" x14ac:dyDescent="0.25">
      <c r="A51" s="98"/>
      <c r="B51" s="33">
        <f t="shared" si="0"/>
        <v>32</v>
      </c>
      <c r="C51" s="72">
        <f>'CIT - PAY'!C52</f>
        <v>0</v>
      </c>
      <c r="D51" s="72" t="e">
        <f>'CIT - PAY'!D52</f>
        <v>#N/A</v>
      </c>
      <c r="E51" s="306">
        <f>'CIT - PAY'!E52</f>
        <v>0</v>
      </c>
      <c r="F51" s="49">
        <f>'CIT - PAY'!L52</f>
        <v>0</v>
      </c>
      <c r="G51" s="36">
        <f>ROUND('CIT - PAY'!I52*0.09,2)</f>
        <v>0</v>
      </c>
      <c r="H51" s="88"/>
      <c r="I51" s="88"/>
      <c r="J51" s="88"/>
      <c r="K51" s="88"/>
      <c r="L51" s="88"/>
      <c r="M51" s="88"/>
      <c r="N51" s="88"/>
      <c r="O51" s="88"/>
      <c r="P51" s="88"/>
      <c r="Q51" s="88"/>
      <c r="R51" s="41">
        <f>SUM(G51:Q51)</f>
        <v>0</v>
      </c>
      <c r="S51" s="86"/>
      <c r="T51" s="87"/>
      <c r="U51" s="88"/>
      <c r="V51" s="88"/>
      <c r="W51" s="88"/>
      <c r="X51" s="38">
        <f>SUM(S51:W51)</f>
        <v>0</v>
      </c>
      <c r="Y51" s="49">
        <f>MIN(ROUNDDOWN('CIT - PAY'!I52*0.05/2,2),2500)</f>
        <v>0</v>
      </c>
      <c r="Z51" s="86"/>
      <c r="AA51" s="87"/>
      <c r="AB51" s="88"/>
      <c r="AC51" s="88"/>
      <c r="AD51" s="88"/>
      <c r="AE51" s="35">
        <f>SUM(Z51:AD51)</f>
        <v>0</v>
      </c>
      <c r="AF51" s="62">
        <f>SUM(F51,R51,X51,Y51,AE51)</f>
        <v>0</v>
      </c>
    </row>
    <row r="52" spans="1:32" ht="18.75" customHeight="1" x14ac:dyDescent="0.25">
      <c r="A52" s="98"/>
      <c r="B52" s="33">
        <f t="shared" si="0"/>
        <v>33</v>
      </c>
      <c r="C52" s="72">
        <f>'CIT - PAY'!C53</f>
        <v>0</v>
      </c>
      <c r="D52" s="72" t="e">
        <f>'CIT - PAY'!D53</f>
        <v>#N/A</v>
      </c>
      <c r="E52" s="306">
        <f>'CIT - PAY'!E53</f>
        <v>0</v>
      </c>
      <c r="F52" s="49">
        <f>'CIT - PAY'!L53</f>
        <v>0</v>
      </c>
      <c r="G52" s="36">
        <f>ROUND('CIT - PAY'!I53*0.09,2)</f>
        <v>0</v>
      </c>
      <c r="H52" s="88"/>
      <c r="I52" s="88"/>
      <c r="J52" s="88"/>
      <c r="K52" s="88"/>
      <c r="L52" s="88"/>
      <c r="M52" s="88"/>
      <c r="N52" s="88"/>
      <c r="O52" s="88"/>
      <c r="P52" s="88"/>
      <c r="Q52" s="88"/>
      <c r="R52" s="41">
        <f>SUM(G52:Q52)</f>
        <v>0</v>
      </c>
      <c r="S52" s="86"/>
      <c r="T52" s="87"/>
      <c r="U52" s="88"/>
      <c r="V52" s="88"/>
      <c r="W52" s="88"/>
      <c r="X52" s="38">
        <f>SUM(S52:W52)</f>
        <v>0</v>
      </c>
      <c r="Y52" s="49">
        <f>MIN(ROUNDDOWN('CIT - PAY'!I53*0.05/2,2),2500)</f>
        <v>0</v>
      </c>
      <c r="Z52" s="86"/>
      <c r="AA52" s="87"/>
      <c r="AB52" s="88"/>
      <c r="AC52" s="88"/>
      <c r="AD52" s="88"/>
      <c r="AE52" s="35">
        <f>SUM(Z52:AD52)</f>
        <v>0</v>
      </c>
      <c r="AF52" s="62">
        <f>SUM(F52,R52,X52,Y52,AE52)</f>
        <v>0</v>
      </c>
    </row>
    <row r="53" spans="1:32" ht="18.75" customHeight="1" x14ac:dyDescent="0.25">
      <c r="A53" s="98"/>
      <c r="B53" s="33">
        <f t="shared" si="0"/>
        <v>34</v>
      </c>
      <c r="C53" s="72">
        <f>'CIT - PAY'!C54</f>
        <v>0</v>
      </c>
      <c r="D53" s="72" t="e">
        <f>'CIT - PAY'!D54</f>
        <v>#N/A</v>
      </c>
      <c r="E53" s="306">
        <f>'CIT - PAY'!E54</f>
        <v>0</v>
      </c>
      <c r="F53" s="49">
        <f>'CIT - PAY'!L54</f>
        <v>0</v>
      </c>
      <c r="G53" s="36">
        <f>ROUND('CIT - PAY'!I54*0.09,2)</f>
        <v>0</v>
      </c>
      <c r="H53" s="88"/>
      <c r="I53" s="88"/>
      <c r="J53" s="88"/>
      <c r="K53" s="88"/>
      <c r="L53" s="88"/>
      <c r="M53" s="88"/>
      <c r="N53" s="88"/>
      <c r="O53" s="88"/>
      <c r="P53" s="88"/>
      <c r="Q53" s="88"/>
      <c r="R53" s="41">
        <f>SUM(G53:Q53)</f>
        <v>0</v>
      </c>
      <c r="S53" s="86"/>
      <c r="T53" s="87"/>
      <c r="U53" s="88"/>
      <c r="V53" s="88"/>
      <c r="W53" s="88"/>
      <c r="X53" s="38">
        <f>SUM(S53:W53)</f>
        <v>0</v>
      </c>
      <c r="Y53" s="49">
        <f>MIN(ROUNDDOWN('CIT - PAY'!I54*0.05/2,2),2500)</f>
        <v>0</v>
      </c>
      <c r="Z53" s="86"/>
      <c r="AA53" s="87"/>
      <c r="AB53" s="88"/>
      <c r="AC53" s="88"/>
      <c r="AD53" s="88"/>
      <c r="AE53" s="35">
        <f>SUM(Z53:AD53)</f>
        <v>0</v>
      </c>
      <c r="AF53" s="62">
        <f>SUM(F53,R53,X53,Y53,AE53)</f>
        <v>0</v>
      </c>
    </row>
    <row r="54" spans="1:32" ht="18.75" customHeight="1" x14ac:dyDescent="0.25">
      <c r="A54" s="98"/>
      <c r="B54" s="33">
        <f t="shared" si="0"/>
        <v>35</v>
      </c>
      <c r="C54" s="72">
        <f>'CIT - PAY'!C55</f>
        <v>0</v>
      </c>
      <c r="D54" s="72" t="e">
        <f>'CIT - PAY'!D55</f>
        <v>#N/A</v>
      </c>
      <c r="E54" s="306">
        <f>'CIT - PAY'!E55</f>
        <v>0</v>
      </c>
      <c r="F54" s="49">
        <f>'CIT - PAY'!L55</f>
        <v>0</v>
      </c>
      <c r="G54" s="36">
        <f>ROUND('CIT - PAY'!I55*0.09,2)</f>
        <v>0</v>
      </c>
      <c r="H54" s="88"/>
      <c r="I54" s="88"/>
      <c r="J54" s="88"/>
      <c r="K54" s="88"/>
      <c r="L54" s="88"/>
      <c r="M54" s="88"/>
      <c r="N54" s="88"/>
      <c r="O54" s="88"/>
      <c r="P54" s="88"/>
      <c r="Q54" s="88"/>
      <c r="R54" s="41">
        <f t="shared" ref="R54:R81" si="5">SUM(G54:Q54)</f>
        <v>0</v>
      </c>
      <c r="S54" s="86"/>
      <c r="T54" s="87"/>
      <c r="U54" s="88"/>
      <c r="V54" s="88"/>
      <c r="W54" s="88"/>
      <c r="X54" s="38">
        <f t="shared" ref="X54:X81" si="6">SUM(S54:W54)</f>
        <v>0</v>
      </c>
      <c r="Y54" s="49">
        <f>MIN(ROUNDDOWN('CIT - PAY'!I55*0.05/2,2),2500)</f>
        <v>0</v>
      </c>
      <c r="Z54" s="86"/>
      <c r="AA54" s="87"/>
      <c r="AB54" s="88"/>
      <c r="AC54" s="88"/>
      <c r="AD54" s="88"/>
      <c r="AE54" s="35">
        <f t="shared" ref="AE54:AE81" si="7">SUM(Z54:AD54)</f>
        <v>0</v>
      </c>
      <c r="AF54" s="62">
        <f t="shared" ref="AF54:AF81" si="8">SUM(F54,R54,X54,Y54,AE54)</f>
        <v>0</v>
      </c>
    </row>
    <row r="55" spans="1:32" ht="18.75" customHeight="1" x14ac:dyDescent="0.25">
      <c r="A55" s="98"/>
      <c r="B55" s="33">
        <f t="shared" si="0"/>
        <v>36</v>
      </c>
      <c r="C55" s="72">
        <f>'CIT - PAY'!C56</f>
        <v>0</v>
      </c>
      <c r="D55" s="72" t="e">
        <f>'CIT - PAY'!D56</f>
        <v>#N/A</v>
      </c>
      <c r="E55" s="306">
        <f>'CIT - PAY'!E56</f>
        <v>0</v>
      </c>
      <c r="F55" s="49">
        <f>'CIT - PAY'!L56</f>
        <v>0</v>
      </c>
      <c r="G55" s="36">
        <f>ROUND('CIT - PAY'!I56*0.09,2)</f>
        <v>0</v>
      </c>
      <c r="H55" s="88"/>
      <c r="I55" s="88"/>
      <c r="J55" s="88"/>
      <c r="K55" s="88"/>
      <c r="L55" s="88"/>
      <c r="M55" s="88"/>
      <c r="N55" s="88"/>
      <c r="O55" s="88"/>
      <c r="P55" s="88"/>
      <c r="Q55" s="88"/>
      <c r="R55" s="41">
        <f t="shared" si="5"/>
        <v>0</v>
      </c>
      <c r="S55" s="86"/>
      <c r="T55" s="87"/>
      <c r="U55" s="88"/>
      <c r="V55" s="88"/>
      <c r="W55" s="88"/>
      <c r="X55" s="38">
        <f t="shared" si="6"/>
        <v>0</v>
      </c>
      <c r="Y55" s="49">
        <f>MIN(ROUNDDOWN('CIT - PAY'!I56*0.05/2,2),2500)</f>
        <v>0</v>
      </c>
      <c r="Z55" s="86"/>
      <c r="AA55" s="87"/>
      <c r="AB55" s="88"/>
      <c r="AC55" s="88"/>
      <c r="AD55" s="88"/>
      <c r="AE55" s="35">
        <f t="shared" si="7"/>
        <v>0</v>
      </c>
      <c r="AF55" s="62">
        <f t="shared" si="8"/>
        <v>0</v>
      </c>
    </row>
    <row r="56" spans="1:32" ht="18.75" customHeight="1" x14ac:dyDescent="0.25">
      <c r="A56" s="98"/>
      <c r="B56" s="33">
        <f t="shared" si="0"/>
        <v>37</v>
      </c>
      <c r="C56" s="72">
        <f>'CIT - PAY'!C57</f>
        <v>0</v>
      </c>
      <c r="D56" s="72" t="e">
        <f>'CIT - PAY'!D57</f>
        <v>#N/A</v>
      </c>
      <c r="E56" s="306">
        <f>'CIT - PAY'!E57</f>
        <v>0</v>
      </c>
      <c r="F56" s="49">
        <f>'CIT - PAY'!L57</f>
        <v>0</v>
      </c>
      <c r="G56" s="36">
        <f>ROUND('CIT - PAY'!I57*0.09,2)</f>
        <v>0</v>
      </c>
      <c r="H56" s="88"/>
      <c r="I56" s="88"/>
      <c r="J56" s="88"/>
      <c r="K56" s="88"/>
      <c r="L56" s="88"/>
      <c r="M56" s="88"/>
      <c r="N56" s="88"/>
      <c r="O56" s="88"/>
      <c r="P56" s="88"/>
      <c r="Q56" s="88"/>
      <c r="R56" s="41">
        <f t="shared" si="5"/>
        <v>0</v>
      </c>
      <c r="S56" s="86"/>
      <c r="T56" s="87"/>
      <c r="U56" s="88"/>
      <c r="V56" s="88"/>
      <c r="W56" s="88"/>
      <c r="X56" s="38">
        <f t="shared" si="6"/>
        <v>0</v>
      </c>
      <c r="Y56" s="49">
        <f>MIN(ROUNDDOWN('CIT - PAY'!I57*0.05/2,2),2500)</f>
        <v>0</v>
      </c>
      <c r="Z56" s="86"/>
      <c r="AA56" s="87"/>
      <c r="AB56" s="88"/>
      <c r="AC56" s="88"/>
      <c r="AD56" s="88"/>
      <c r="AE56" s="35">
        <f t="shared" si="7"/>
        <v>0</v>
      </c>
      <c r="AF56" s="62">
        <f t="shared" si="8"/>
        <v>0</v>
      </c>
    </row>
    <row r="57" spans="1:32" ht="18.75" customHeight="1" x14ac:dyDescent="0.25">
      <c r="A57" s="98"/>
      <c r="B57" s="33">
        <f t="shared" si="0"/>
        <v>38</v>
      </c>
      <c r="C57" s="72">
        <f>'CIT - PAY'!C58</f>
        <v>0</v>
      </c>
      <c r="D57" s="72" t="e">
        <f>'CIT - PAY'!D58</f>
        <v>#N/A</v>
      </c>
      <c r="E57" s="306">
        <f>'CIT - PAY'!E58</f>
        <v>0</v>
      </c>
      <c r="F57" s="49">
        <f>'CIT - PAY'!L58</f>
        <v>0</v>
      </c>
      <c r="G57" s="36">
        <f>ROUND('CIT - PAY'!I58*0.09,2)</f>
        <v>0</v>
      </c>
      <c r="H57" s="88"/>
      <c r="I57" s="88"/>
      <c r="J57" s="88"/>
      <c r="K57" s="88"/>
      <c r="L57" s="88"/>
      <c r="M57" s="88"/>
      <c r="N57" s="88"/>
      <c r="O57" s="88"/>
      <c r="P57" s="88"/>
      <c r="Q57" s="88"/>
      <c r="R57" s="41">
        <f t="shared" si="5"/>
        <v>0</v>
      </c>
      <c r="S57" s="86"/>
      <c r="T57" s="87"/>
      <c r="U57" s="88"/>
      <c r="V57" s="88"/>
      <c r="W57" s="88"/>
      <c r="X57" s="38">
        <f t="shared" si="6"/>
        <v>0</v>
      </c>
      <c r="Y57" s="49">
        <f>MIN(ROUNDDOWN('CIT - PAY'!I58*0.05/2,2),2500)</f>
        <v>0</v>
      </c>
      <c r="Z57" s="86"/>
      <c r="AA57" s="87"/>
      <c r="AB57" s="88"/>
      <c r="AC57" s="88"/>
      <c r="AD57" s="88"/>
      <c r="AE57" s="35">
        <f t="shared" si="7"/>
        <v>0</v>
      </c>
      <c r="AF57" s="62">
        <f t="shared" si="8"/>
        <v>0</v>
      </c>
    </row>
    <row r="58" spans="1:32" ht="18.75" customHeight="1" x14ac:dyDescent="0.25">
      <c r="A58" s="98"/>
      <c r="B58" s="33">
        <f t="shared" si="0"/>
        <v>39</v>
      </c>
      <c r="C58" s="72">
        <f>'CIT - PAY'!C59</f>
        <v>0</v>
      </c>
      <c r="D58" s="72" t="e">
        <f>'CIT - PAY'!D59</f>
        <v>#N/A</v>
      </c>
      <c r="E58" s="306">
        <f>'CIT - PAY'!E59</f>
        <v>0</v>
      </c>
      <c r="F58" s="49">
        <f>'CIT - PAY'!L59</f>
        <v>0</v>
      </c>
      <c r="G58" s="36">
        <f>ROUND('CIT - PAY'!I59*0.09,2)</f>
        <v>0</v>
      </c>
      <c r="H58" s="88"/>
      <c r="I58" s="88"/>
      <c r="J58" s="88"/>
      <c r="K58" s="88"/>
      <c r="L58" s="88"/>
      <c r="M58" s="88"/>
      <c r="N58" s="88"/>
      <c r="O58" s="88"/>
      <c r="P58" s="88"/>
      <c r="Q58" s="88"/>
      <c r="R58" s="41">
        <f t="shared" si="5"/>
        <v>0</v>
      </c>
      <c r="S58" s="86"/>
      <c r="T58" s="87"/>
      <c r="U58" s="88"/>
      <c r="V58" s="88"/>
      <c r="W58" s="88"/>
      <c r="X58" s="38">
        <f t="shared" si="6"/>
        <v>0</v>
      </c>
      <c r="Y58" s="49">
        <f>MIN(ROUNDDOWN('CIT - PAY'!I59*0.05/2,2),2500)</f>
        <v>0</v>
      </c>
      <c r="Z58" s="86"/>
      <c r="AA58" s="87"/>
      <c r="AB58" s="88"/>
      <c r="AC58" s="88"/>
      <c r="AD58" s="88"/>
      <c r="AE58" s="35">
        <f t="shared" si="7"/>
        <v>0</v>
      </c>
      <c r="AF58" s="62">
        <f t="shared" si="8"/>
        <v>0</v>
      </c>
    </row>
    <row r="59" spans="1:32" ht="18.75" customHeight="1" x14ac:dyDescent="0.25">
      <c r="A59" s="98"/>
      <c r="B59" s="33">
        <f t="shared" si="0"/>
        <v>40</v>
      </c>
      <c r="C59" s="72">
        <f>'CIT - PAY'!C60</f>
        <v>0</v>
      </c>
      <c r="D59" s="72" t="e">
        <f>'CIT - PAY'!D60</f>
        <v>#N/A</v>
      </c>
      <c r="E59" s="306">
        <f>'CIT - PAY'!E60</f>
        <v>0</v>
      </c>
      <c r="F59" s="49">
        <f>'CIT - PAY'!L60</f>
        <v>0</v>
      </c>
      <c r="G59" s="36">
        <f>ROUND('CIT - PAY'!I60*0.09,2)</f>
        <v>0</v>
      </c>
      <c r="H59" s="88"/>
      <c r="I59" s="88"/>
      <c r="J59" s="88"/>
      <c r="K59" s="88"/>
      <c r="L59" s="88"/>
      <c r="M59" s="88"/>
      <c r="N59" s="88"/>
      <c r="O59" s="88"/>
      <c r="P59" s="88"/>
      <c r="Q59" s="88"/>
      <c r="R59" s="41">
        <f t="shared" si="5"/>
        <v>0</v>
      </c>
      <c r="S59" s="86"/>
      <c r="T59" s="87"/>
      <c r="U59" s="88"/>
      <c r="V59" s="88"/>
      <c r="W59" s="88"/>
      <c r="X59" s="38">
        <f t="shared" si="6"/>
        <v>0</v>
      </c>
      <c r="Y59" s="49">
        <f>MIN(ROUNDDOWN('CIT - PAY'!I60*0.05/2,2),2500)</f>
        <v>0</v>
      </c>
      <c r="Z59" s="86"/>
      <c r="AA59" s="87"/>
      <c r="AB59" s="88"/>
      <c r="AC59" s="88"/>
      <c r="AD59" s="88"/>
      <c r="AE59" s="35">
        <f t="shared" si="7"/>
        <v>0</v>
      </c>
      <c r="AF59" s="62">
        <f t="shared" si="8"/>
        <v>0</v>
      </c>
    </row>
    <row r="60" spans="1:32" ht="18.75" customHeight="1" x14ac:dyDescent="0.25">
      <c r="A60" s="98"/>
      <c r="B60" s="33">
        <f t="shared" ref="B60:B80" si="9">+B38+1</f>
        <v>20</v>
      </c>
      <c r="C60" s="72">
        <f>'CIT - PAY'!C61</f>
        <v>0</v>
      </c>
      <c r="D60" s="72" t="e">
        <f>'CIT - PAY'!D61</f>
        <v>#N/A</v>
      </c>
      <c r="E60" s="306">
        <f>'CIT - PAY'!E61</f>
        <v>0</v>
      </c>
      <c r="F60" s="49">
        <f>'CIT - PAY'!L61</f>
        <v>0</v>
      </c>
      <c r="G60" s="36">
        <f>ROUND('CIT - PAY'!I61*0.09,2)</f>
        <v>0</v>
      </c>
      <c r="H60" s="88"/>
      <c r="I60" s="88"/>
      <c r="J60" s="88"/>
      <c r="K60" s="88"/>
      <c r="L60" s="88"/>
      <c r="M60" s="88"/>
      <c r="N60" s="88"/>
      <c r="O60" s="88"/>
      <c r="P60" s="88"/>
      <c r="Q60" s="88"/>
      <c r="R60" s="41">
        <f t="shared" ref="R60:R80" si="10">SUM(G60:Q60)</f>
        <v>0</v>
      </c>
      <c r="S60" s="86"/>
      <c r="T60" s="87"/>
      <c r="U60" s="88"/>
      <c r="V60" s="88"/>
      <c r="W60" s="88"/>
      <c r="X60" s="38">
        <f t="shared" ref="X60:X80" si="11">SUM(S60:W60)</f>
        <v>0</v>
      </c>
      <c r="Y60" s="49">
        <f>MIN(ROUNDDOWN('CIT - PAY'!I61*0.05/2,2),2500)</f>
        <v>0</v>
      </c>
      <c r="Z60" s="86"/>
      <c r="AA60" s="87"/>
      <c r="AB60" s="88"/>
      <c r="AC60" s="88"/>
      <c r="AD60" s="88"/>
      <c r="AE60" s="35">
        <f t="shared" ref="AE60:AE80" si="12">SUM(Z60:AD60)</f>
        <v>0</v>
      </c>
      <c r="AF60" s="62">
        <f t="shared" ref="AF60:AF80" si="13">SUM(F60,R60,X60,Y60,AE60)</f>
        <v>0</v>
      </c>
    </row>
    <row r="61" spans="1:32" ht="18.75" customHeight="1" x14ac:dyDescent="0.25">
      <c r="A61" s="98"/>
      <c r="B61" s="33">
        <f t="shared" si="9"/>
        <v>21</v>
      </c>
      <c r="C61" s="72">
        <f>'CIT - PAY'!C62</f>
        <v>0</v>
      </c>
      <c r="D61" s="72" t="e">
        <f>'CIT - PAY'!D62</f>
        <v>#N/A</v>
      </c>
      <c r="E61" s="306">
        <f>'CIT - PAY'!E62</f>
        <v>0</v>
      </c>
      <c r="F61" s="49">
        <f>'CIT - PAY'!L62</f>
        <v>0</v>
      </c>
      <c r="G61" s="36">
        <f>ROUND('CIT - PAY'!I62*0.09,2)</f>
        <v>0</v>
      </c>
      <c r="H61" s="88"/>
      <c r="I61" s="88"/>
      <c r="J61" s="88"/>
      <c r="K61" s="88"/>
      <c r="L61" s="88"/>
      <c r="M61" s="88"/>
      <c r="N61" s="88"/>
      <c r="O61" s="88"/>
      <c r="P61" s="88"/>
      <c r="Q61" s="88"/>
      <c r="R61" s="41">
        <f t="shared" si="10"/>
        <v>0</v>
      </c>
      <c r="S61" s="86"/>
      <c r="T61" s="87"/>
      <c r="U61" s="88"/>
      <c r="V61" s="88"/>
      <c r="W61" s="88"/>
      <c r="X61" s="38">
        <f t="shared" si="11"/>
        <v>0</v>
      </c>
      <c r="Y61" s="49">
        <f>MIN(ROUNDDOWN('CIT - PAY'!I62*0.05/2,2),2500)</f>
        <v>0</v>
      </c>
      <c r="Z61" s="86"/>
      <c r="AA61" s="87"/>
      <c r="AB61" s="88"/>
      <c r="AC61" s="88"/>
      <c r="AD61" s="88"/>
      <c r="AE61" s="35">
        <f t="shared" si="12"/>
        <v>0</v>
      </c>
      <c r="AF61" s="62">
        <f t="shared" si="13"/>
        <v>0</v>
      </c>
    </row>
    <row r="62" spans="1:32" ht="18.75" customHeight="1" x14ac:dyDescent="0.25">
      <c r="A62" s="98"/>
      <c r="B62" s="33">
        <f t="shared" si="9"/>
        <v>22</v>
      </c>
      <c r="C62" s="72">
        <f>'CIT - PAY'!C63</f>
        <v>0</v>
      </c>
      <c r="D62" s="72" t="e">
        <f>'CIT - PAY'!D63</f>
        <v>#N/A</v>
      </c>
      <c r="E62" s="306">
        <f>'CIT - PAY'!E63</f>
        <v>0</v>
      </c>
      <c r="F62" s="49">
        <f>'CIT - PAY'!L63</f>
        <v>0</v>
      </c>
      <c r="G62" s="36">
        <f>ROUND('CIT - PAY'!I63*0.09,2)</f>
        <v>0</v>
      </c>
      <c r="H62" s="88"/>
      <c r="I62" s="88"/>
      <c r="J62" s="88"/>
      <c r="K62" s="88"/>
      <c r="L62" s="88"/>
      <c r="M62" s="88"/>
      <c r="N62" s="88"/>
      <c r="O62" s="88"/>
      <c r="P62" s="88"/>
      <c r="Q62" s="88"/>
      <c r="R62" s="41">
        <f t="shared" si="10"/>
        <v>0</v>
      </c>
      <c r="S62" s="86"/>
      <c r="T62" s="87"/>
      <c r="U62" s="88"/>
      <c r="V62" s="88"/>
      <c r="W62" s="88"/>
      <c r="X62" s="38">
        <f t="shared" si="11"/>
        <v>0</v>
      </c>
      <c r="Y62" s="49">
        <f>MIN(ROUNDDOWN('CIT - PAY'!I63*0.05/2,2),2500)</f>
        <v>0</v>
      </c>
      <c r="Z62" s="86"/>
      <c r="AA62" s="87"/>
      <c r="AB62" s="88"/>
      <c r="AC62" s="88"/>
      <c r="AD62" s="88"/>
      <c r="AE62" s="35">
        <f t="shared" si="12"/>
        <v>0</v>
      </c>
      <c r="AF62" s="62">
        <f t="shared" si="13"/>
        <v>0</v>
      </c>
    </row>
    <row r="63" spans="1:32" ht="18.75" customHeight="1" x14ac:dyDescent="0.25">
      <c r="A63" s="98"/>
      <c r="B63" s="33">
        <f t="shared" si="9"/>
        <v>23</v>
      </c>
      <c r="C63" s="72">
        <f>'CIT - PAY'!C64</f>
        <v>0</v>
      </c>
      <c r="D63" s="72" t="e">
        <f>'CIT - PAY'!D64</f>
        <v>#N/A</v>
      </c>
      <c r="E63" s="306">
        <f>'CIT - PAY'!E64</f>
        <v>0</v>
      </c>
      <c r="F63" s="49">
        <f>'CIT - PAY'!L64</f>
        <v>0</v>
      </c>
      <c r="G63" s="36">
        <f>ROUND('CIT - PAY'!I64*0.09,2)</f>
        <v>0</v>
      </c>
      <c r="H63" s="88"/>
      <c r="I63" s="88"/>
      <c r="J63" s="88"/>
      <c r="K63" s="88"/>
      <c r="L63" s="88"/>
      <c r="M63" s="88"/>
      <c r="N63" s="88"/>
      <c r="O63" s="88"/>
      <c r="P63" s="88"/>
      <c r="Q63" s="88"/>
      <c r="R63" s="41">
        <f t="shared" si="10"/>
        <v>0</v>
      </c>
      <c r="S63" s="86"/>
      <c r="T63" s="87"/>
      <c r="U63" s="88"/>
      <c r="V63" s="88"/>
      <c r="W63" s="88"/>
      <c r="X63" s="38">
        <f t="shared" si="11"/>
        <v>0</v>
      </c>
      <c r="Y63" s="49">
        <f>MIN(ROUNDDOWN('CIT - PAY'!I64*0.05/2,2),2500)</f>
        <v>0</v>
      </c>
      <c r="Z63" s="86"/>
      <c r="AA63" s="87"/>
      <c r="AB63" s="88"/>
      <c r="AC63" s="88"/>
      <c r="AD63" s="88"/>
      <c r="AE63" s="35">
        <f t="shared" si="12"/>
        <v>0</v>
      </c>
      <c r="AF63" s="62">
        <f t="shared" si="13"/>
        <v>0</v>
      </c>
    </row>
    <row r="64" spans="1:32" ht="18.75" customHeight="1" x14ac:dyDescent="0.25">
      <c r="A64" s="98"/>
      <c r="B64" s="33">
        <f t="shared" si="9"/>
        <v>24</v>
      </c>
      <c r="C64" s="72">
        <f>'CIT - PAY'!C65</f>
        <v>0</v>
      </c>
      <c r="D64" s="72" t="e">
        <f>'CIT - PAY'!D65</f>
        <v>#N/A</v>
      </c>
      <c r="E64" s="306">
        <f>'CIT - PAY'!E65</f>
        <v>0</v>
      </c>
      <c r="F64" s="49">
        <f>'CIT - PAY'!L65</f>
        <v>0</v>
      </c>
      <c r="G64" s="36">
        <f>ROUND('CIT - PAY'!I65*0.09,2)</f>
        <v>0</v>
      </c>
      <c r="H64" s="88"/>
      <c r="I64" s="88"/>
      <c r="J64" s="88"/>
      <c r="K64" s="88"/>
      <c r="L64" s="88"/>
      <c r="M64" s="88"/>
      <c r="N64" s="88"/>
      <c r="O64" s="88"/>
      <c r="P64" s="88"/>
      <c r="Q64" s="88"/>
      <c r="R64" s="41">
        <f t="shared" si="10"/>
        <v>0</v>
      </c>
      <c r="S64" s="86"/>
      <c r="T64" s="87"/>
      <c r="U64" s="88"/>
      <c r="V64" s="88"/>
      <c r="W64" s="88"/>
      <c r="X64" s="38">
        <f t="shared" si="11"/>
        <v>0</v>
      </c>
      <c r="Y64" s="49">
        <f>MIN(ROUNDDOWN('CIT - PAY'!I65*0.05/2,2),2500)</f>
        <v>0</v>
      </c>
      <c r="Z64" s="86"/>
      <c r="AA64" s="87"/>
      <c r="AB64" s="88"/>
      <c r="AC64" s="88"/>
      <c r="AD64" s="88"/>
      <c r="AE64" s="35">
        <f t="shared" si="12"/>
        <v>0</v>
      </c>
      <c r="AF64" s="62">
        <f t="shared" si="13"/>
        <v>0</v>
      </c>
    </row>
    <row r="65" spans="1:32" ht="18.75" customHeight="1" x14ac:dyDescent="0.25">
      <c r="A65" s="98"/>
      <c r="B65" s="33">
        <f t="shared" si="9"/>
        <v>25</v>
      </c>
      <c r="C65" s="72">
        <f>'CIT - PAY'!C66</f>
        <v>0</v>
      </c>
      <c r="D65" s="72" t="e">
        <f>'CIT - PAY'!D66</f>
        <v>#N/A</v>
      </c>
      <c r="E65" s="306">
        <f>'CIT - PAY'!E66</f>
        <v>0</v>
      </c>
      <c r="F65" s="49">
        <f>'CIT - PAY'!L66</f>
        <v>0</v>
      </c>
      <c r="G65" s="36">
        <f>ROUND('CIT - PAY'!I66*0.09,2)</f>
        <v>0</v>
      </c>
      <c r="H65" s="88"/>
      <c r="I65" s="88"/>
      <c r="J65" s="88"/>
      <c r="K65" s="88"/>
      <c r="L65" s="88"/>
      <c r="M65" s="88"/>
      <c r="N65" s="88"/>
      <c r="O65" s="88"/>
      <c r="P65" s="88"/>
      <c r="Q65" s="88"/>
      <c r="R65" s="41">
        <f t="shared" si="10"/>
        <v>0</v>
      </c>
      <c r="S65" s="86"/>
      <c r="T65" s="87"/>
      <c r="U65" s="88"/>
      <c r="V65" s="88"/>
      <c r="W65" s="88"/>
      <c r="X65" s="38">
        <f t="shared" si="11"/>
        <v>0</v>
      </c>
      <c r="Y65" s="49">
        <f>MIN(ROUNDDOWN('CIT - PAY'!I66*0.05/2,2),2500)</f>
        <v>0</v>
      </c>
      <c r="Z65" s="86"/>
      <c r="AA65" s="87"/>
      <c r="AB65" s="88"/>
      <c r="AC65" s="88"/>
      <c r="AD65" s="88"/>
      <c r="AE65" s="35">
        <f t="shared" si="12"/>
        <v>0</v>
      </c>
      <c r="AF65" s="62">
        <f t="shared" si="13"/>
        <v>0</v>
      </c>
    </row>
    <row r="66" spans="1:32" ht="18.75" customHeight="1" x14ac:dyDescent="0.25">
      <c r="A66" s="98"/>
      <c r="B66" s="33">
        <f t="shared" si="9"/>
        <v>26</v>
      </c>
      <c r="C66" s="72">
        <f>'CIT - PAY'!C67</f>
        <v>0</v>
      </c>
      <c r="D66" s="72" t="e">
        <f>'CIT - PAY'!D67</f>
        <v>#N/A</v>
      </c>
      <c r="E66" s="306">
        <f>'CIT - PAY'!E67</f>
        <v>0</v>
      </c>
      <c r="F66" s="49">
        <f>'CIT - PAY'!L67</f>
        <v>0</v>
      </c>
      <c r="G66" s="36">
        <f>ROUND('CIT - PAY'!I67*0.09,2)</f>
        <v>0</v>
      </c>
      <c r="H66" s="88"/>
      <c r="I66" s="88"/>
      <c r="J66" s="88"/>
      <c r="K66" s="88"/>
      <c r="L66" s="88"/>
      <c r="M66" s="88"/>
      <c r="N66" s="88"/>
      <c r="O66" s="88"/>
      <c r="P66" s="88"/>
      <c r="Q66" s="88"/>
      <c r="R66" s="41">
        <f t="shared" si="10"/>
        <v>0</v>
      </c>
      <c r="S66" s="86"/>
      <c r="T66" s="87"/>
      <c r="U66" s="88"/>
      <c r="V66" s="88"/>
      <c r="W66" s="88"/>
      <c r="X66" s="38">
        <f t="shared" si="11"/>
        <v>0</v>
      </c>
      <c r="Y66" s="49">
        <f>MIN(ROUNDDOWN('CIT - PAY'!I67*0.05/2,2),2500)</f>
        <v>0</v>
      </c>
      <c r="Z66" s="86"/>
      <c r="AA66" s="87"/>
      <c r="AB66" s="88"/>
      <c r="AC66" s="88"/>
      <c r="AD66" s="88"/>
      <c r="AE66" s="35">
        <f t="shared" si="12"/>
        <v>0</v>
      </c>
      <c r="AF66" s="62">
        <f t="shared" si="13"/>
        <v>0</v>
      </c>
    </row>
    <row r="67" spans="1:32" ht="18.75" customHeight="1" x14ac:dyDescent="0.25">
      <c r="A67" s="98"/>
      <c r="B67" s="33">
        <f t="shared" si="9"/>
        <v>27</v>
      </c>
      <c r="C67" s="72">
        <f>'CIT - PAY'!C68</f>
        <v>0</v>
      </c>
      <c r="D67" s="72" t="e">
        <f>'CIT - PAY'!D68</f>
        <v>#N/A</v>
      </c>
      <c r="E67" s="306">
        <f>'CIT - PAY'!E68</f>
        <v>0</v>
      </c>
      <c r="F67" s="49">
        <f>'CIT - PAY'!L68</f>
        <v>0</v>
      </c>
      <c r="G67" s="36">
        <f>ROUND('CIT - PAY'!I68*0.09,2)</f>
        <v>0</v>
      </c>
      <c r="H67" s="88"/>
      <c r="I67" s="88"/>
      <c r="J67" s="88"/>
      <c r="K67" s="88"/>
      <c r="L67" s="88"/>
      <c r="M67" s="88"/>
      <c r="N67" s="88"/>
      <c r="O67" s="88"/>
      <c r="P67" s="88"/>
      <c r="Q67" s="88"/>
      <c r="R67" s="41">
        <f t="shared" si="10"/>
        <v>0</v>
      </c>
      <c r="S67" s="86"/>
      <c r="T67" s="87"/>
      <c r="U67" s="88"/>
      <c r="V67" s="88"/>
      <c r="W67" s="88"/>
      <c r="X67" s="38">
        <f t="shared" si="11"/>
        <v>0</v>
      </c>
      <c r="Y67" s="49">
        <f>MIN(ROUNDDOWN('CIT - PAY'!I68*0.05/2,2),2500)</f>
        <v>0</v>
      </c>
      <c r="Z67" s="86"/>
      <c r="AA67" s="87"/>
      <c r="AB67" s="88"/>
      <c r="AC67" s="88"/>
      <c r="AD67" s="88"/>
      <c r="AE67" s="35">
        <f t="shared" si="12"/>
        <v>0</v>
      </c>
      <c r="AF67" s="62">
        <f t="shared" si="13"/>
        <v>0</v>
      </c>
    </row>
    <row r="68" spans="1:32" ht="18.75" customHeight="1" x14ac:dyDescent="0.25">
      <c r="A68" s="98"/>
      <c r="B68" s="33">
        <f t="shared" si="9"/>
        <v>28</v>
      </c>
      <c r="C68" s="72">
        <f>'CIT - PAY'!C69</f>
        <v>0</v>
      </c>
      <c r="D68" s="72" t="e">
        <f>'CIT - PAY'!D69</f>
        <v>#N/A</v>
      </c>
      <c r="E68" s="306">
        <f>'CIT - PAY'!E69</f>
        <v>0</v>
      </c>
      <c r="F68" s="49">
        <f>'CIT - PAY'!L69</f>
        <v>0</v>
      </c>
      <c r="G68" s="36">
        <f>ROUND('CIT - PAY'!I69*0.09,2)</f>
        <v>0</v>
      </c>
      <c r="H68" s="88"/>
      <c r="I68" s="88"/>
      <c r="J68" s="88"/>
      <c r="K68" s="88"/>
      <c r="L68" s="88"/>
      <c r="M68" s="88"/>
      <c r="N68" s="88"/>
      <c r="O68" s="88"/>
      <c r="P68" s="88"/>
      <c r="Q68" s="88"/>
      <c r="R68" s="41">
        <f t="shared" si="10"/>
        <v>0</v>
      </c>
      <c r="S68" s="86"/>
      <c r="T68" s="87"/>
      <c r="U68" s="88"/>
      <c r="V68" s="88"/>
      <c r="W68" s="88"/>
      <c r="X68" s="38">
        <f t="shared" si="11"/>
        <v>0</v>
      </c>
      <c r="Y68" s="49">
        <f>MIN(ROUNDDOWN('CIT - PAY'!I69*0.05/2,2),2500)</f>
        <v>0</v>
      </c>
      <c r="Z68" s="86"/>
      <c r="AA68" s="87"/>
      <c r="AB68" s="88"/>
      <c r="AC68" s="88"/>
      <c r="AD68" s="88"/>
      <c r="AE68" s="35">
        <f t="shared" si="12"/>
        <v>0</v>
      </c>
      <c r="AF68" s="62">
        <f t="shared" si="13"/>
        <v>0</v>
      </c>
    </row>
    <row r="69" spans="1:32" ht="18.75" customHeight="1" x14ac:dyDescent="0.25">
      <c r="A69" s="98"/>
      <c r="B69" s="33">
        <f t="shared" si="9"/>
        <v>29</v>
      </c>
      <c r="C69" s="72">
        <f>'CIT - PAY'!C70</f>
        <v>0</v>
      </c>
      <c r="D69" s="72" t="e">
        <f>'CIT - PAY'!D70</f>
        <v>#N/A</v>
      </c>
      <c r="E69" s="306">
        <f>'CIT - PAY'!E70</f>
        <v>0</v>
      </c>
      <c r="F69" s="49">
        <f>'CIT - PAY'!L70</f>
        <v>0</v>
      </c>
      <c r="G69" s="36">
        <f>ROUND('CIT - PAY'!I70*0.09,2)</f>
        <v>0</v>
      </c>
      <c r="H69" s="88"/>
      <c r="I69" s="88"/>
      <c r="J69" s="88"/>
      <c r="K69" s="88"/>
      <c r="L69" s="88"/>
      <c r="M69" s="88"/>
      <c r="N69" s="88"/>
      <c r="O69" s="88"/>
      <c r="P69" s="88"/>
      <c r="Q69" s="88"/>
      <c r="R69" s="41">
        <f t="shared" si="10"/>
        <v>0</v>
      </c>
      <c r="S69" s="86"/>
      <c r="T69" s="87"/>
      <c r="U69" s="88"/>
      <c r="V69" s="88"/>
      <c r="W69" s="88"/>
      <c r="X69" s="38">
        <f t="shared" si="11"/>
        <v>0</v>
      </c>
      <c r="Y69" s="49">
        <f>MIN(ROUNDDOWN('CIT - PAY'!I70*0.05/2,2),2500)</f>
        <v>0</v>
      </c>
      <c r="Z69" s="86"/>
      <c r="AA69" s="87"/>
      <c r="AB69" s="88"/>
      <c r="AC69" s="88"/>
      <c r="AD69" s="88"/>
      <c r="AE69" s="35">
        <f t="shared" si="12"/>
        <v>0</v>
      </c>
      <c r="AF69" s="62">
        <f t="shared" si="13"/>
        <v>0</v>
      </c>
    </row>
    <row r="70" spans="1:32" ht="18.75" customHeight="1" x14ac:dyDescent="0.25">
      <c r="A70" s="98"/>
      <c r="B70" s="33">
        <f t="shared" si="9"/>
        <v>30</v>
      </c>
      <c r="C70" s="72">
        <f>'CIT - PAY'!C71</f>
        <v>0</v>
      </c>
      <c r="D70" s="72" t="e">
        <f>'CIT - PAY'!D71</f>
        <v>#N/A</v>
      </c>
      <c r="E70" s="306">
        <f>'CIT - PAY'!E71</f>
        <v>0</v>
      </c>
      <c r="F70" s="49">
        <f>'CIT - PAY'!L71</f>
        <v>0</v>
      </c>
      <c r="G70" s="36">
        <f>ROUND('CIT - PAY'!I71*0.09,2)</f>
        <v>0</v>
      </c>
      <c r="H70" s="88"/>
      <c r="I70" s="88"/>
      <c r="J70" s="88"/>
      <c r="K70" s="88"/>
      <c r="L70" s="88"/>
      <c r="M70" s="88"/>
      <c r="N70" s="88"/>
      <c r="O70" s="88"/>
      <c r="P70" s="88"/>
      <c r="Q70" s="88"/>
      <c r="R70" s="41">
        <f t="shared" si="10"/>
        <v>0</v>
      </c>
      <c r="S70" s="86"/>
      <c r="T70" s="87"/>
      <c r="U70" s="88"/>
      <c r="V70" s="88"/>
      <c r="W70" s="88"/>
      <c r="X70" s="38">
        <f t="shared" si="11"/>
        <v>0</v>
      </c>
      <c r="Y70" s="49">
        <f>MIN(ROUNDDOWN('CIT - PAY'!I71*0.05/2,2),2500)</f>
        <v>0</v>
      </c>
      <c r="Z70" s="86"/>
      <c r="AA70" s="87"/>
      <c r="AB70" s="88"/>
      <c r="AC70" s="88"/>
      <c r="AD70" s="88"/>
      <c r="AE70" s="35">
        <f t="shared" si="12"/>
        <v>0</v>
      </c>
      <c r="AF70" s="62">
        <f t="shared" si="13"/>
        <v>0</v>
      </c>
    </row>
    <row r="71" spans="1:32" ht="18.75" customHeight="1" x14ac:dyDescent="0.25">
      <c r="A71" s="98"/>
      <c r="B71" s="33">
        <f t="shared" si="9"/>
        <v>31</v>
      </c>
      <c r="C71" s="72">
        <f>'CIT - PAY'!C72</f>
        <v>0</v>
      </c>
      <c r="D71" s="72" t="e">
        <f>'CIT - PAY'!D72</f>
        <v>#N/A</v>
      </c>
      <c r="E71" s="306">
        <f>'CIT - PAY'!E72</f>
        <v>0</v>
      </c>
      <c r="F71" s="49">
        <f>'CIT - PAY'!L72</f>
        <v>0</v>
      </c>
      <c r="G71" s="36">
        <f>ROUND('CIT - PAY'!I72*0.09,2)</f>
        <v>0</v>
      </c>
      <c r="H71" s="88"/>
      <c r="I71" s="88"/>
      <c r="J71" s="88"/>
      <c r="K71" s="88"/>
      <c r="L71" s="88"/>
      <c r="M71" s="88"/>
      <c r="N71" s="88"/>
      <c r="O71" s="88"/>
      <c r="P71" s="88"/>
      <c r="Q71" s="88"/>
      <c r="R71" s="41">
        <f t="shared" si="10"/>
        <v>0</v>
      </c>
      <c r="S71" s="86"/>
      <c r="T71" s="87"/>
      <c r="U71" s="88"/>
      <c r="V71" s="88"/>
      <c r="W71" s="88"/>
      <c r="X71" s="38">
        <f t="shared" si="11"/>
        <v>0</v>
      </c>
      <c r="Y71" s="49">
        <f>MIN(ROUNDDOWN('CIT - PAY'!I72*0.05/2,2),2500)</f>
        <v>0</v>
      </c>
      <c r="Z71" s="86"/>
      <c r="AA71" s="87"/>
      <c r="AB71" s="88"/>
      <c r="AC71" s="88"/>
      <c r="AD71" s="88"/>
      <c r="AE71" s="35">
        <f t="shared" si="12"/>
        <v>0</v>
      </c>
      <c r="AF71" s="62">
        <f t="shared" si="13"/>
        <v>0</v>
      </c>
    </row>
    <row r="72" spans="1:32" ht="18.75" customHeight="1" x14ac:dyDescent="0.25">
      <c r="A72" s="98"/>
      <c r="B72" s="33">
        <f t="shared" si="9"/>
        <v>32</v>
      </c>
      <c r="C72" s="72">
        <f>'CIT - PAY'!C73</f>
        <v>0</v>
      </c>
      <c r="D72" s="72" t="e">
        <f>'CIT - PAY'!D73</f>
        <v>#N/A</v>
      </c>
      <c r="E72" s="306">
        <f>'CIT - PAY'!E73</f>
        <v>0</v>
      </c>
      <c r="F72" s="49">
        <f>'CIT - PAY'!L73</f>
        <v>0</v>
      </c>
      <c r="G72" s="36">
        <f>ROUND('CIT - PAY'!I73*0.09,2)</f>
        <v>0</v>
      </c>
      <c r="H72" s="88"/>
      <c r="I72" s="88"/>
      <c r="J72" s="88"/>
      <c r="K72" s="88"/>
      <c r="L72" s="88"/>
      <c r="M72" s="88"/>
      <c r="N72" s="88"/>
      <c r="O72" s="88"/>
      <c r="P72" s="88"/>
      <c r="Q72" s="88"/>
      <c r="R72" s="41">
        <f t="shared" si="10"/>
        <v>0</v>
      </c>
      <c r="S72" s="86"/>
      <c r="T72" s="87"/>
      <c r="U72" s="88"/>
      <c r="V72" s="88"/>
      <c r="W72" s="88"/>
      <c r="X72" s="38">
        <f t="shared" si="11"/>
        <v>0</v>
      </c>
      <c r="Y72" s="49">
        <f>MIN(ROUNDDOWN('CIT - PAY'!I73*0.05/2,2),2500)</f>
        <v>0</v>
      </c>
      <c r="Z72" s="86"/>
      <c r="AA72" s="87"/>
      <c r="AB72" s="88"/>
      <c r="AC72" s="88"/>
      <c r="AD72" s="88"/>
      <c r="AE72" s="35">
        <f t="shared" si="12"/>
        <v>0</v>
      </c>
      <c r="AF72" s="62">
        <f t="shared" si="13"/>
        <v>0</v>
      </c>
    </row>
    <row r="73" spans="1:32" ht="18.75" customHeight="1" x14ac:dyDescent="0.25">
      <c r="A73" s="98"/>
      <c r="B73" s="33">
        <f t="shared" si="9"/>
        <v>33</v>
      </c>
      <c r="C73" s="72">
        <f>'CIT - PAY'!C74</f>
        <v>0</v>
      </c>
      <c r="D73" s="72" t="e">
        <f>'CIT - PAY'!D74</f>
        <v>#N/A</v>
      </c>
      <c r="E73" s="306">
        <f>'CIT - PAY'!E74</f>
        <v>0</v>
      </c>
      <c r="F73" s="49">
        <f>'CIT - PAY'!L74</f>
        <v>0</v>
      </c>
      <c r="G73" s="36">
        <f>ROUND('CIT - PAY'!I74*0.09,2)</f>
        <v>0</v>
      </c>
      <c r="H73" s="88"/>
      <c r="I73" s="88"/>
      <c r="J73" s="88"/>
      <c r="K73" s="88"/>
      <c r="L73" s="88"/>
      <c r="M73" s="88"/>
      <c r="N73" s="88"/>
      <c r="O73" s="88"/>
      <c r="P73" s="88"/>
      <c r="Q73" s="88"/>
      <c r="R73" s="41">
        <f t="shared" si="10"/>
        <v>0</v>
      </c>
      <c r="S73" s="86"/>
      <c r="T73" s="87"/>
      <c r="U73" s="88"/>
      <c r="V73" s="88"/>
      <c r="W73" s="88"/>
      <c r="X73" s="38">
        <f t="shared" si="11"/>
        <v>0</v>
      </c>
      <c r="Y73" s="49">
        <f>MIN(ROUNDDOWN('CIT - PAY'!I74*0.05/2,2),2500)</f>
        <v>0</v>
      </c>
      <c r="Z73" s="86"/>
      <c r="AA73" s="87"/>
      <c r="AB73" s="88"/>
      <c r="AC73" s="88"/>
      <c r="AD73" s="88"/>
      <c r="AE73" s="35">
        <f t="shared" si="12"/>
        <v>0</v>
      </c>
      <c r="AF73" s="62">
        <f t="shared" si="13"/>
        <v>0</v>
      </c>
    </row>
    <row r="74" spans="1:32" ht="18.75" customHeight="1" x14ac:dyDescent="0.25">
      <c r="A74" s="98"/>
      <c r="B74" s="33">
        <f t="shared" si="9"/>
        <v>34</v>
      </c>
      <c r="C74" s="72">
        <f>'CIT - PAY'!C75</f>
        <v>0</v>
      </c>
      <c r="D74" s="72" t="e">
        <f>'CIT - PAY'!D75</f>
        <v>#N/A</v>
      </c>
      <c r="E74" s="306">
        <f>'CIT - PAY'!E75</f>
        <v>0</v>
      </c>
      <c r="F74" s="49">
        <f>'CIT - PAY'!L75</f>
        <v>0</v>
      </c>
      <c r="G74" s="36">
        <f>ROUND('CIT - PAY'!I75*0.09,2)</f>
        <v>0</v>
      </c>
      <c r="H74" s="88"/>
      <c r="I74" s="88"/>
      <c r="J74" s="88"/>
      <c r="K74" s="88"/>
      <c r="L74" s="88"/>
      <c r="M74" s="88"/>
      <c r="N74" s="88"/>
      <c r="O74" s="88"/>
      <c r="P74" s="88"/>
      <c r="Q74" s="88"/>
      <c r="R74" s="41">
        <f t="shared" si="10"/>
        <v>0</v>
      </c>
      <c r="S74" s="86"/>
      <c r="T74" s="87"/>
      <c r="U74" s="88"/>
      <c r="V74" s="88"/>
      <c r="W74" s="88"/>
      <c r="X74" s="38">
        <f t="shared" si="11"/>
        <v>0</v>
      </c>
      <c r="Y74" s="49">
        <f>MIN(ROUNDDOWN('CIT - PAY'!I75*0.05/2,2),2500)</f>
        <v>0</v>
      </c>
      <c r="Z74" s="86"/>
      <c r="AA74" s="87"/>
      <c r="AB74" s="88"/>
      <c r="AC74" s="88"/>
      <c r="AD74" s="88"/>
      <c r="AE74" s="35">
        <f t="shared" si="12"/>
        <v>0</v>
      </c>
      <c r="AF74" s="62">
        <f t="shared" si="13"/>
        <v>0</v>
      </c>
    </row>
    <row r="75" spans="1:32" ht="18.75" customHeight="1" x14ac:dyDescent="0.25">
      <c r="A75" s="98"/>
      <c r="B75" s="33">
        <f t="shared" si="9"/>
        <v>35</v>
      </c>
      <c r="C75" s="72">
        <f>'CIT - PAY'!C76</f>
        <v>0</v>
      </c>
      <c r="D75" s="72" t="e">
        <f>'CIT - PAY'!D76</f>
        <v>#N/A</v>
      </c>
      <c r="E75" s="306">
        <f>'CIT - PAY'!E76</f>
        <v>0</v>
      </c>
      <c r="F75" s="49">
        <f>'CIT - PAY'!L76</f>
        <v>0</v>
      </c>
      <c r="G75" s="36">
        <f>ROUND('CIT - PAY'!I76*0.09,2)</f>
        <v>0</v>
      </c>
      <c r="H75" s="88"/>
      <c r="I75" s="88"/>
      <c r="J75" s="88"/>
      <c r="K75" s="88"/>
      <c r="L75" s="88"/>
      <c r="M75" s="88"/>
      <c r="N75" s="88"/>
      <c r="O75" s="88"/>
      <c r="P75" s="88"/>
      <c r="Q75" s="88"/>
      <c r="R75" s="41">
        <f t="shared" si="10"/>
        <v>0</v>
      </c>
      <c r="S75" s="86"/>
      <c r="T75" s="87"/>
      <c r="U75" s="88"/>
      <c r="V75" s="88"/>
      <c r="W75" s="88"/>
      <c r="X75" s="38">
        <f t="shared" si="11"/>
        <v>0</v>
      </c>
      <c r="Y75" s="49">
        <f>MIN(ROUNDDOWN('CIT - PAY'!I76*0.05/2,2),2500)</f>
        <v>0</v>
      </c>
      <c r="Z75" s="86"/>
      <c r="AA75" s="87"/>
      <c r="AB75" s="88"/>
      <c r="AC75" s="88"/>
      <c r="AD75" s="88"/>
      <c r="AE75" s="35">
        <f t="shared" si="12"/>
        <v>0</v>
      </c>
      <c r="AF75" s="62">
        <f t="shared" si="13"/>
        <v>0</v>
      </c>
    </row>
    <row r="76" spans="1:32" ht="18.75" customHeight="1" x14ac:dyDescent="0.25">
      <c r="A76" s="98"/>
      <c r="B76" s="33">
        <f t="shared" si="9"/>
        <v>36</v>
      </c>
      <c r="C76" s="72">
        <f>'CIT - PAY'!C77</f>
        <v>0</v>
      </c>
      <c r="D76" s="72" t="e">
        <f>'CIT - PAY'!D77</f>
        <v>#N/A</v>
      </c>
      <c r="E76" s="306">
        <f>'CIT - PAY'!E77</f>
        <v>0</v>
      </c>
      <c r="F76" s="49">
        <f>'CIT - PAY'!L77</f>
        <v>0</v>
      </c>
      <c r="G76" s="36">
        <f>ROUND('CIT - PAY'!I77*0.09,2)</f>
        <v>0</v>
      </c>
      <c r="H76" s="88"/>
      <c r="I76" s="88"/>
      <c r="J76" s="88"/>
      <c r="K76" s="88"/>
      <c r="L76" s="88"/>
      <c r="M76" s="88"/>
      <c r="N76" s="88"/>
      <c r="O76" s="88"/>
      <c r="P76" s="88"/>
      <c r="Q76" s="88"/>
      <c r="R76" s="41">
        <f t="shared" si="10"/>
        <v>0</v>
      </c>
      <c r="S76" s="86"/>
      <c r="T76" s="87"/>
      <c r="U76" s="88"/>
      <c r="V76" s="88"/>
      <c r="W76" s="88"/>
      <c r="X76" s="38">
        <f t="shared" si="11"/>
        <v>0</v>
      </c>
      <c r="Y76" s="49">
        <f>MIN(ROUNDDOWN('CIT - PAY'!I77*0.05/2,2),2500)</f>
        <v>0</v>
      </c>
      <c r="Z76" s="86"/>
      <c r="AA76" s="87"/>
      <c r="AB76" s="88"/>
      <c r="AC76" s="88"/>
      <c r="AD76" s="88"/>
      <c r="AE76" s="35">
        <f t="shared" si="12"/>
        <v>0</v>
      </c>
      <c r="AF76" s="62">
        <f t="shared" si="13"/>
        <v>0</v>
      </c>
    </row>
    <row r="77" spans="1:32" ht="18.75" customHeight="1" x14ac:dyDescent="0.25">
      <c r="A77" s="98"/>
      <c r="B77" s="33">
        <f t="shared" si="9"/>
        <v>37</v>
      </c>
      <c r="C77" s="72">
        <f>'CIT - PAY'!C78</f>
        <v>0</v>
      </c>
      <c r="D77" s="72" t="e">
        <f>'CIT - PAY'!D78</f>
        <v>#N/A</v>
      </c>
      <c r="E77" s="306">
        <f>'CIT - PAY'!E78</f>
        <v>0</v>
      </c>
      <c r="F77" s="49">
        <f>'CIT - PAY'!L78</f>
        <v>0</v>
      </c>
      <c r="G77" s="36">
        <f>ROUND('CIT - PAY'!I78*0.09,2)</f>
        <v>0</v>
      </c>
      <c r="H77" s="88"/>
      <c r="I77" s="88"/>
      <c r="J77" s="88"/>
      <c r="K77" s="88"/>
      <c r="L77" s="88"/>
      <c r="M77" s="88"/>
      <c r="N77" s="88"/>
      <c r="O77" s="88"/>
      <c r="P77" s="88"/>
      <c r="Q77" s="88"/>
      <c r="R77" s="41">
        <f t="shared" si="10"/>
        <v>0</v>
      </c>
      <c r="S77" s="86"/>
      <c r="T77" s="87"/>
      <c r="U77" s="88"/>
      <c r="V77" s="88"/>
      <c r="W77" s="88"/>
      <c r="X77" s="38">
        <f t="shared" si="11"/>
        <v>0</v>
      </c>
      <c r="Y77" s="49">
        <f>MIN(ROUNDDOWN('CIT - PAY'!I78*0.05/2,2),2500)</f>
        <v>0</v>
      </c>
      <c r="Z77" s="86"/>
      <c r="AA77" s="87"/>
      <c r="AB77" s="88"/>
      <c r="AC77" s="88"/>
      <c r="AD77" s="88"/>
      <c r="AE77" s="35">
        <f t="shared" si="12"/>
        <v>0</v>
      </c>
      <c r="AF77" s="62">
        <f t="shared" si="13"/>
        <v>0</v>
      </c>
    </row>
    <row r="78" spans="1:32" ht="18.75" customHeight="1" x14ac:dyDescent="0.25">
      <c r="A78" s="98"/>
      <c r="B78" s="33">
        <f t="shared" si="9"/>
        <v>38</v>
      </c>
      <c r="C78" s="72">
        <f>'CIT - PAY'!C79</f>
        <v>0</v>
      </c>
      <c r="D78" s="72" t="e">
        <f>'CIT - PAY'!D79</f>
        <v>#N/A</v>
      </c>
      <c r="E78" s="306">
        <f>'CIT - PAY'!E79</f>
        <v>0</v>
      </c>
      <c r="F78" s="49">
        <f>'CIT - PAY'!L79</f>
        <v>0</v>
      </c>
      <c r="G78" s="36">
        <f>ROUND('CIT - PAY'!I79*0.09,2)</f>
        <v>0</v>
      </c>
      <c r="H78" s="88"/>
      <c r="I78" s="88"/>
      <c r="J78" s="88"/>
      <c r="K78" s="88"/>
      <c r="L78" s="88"/>
      <c r="M78" s="88"/>
      <c r="N78" s="88"/>
      <c r="O78" s="88"/>
      <c r="P78" s="88"/>
      <c r="Q78" s="88"/>
      <c r="R78" s="41">
        <f t="shared" si="10"/>
        <v>0</v>
      </c>
      <c r="S78" s="86"/>
      <c r="T78" s="87"/>
      <c r="U78" s="88"/>
      <c r="V78" s="88"/>
      <c r="W78" s="88"/>
      <c r="X78" s="38">
        <f t="shared" si="11"/>
        <v>0</v>
      </c>
      <c r="Y78" s="49">
        <f>MIN(ROUNDDOWN('CIT - PAY'!I79*0.05/2,2),2500)</f>
        <v>0</v>
      </c>
      <c r="Z78" s="86"/>
      <c r="AA78" s="87"/>
      <c r="AB78" s="88"/>
      <c r="AC78" s="88"/>
      <c r="AD78" s="88"/>
      <c r="AE78" s="35">
        <f t="shared" si="12"/>
        <v>0</v>
      </c>
      <c r="AF78" s="62">
        <f t="shared" si="13"/>
        <v>0</v>
      </c>
    </row>
    <row r="79" spans="1:32" ht="18.75" customHeight="1" x14ac:dyDescent="0.25">
      <c r="A79" s="98"/>
      <c r="B79" s="33">
        <f t="shared" si="9"/>
        <v>39</v>
      </c>
      <c r="C79" s="72">
        <f>'CIT - PAY'!C80</f>
        <v>0</v>
      </c>
      <c r="D79" s="72" t="e">
        <f>'CIT - PAY'!D80</f>
        <v>#N/A</v>
      </c>
      <c r="E79" s="306">
        <f>'CIT - PAY'!E80</f>
        <v>0</v>
      </c>
      <c r="F79" s="49">
        <f>'CIT - PAY'!L80</f>
        <v>0</v>
      </c>
      <c r="G79" s="36">
        <f>ROUND('CIT - PAY'!I80*0.09,2)</f>
        <v>0</v>
      </c>
      <c r="H79" s="88"/>
      <c r="I79" s="88"/>
      <c r="J79" s="88"/>
      <c r="K79" s="88"/>
      <c r="L79" s="88"/>
      <c r="M79" s="88"/>
      <c r="N79" s="88"/>
      <c r="O79" s="88"/>
      <c r="P79" s="88"/>
      <c r="Q79" s="88"/>
      <c r="R79" s="41">
        <f t="shared" si="10"/>
        <v>0</v>
      </c>
      <c r="S79" s="86"/>
      <c r="T79" s="87"/>
      <c r="U79" s="88"/>
      <c r="V79" s="88"/>
      <c r="W79" s="88"/>
      <c r="X79" s="38">
        <f t="shared" si="11"/>
        <v>0</v>
      </c>
      <c r="Y79" s="49">
        <f>MIN(ROUNDDOWN('CIT - PAY'!I80*0.05/2,2),2500)</f>
        <v>0</v>
      </c>
      <c r="Z79" s="86"/>
      <c r="AA79" s="87"/>
      <c r="AB79" s="88"/>
      <c r="AC79" s="88"/>
      <c r="AD79" s="88"/>
      <c r="AE79" s="35">
        <f t="shared" si="12"/>
        <v>0</v>
      </c>
      <c r="AF79" s="62">
        <f t="shared" si="13"/>
        <v>0</v>
      </c>
    </row>
    <row r="80" spans="1:32" ht="18.75" customHeight="1" x14ac:dyDescent="0.25">
      <c r="A80" s="98"/>
      <c r="B80" s="33">
        <f t="shared" si="9"/>
        <v>40</v>
      </c>
      <c r="C80" s="72">
        <f>'CIT - PAY'!C81</f>
        <v>0</v>
      </c>
      <c r="D80" s="72" t="e">
        <f>'CIT - PAY'!D81</f>
        <v>#N/A</v>
      </c>
      <c r="E80" s="306">
        <f>'CIT - PAY'!E81</f>
        <v>0</v>
      </c>
      <c r="F80" s="49">
        <f>'CIT - PAY'!L81</f>
        <v>0</v>
      </c>
      <c r="G80" s="36">
        <f>ROUND('CIT - PAY'!I81*0.09,2)</f>
        <v>0</v>
      </c>
      <c r="H80" s="88"/>
      <c r="I80" s="88"/>
      <c r="J80" s="88"/>
      <c r="K80" s="88"/>
      <c r="L80" s="88"/>
      <c r="M80" s="88"/>
      <c r="N80" s="88"/>
      <c r="O80" s="88"/>
      <c r="P80" s="88"/>
      <c r="Q80" s="88"/>
      <c r="R80" s="41">
        <f t="shared" si="10"/>
        <v>0</v>
      </c>
      <c r="S80" s="86"/>
      <c r="T80" s="87"/>
      <c r="U80" s="88"/>
      <c r="V80" s="88"/>
      <c r="W80" s="88"/>
      <c r="X80" s="38">
        <f t="shared" si="11"/>
        <v>0</v>
      </c>
      <c r="Y80" s="49">
        <f>MIN(ROUNDDOWN('CIT - PAY'!I81*0.05/2,2),2500)</f>
        <v>0</v>
      </c>
      <c r="Z80" s="86"/>
      <c r="AA80" s="87"/>
      <c r="AB80" s="88"/>
      <c r="AC80" s="88"/>
      <c r="AD80" s="88"/>
      <c r="AE80" s="35">
        <f t="shared" si="12"/>
        <v>0</v>
      </c>
      <c r="AF80" s="62">
        <f t="shared" si="13"/>
        <v>0</v>
      </c>
    </row>
    <row r="81" spans="1:32" ht="18.75" customHeight="1" x14ac:dyDescent="0.25">
      <c r="A81" s="98"/>
      <c r="B81" s="33">
        <f>+B59+1</f>
        <v>41</v>
      </c>
      <c r="C81" s="72">
        <f>'CIT - PAY'!C82</f>
        <v>0</v>
      </c>
      <c r="D81" s="72" t="e">
        <f>'CIT - PAY'!D82</f>
        <v>#N/A</v>
      </c>
      <c r="E81" s="306">
        <f>'CIT - PAY'!E82</f>
        <v>0</v>
      </c>
      <c r="F81" s="49">
        <f>'CIT - PAY'!L82</f>
        <v>0</v>
      </c>
      <c r="G81" s="36">
        <f>ROUND('CIT - PAY'!I82*0.09,2)</f>
        <v>0</v>
      </c>
      <c r="H81" s="88"/>
      <c r="I81" s="88"/>
      <c r="J81" s="88"/>
      <c r="K81" s="88"/>
      <c r="L81" s="88"/>
      <c r="M81" s="88"/>
      <c r="N81" s="88"/>
      <c r="O81" s="88"/>
      <c r="P81" s="88"/>
      <c r="Q81" s="88"/>
      <c r="R81" s="41">
        <f t="shared" si="5"/>
        <v>0</v>
      </c>
      <c r="S81" s="86"/>
      <c r="T81" s="87"/>
      <c r="U81" s="88"/>
      <c r="V81" s="88"/>
      <c r="W81" s="88"/>
      <c r="X81" s="38">
        <f t="shared" si="6"/>
        <v>0</v>
      </c>
      <c r="Y81" s="49">
        <f>MIN(ROUNDDOWN('CIT - PAY'!I82*0.05/2,2),2500)</f>
        <v>0</v>
      </c>
      <c r="Z81" s="86"/>
      <c r="AA81" s="87"/>
      <c r="AB81" s="88"/>
      <c r="AC81" s="88"/>
      <c r="AD81" s="88"/>
      <c r="AE81" s="35">
        <f t="shared" si="7"/>
        <v>0</v>
      </c>
      <c r="AF81" s="62">
        <f t="shared" si="8"/>
        <v>0</v>
      </c>
    </row>
    <row r="82" spans="1:32" ht="18.75" customHeight="1" x14ac:dyDescent="0.25">
      <c r="A82" s="98"/>
      <c r="B82" s="33"/>
      <c r="C82" s="64"/>
      <c r="D82" s="64"/>
      <c r="E82" s="63"/>
      <c r="F82" s="70"/>
      <c r="G82" s="65"/>
      <c r="H82" s="91"/>
      <c r="I82" s="91"/>
      <c r="J82" s="91"/>
      <c r="K82" s="91"/>
      <c r="L82" s="91"/>
      <c r="M82" s="91"/>
      <c r="N82" s="91"/>
      <c r="O82" s="91"/>
      <c r="P82" s="91"/>
      <c r="Q82" s="91"/>
      <c r="R82" s="71"/>
      <c r="S82" s="89"/>
      <c r="T82" s="90"/>
      <c r="U82" s="91"/>
      <c r="V82" s="91"/>
      <c r="W82" s="91"/>
      <c r="X82" s="69"/>
      <c r="Y82" s="70"/>
      <c r="Z82" s="89"/>
      <c r="AA82" s="90"/>
      <c r="AB82" s="91"/>
      <c r="AC82" s="91"/>
      <c r="AD82" s="91"/>
      <c r="AE82" s="67"/>
      <c r="AF82" s="62">
        <f>SUM(F82,R82,X82,Y82,AE82)</f>
        <v>0</v>
      </c>
    </row>
    <row r="83" spans="1:32" ht="18.75" customHeight="1" thickBot="1" x14ac:dyDescent="0.3">
      <c r="A83" s="98"/>
      <c r="B83" s="16"/>
      <c r="C83" s="16"/>
      <c r="D83" s="16"/>
      <c r="E83" s="324"/>
      <c r="F83" s="81">
        <f t="shared" ref="F83:AF83" si="14">SUM(F20:F82)</f>
        <v>0</v>
      </c>
      <c r="G83" s="73">
        <f t="shared" si="14"/>
        <v>0</v>
      </c>
      <c r="H83" s="94">
        <f t="shared" si="14"/>
        <v>0</v>
      </c>
      <c r="I83" s="94">
        <f t="shared" si="14"/>
        <v>0</v>
      </c>
      <c r="J83" s="94">
        <f t="shared" si="14"/>
        <v>0</v>
      </c>
      <c r="K83" s="94">
        <f t="shared" si="14"/>
        <v>0</v>
      </c>
      <c r="L83" s="94">
        <f t="shared" si="14"/>
        <v>0</v>
      </c>
      <c r="M83" s="94">
        <f t="shared" si="14"/>
        <v>0</v>
      </c>
      <c r="N83" s="94">
        <f t="shared" si="14"/>
        <v>0</v>
      </c>
      <c r="O83" s="94">
        <f t="shared" si="14"/>
        <v>0</v>
      </c>
      <c r="P83" s="94">
        <f t="shared" si="14"/>
        <v>0</v>
      </c>
      <c r="Q83" s="94">
        <f t="shared" si="14"/>
        <v>0</v>
      </c>
      <c r="R83" s="74">
        <f t="shared" si="14"/>
        <v>0</v>
      </c>
      <c r="S83" s="95">
        <f t="shared" si="14"/>
        <v>0</v>
      </c>
      <c r="T83" s="96">
        <f t="shared" si="14"/>
        <v>0</v>
      </c>
      <c r="U83" s="94">
        <f t="shared" si="14"/>
        <v>0</v>
      </c>
      <c r="V83" s="94">
        <f t="shared" si="14"/>
        <v>0</v>
      </c>
      <c r="W83" s="94">
        <f t="shared" si="14"/>
        <v>0</v>
      </c>
      <c r="X83" s="80">
        <f t="shared" si="14"/>
        <v>0</v>
      </c>
      <c r="Y83" s="81">
        <f t="shared" si="14"/>
        <v>0</v>
      </c>
      <c r="Z83" s="95">
        <f t="shared" si="14"/>
        <v>0</v>
      </c>
      <c r="AA83" s="96">
        <f t="shared" si="14"/>
        <v>0</v>
      </c>
      <c r="AB83" s="94">
        <f t="shared" si="14"/>
        <v>0</v>
      </c>
      <c r="AC83" s="94">
        <f t="shared" si="14"/>
        <v>0</v>
      </c>
      <c r="AD83" s="94">
        <f t="shared" si="14"/>
        <v>0</v>
      </c>
      <c r="AE83" s="80">
        <f t="shared" si="14"/>
        <v>0</v>
      </c>
      <c r="AF83" s="81">
        <f t="shared" si="14"/>
        <v>0</v>
      </c>
    </row>
    <row r="84" spans="1:32" x14ac:dyDescent="0.25">
      <c r="R84" s="75">
        <f>R83-'CIT - PAY'!M84</f>
        <v>0</v>
      </c>
      <c r="X84" s="75">
        <f>'CIT - PAY'!N84-X83</f>
        <v>0</v>
      </c>
      <c r="Y84" s="75">
        <f>'CIT - PAY'!O84-Y83</f>
        <v>0</v>
      </c>
      <c r="AE84" s="75">
        <f>AE83-'CIT - PAY'!P84</f>
        <v>0</v>
      </c>
      <c r="AF84" s="75">
        <f>AF83-'CIT - PAY'!Q84</f>
        <v>0</v>
      </c>
    </row>
    <row r="85" spans="1:32" x14ac:dyDescent="0.25">
      <c r="AF85" s="75"/>
    </row>
    <row r="86" spans="1:32" x14ac:dyDescent="0.25">
      <c r="C86" s="820" t="s">
        <v>47</v>
      </c>
      <c r="D86" s="820"/>
    </row>
    <row r="87" spans="1:32" x14ac:dyDescent="0.25">
      <c r="C87" s="827" t="s">
        <v>93</v>
      </c>
      <c r="D87" s="827"/>
    </row>
    <row r="89" spans="1:32" x14ac:dyDescent="0.25">
      <c r="C89" s="32"/>
    </row>
  </sheetData>
  <mergeCells count="48">
    <mergeCell ref="B14:Z14"/>
    <mergeCell ref="AE2:AF2"/>
    <mergeCell ref="B3:AF3"/>
    <mergeCell ref="B4:AF4"/>
    <mergeCell ref="B5:AF5"/>
    <mergeCell ref="B6:AF6"/>
    <mergeCell ref="B8:AF8"/>
    <mergeCell ref="B9:AF9"/>
    <mergeCell ref="B10:AF10"/>
    <mergeCell ref="D11:D13"/>
    <mergeCell ref="B12:C12"/>
    <mergeCell ref="AD12:AF12"/>
    <mergeCell ref="B16:B18"/>
    <mergeCell ref="C16:C18"/>
    <mergeCell ref="D16:D18"/>
    <mergeCell ref="E16:E18"/>
    <mergeCell ref="F16:F18"/>
    <mergeCell ref="S16:X16"/>
    <mergeCell ref="Y16:Y18"/>
    <mergeCell ref="Z16:AE16"/>
    <mergeCell ref="AF16:AF18"/>
    <mergeCell ref="G17:G18"/>
    <mergeCell ref="H17:H18"/>
    <mergeCell ref="I17:I18"/>
    <mergeCell ref="J17:J18"/>
    <mergeCell ref="K17:K18"/>
    <mergeCell ref="L17:L18"/>
    <mergeCell ref="G16:R16"/>
    <mergeCell ref="M17:M18"/>
    <mergeCell ref="N17:N18"/>
    <mergeCell ref="O17:O18"/>
    <mergeCell ref="P17:P18"/>
    <mergeCell ref="AD17:AD18"/>
    <mergeCell ref="AE17:AE18"/>
    <mergeCell ref="C86:D86"/>
    <mergeCell ref="C87:D87"/>
    <mergeCell ref="W17:W18"/>
    <mergeCell ref="X17:X18"/>
    <mergeCell ref="Z17:Z18"/>
    <mergeCell ref="AA17:AA18"/>
    <mergeCell ref="AB17:AB18"/>
    <mergeCell ref="AC17:AC18"/>
    <mergeCell ref="Q17:Q18"/>
    <mergeCell ref="R17:R18"/>
    <mergeCell ref="S17:S18"/>
    <mergeCell ref="T17:T18"/>
    <mergeCell ref="U17:U18"/>
    <mergeCell ref="V17:V18"/>
  </mergeCells>
  <printOptions horizontalCentered="1"/>
  <pageMargins left="0.39370078740157483" right="0.39370078740157483" top="0.39370078740157483" bottom="0.39370078740157483" header="0" footer="0.19685039370078741"/>
  <pageSetup paperSize="14" scale="41" fitToHeight="0" orientation="landscape" r:id="rId1"/>
  <headerFooter alignWithMargins="0">
    <oddHeader>&amp;R&amp;16
Sheet &amp;"Times New Roman,Bold"&amp;U&amp;P&amp;"Times New Roman,Regular"&amp;U of &amp;"Times New Roman,Bold"&amp;U&amp;N&amp;"Times New Roman,Regular"&amp;U Sheet/s</oddHead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tabColor rgb="FF0070C0"/>
  </sheetPr>
  <dimension ref="B2:N80"/>
  <sheetViews>
    <sheetView workbookViewId="0">
      <selection activeCell="C8" sqref="C8:C54"/>
    </sheetView>
  </sheetViews>
  <sheetFormatPr defaultRowHeight="15.75" x14ac:dyDescent="0.25"/>
  <cols>
    <col min="1" max="2" width="9" style="4"/>
    <col min="3" max="3" width="31.625" style="4" bestFit="1" customWidth="1"/>
    <col min="4" max="4" width="21.75" style="4" bestFit="1" customWidth="1"/>
    <col min="5" max="14" width="12.375" style="57" bestFit="1" customWidth="1"/>
    <col min="15" max="16384" width="9" style="4"/>
  </cols>
  <sheetData>
    <row r="2" spans="2:14" ht="27.75" customHeight="1" thickBot="1" x14ac:dyDescent="0.3">
      <c r="B2" s="785" t="s">
        <v>156</v>
      </c>
      <c r="C2" s="785"/>
      <c r="D2" s="785"/>
      <c r="E2" s="785"/>
      <c r="F2" s="785"/>
      <c r="G2" s="785"/>
      <c r="H2" s="785"/>
      <c r="I2" s="785"/>
      <c r="J2" s="785"/>
      <c r="K2" s="785"/>
      <c r="L2" s="785"/>
      <c r="M2" s="785"/>
      <c r="N2" s="785"/>
    </row>
    <row r="3" spans="2:14" ht="27.75" customHeight="1" thickBot="1" x14ac:dyDescent="0.3">
      <c r="B3" s="938" t="s">
        <v>117</v>
      </c>
      <c r="C3" s="938"/>
      <c r="D3" s="938"/>
      <c r="E3" s="938"/>
      <c r="F3" s="938"/>
      <c r="G3" s="938"/>
      <c r="H3" s="938"/>
      <c r="I3" s="938"/>
      <c r="J3" s="938"/>
      <c r="K3" s="938"/>
      <c r="L3" s="938"/>
      <c r="M3" s="938"/>
      <c r="N3" s="938"/>
    </row>
    <row r="4" spans="2:14" x14ac:dyDescent="0.25">
      <c r="B4" s="802" t="s">
        <v>6</v>
      </c>
      <c r="C4" s="806" t="s">
        <v>1</v>
      </c>
      <c r="D4" s="815" t="s">
        <v>2</v>
      </c>
      <c r="E4" s="780" t="s">
        <v>14</v>
      </c>
      <c r="F4" s="780" t="s">
        <v>54</v>
      </c>
      <c r="G4" s="802" t="s">
        <v>157</v>
      </c>
      <c r="H4" s="809" t="s">
        <v>153</v>
      </c>
      <c r="I4" s="810"/>
      <c r="J4" s="810"/>
      <c r="K4" s="810"/>
      <c r="L4" s="810"/>
      <c r="M4" s="810"/>
      <c r="N4" s="811"/>
    </row>
    <row r="5" spans="2:14" ht="16.5" thickBot="1" x14ac:dyDescent="0.3">
      <c r="B5" s="803"/>
      <c r="C5" s="807"/>
      <c r="D5" s="816"/>
      <c r="E5" s="781"/>
      <c r="F5" s="781"/>
      <c r="G5" s="803"/>
      <c r="H5" s="812"/>
      <c r="I5" s="813"/>
      <c r="J5" s="813"/>
      <c r="K5" s="813"/>
      <c r="L5" s="813"/>
      <c r="M5" s="813"/>
      <c r="N5" s="814"/>
    </row>
    <row r="6" spans="2:14" ht="16.5" thickBot="1" x14ac:dyDescent="0.3">
      <c r="B6" s="803"/>
      <c r="C6" s="807"/>
      <c r="D6" s="816"/>
      <c r="E6" s="781"/>
      <c r="F6" s="781"/>
      <c r="G6" s="804"/>
      <c r="H6" s="323" t="s">
        <v>150</v>
      </c>
      <c r="I6" s="319" t="s">
        <v>154</v>
      </c>
      <c r="J6" s="323" t="s">
        <v>151</v>
      </c>
      <c r="K6" s="319" t="s">
        <v>154</v>
      </c>
      <c r="L6" s="323" t="s">
        <v>152</v>
      </c>
      <c r="M6" s="319" t="s">
        <v>154</v>
      </c>
      <c r="N6" s="319" t="s">
        <v>155</v>
      </c>
    </row>
    <row r="7" spans="2:14" x14ac:dyDescent="0.25">
      <c r="B7" s="42"/>
      <c r="C7" s="320"/>
      <c r="D7" s="321"/>
      <c r="E7" s="322"/>
      <c r="F7" s="322"/>
      <c r="G7" s="55"/>
      <c r="H7" s="322"/>
      <c r="I7" s="55"/>
      <c r="J7" s="322"/>
      <c r="K7" s="55"/>
      <c r="L7" s="322"/>
      <c r="M7" s="55"/>
      <c r="N7" s="55"/>
    </row>
    <row r="8" spans="2:14" x14ac:dyDescent="0.25">
      <c r="B8" s="34">
        <v>1</v>
      </c>
      <c r="C8" s="184"/>
      <c r="D8" s="185"/>
      <c r="E8" s="225"/>
      <c r="F8" s="225"/>
      <c r="G8" s="188">
        <f>'CBPA - PAY'!I21/31</f>
        <v>0</v>
      </c>
      <c r="H8" s="313"/>
      <c r="I8" s="188">
        <f t="shared" ref="I8:I22" si="0">ROUND(G8*H8,2)</f>
        <v>0</v>
      </c>
      <c r="J8" s="313"/>
      <c r="K8" s="188">
        <f t="shared" ref="K8:K22" si="1">ROUND(G8/8*J8,2)</f>
        <v>0</v>
      </c>
      <c r="L8" s="313"/>
      <c r="M8" s="188">
        <f t="shared" ref="M8:M22" si="2">ROUND(G8/8/60*L8,2)</f>
        <v>0</v>
      </c>
      <c r="N8" s="188">
        <f t="shared" ref="N8:N22" si="3">I8+K8+M8</f>
        <v>0</v>
      </c>
    </row>
    <row r="9" spans="2:14" x14ac:dyDescent="0.25">
      <c r="B9" s="34">
        <f>+B8+1</f>
        <v>2</v>
      </c>
      <c r="C9" s="184"/>
      <c r="D9" s="185"/>
      <c r="E9" s="225"/>
      <c r="F9" s="225"/>
      <c r="G9" s="188">
        <f>'CBPA - PAY'!I22/31</f>
        <v>0</v>
      </c>
      <c r="H9" s="313"/>
      <c r="I9" s="188">
        <f t="shared" si="0"/>
        <v>0</v>
      </c>
      <c r="J9" s="313"/>
      <c r="K9" s="188">
        <f t="shared" si="1"/>
        <v>0</v>
      </c>
      <c r="L9" s="313"/>
      <c r="M9" s="188">
        <f t="shared" si="2"/>
        <v>0</v>
      </c>
      <c r="N9" s="188">
        <f t="shared" si="3"/>
        <v>0</v>
      </c>
    </row>
    <row r="10" spans="2:14" x14ac:dyDescent="0.25">
      <c r="B10" s="34">
        <f t="shared" ref="B10:B53" si="4">+B9+1</f>
        <v>3</v>
      </c>
      <c r="C10" s="184"/>
      <c r="D10" s="185"/>
      <c r="E10" s="225"/>
      <c r="F10" s="225"/>
      <c r="G10" s="188">
        <f>'CBPA - PAY'!I23/31</f>
        <v>0</v>
      </c>
      <c r="H10" s="313"/>
      <c r="I10" s="188">
        <f t="shared" si="0"/>
        <v>0</v>
      </c>
      <c r="J10" s="313"/>
      <c r="K10" s="188">
        <f t="shared" si="1"/>
        <v>0</v>
      </c>
      <c r="L10" s="313"/>
      <c r="M10" s="188">
        <f t="shared" si="2"/>
        <v>0</v>
      </c>
      <c r="N10" s="188">
        <f t="shared" si="3"/>
        <v>0</v>
      </c>
    </row>
    <row r="11" spans="2:14" x14ac:dyDescent="0.25">
      <c r="B11" s="34">
        <f t="shared" si="4"/>
        <v>4</v>
      </c>
      <c r="C11" s="184"/>
      <c r="D11" s="185"/>
      <c r="E11" s="225"/>
      <c r="F11" s="225"/>
      <c r="G11" s="188">
        <f>'CBPA - PAY'!I24/31</f>
        <v>0</v>
      </c>
      <c r="H11" s="313"/>
      <c r="I11" s="188">
        <f t="shared" si="0"/>
        <v>0</v>
      </c>
      <c r="J11" s="313"/>
      <c r="K11" s="188">
        <f t="shared" si="1"/>
        <v>0</v>
      </c>
      <c r="L11" s="313"/>
      <c r="M11" s="188">
        <f t="shared" si="2"/>
        <v>0</v>
      </c>
      <c r="N11" s="188">
        <f t="shared" si="3"/>
        <v>0</v>
      </c>
    </row>
    <row r="12" spans="2:14" x14ac:dyDescent="0.25">
      <c r="B12" s="34">
        <f t="shared" si="4"/>
        <v>5</v>
      </c>
      <c r="C12" s="184"/>
      <c r="D12" s="185"/>
      <c r="E12" s="225"/>
      <c r="F12" s="225"/>
      <c r="G12" s="188">
        <f>'CBPA - PAY'!I25/31</f>
        <v>0</v>
      </c>
      <c r="H12" s="313"/>
      <c r="I12" s="188">
        <f t="shared" si="0"/>
        <v>0</v>
      </c>
      <c r="J12" s="313"/>
      <c r="K12" s="188">
        <f t="shared" si="1"/>
        <v>0</v>
      </c>
      <c r="L12" s="313"/>
      <c r="M12" s="188">
        <f t="shared" si="2"/>
        <v>0</v>
      </c>
      <c r="N12" s="188">
        <f t="shared" si="3"/>
        <v>0</v>
      </c>
    </row>
    <row r="13" spans="2:14" x14ac:dyDescent="0.25">
      <c r="B13" s="34">
        <f t="shared" si="4"/>
        <v>6</v>
      </c>
      <c r="C13" s="184"/>
      <c r="D13" s="185"/>
      <c r="E13" s="225"/>
      <c r="F13" s="225"/>
      <c r="G13" s="188">
        <f>'CBPA - PAY'!I26/31</f>
        <v>0</v>
      </c>
      <c r="H13" s="313"/>
      <c r="I13" s="188">
        <f t="shared" si="0"/>
        <v>0</v>
      </c>
      <c r="J13" s="313"/>
      <c r="K13" s="188">
        <f t="shared" si="1"/>
        <v>0</v>
      </c>
      <c r="L13" s="313"/>
      <c r="M13" s="188">
        <f t="shared" si="2"/>
        <v>0</v>
      </c>
      <c r="N13" s="188">
        <f t="shared" si="3"/>
        <v>0</v>
      </c>
    </row>
    <row r="14" spans="2:14" x14ac:dyDescent="0.25">
      <c r="B14" s="34">
        <f t="shared" si="4"/>
        <v>7</v>
      </c>
      <c r="C14" s="184"/>
      <c r="D14" s="185"/>
      <c r="E14" s="225"/>
      <c r="F14" s="225"/>
      <c r="G14" s="188">
        <f>'CBPA - PAY'!I27/31</f>
        <v>0</v>
      </c>
      <c r="H14" s="313"/>
      <c r="I14" s="188">
        <f t="shared" si="0"/>
        <v>0</v>
      </c>
      <c r="J14" s="313"/>
      <c r="K14" s="188">
        <f t="shared" si="1"/>
        <v>0</v>
      </c>
      <c r="L14" s="313"/>
      <c r="M14" s="188">
        <f t="shared" si="2"/>
        <v>0</v>
      </c>
      <c r="N14" s="188">
        <f t="shared" si="3"/>
        <v>0</v>
      </c>
    </row>
    <row r="15" spans="2:14" x14ac:dyDescent="0.25">
      <c r="B15" s="34">
        <f t="shared" si="4"/>
        <v>8</v>
      </c>
      <c r="C15" s="184"/>
      <c r="D15" s="185"/>
      <c r="E15" s="225"/>
      <c r="F15" s="225"/>
      <c r="G15" s="188">
        <f>'CBPA - PAY'!I28/31</f>
        <v>0</v>
      </c>
      <c r="H15" s="313"/>
      <c r="I15" s="188">
        <f t="shared" si="0"/>
        <v>0</v>
      </c>
      <c r="J15" s="313"/>
      <c r="K15" s="188">
        <f t="shared" si="1"/>
        <v>0</v>
      </c>
      <c r="L15" s="313"/>
      <c r="M15" s="188">
        <f t="shared" si="2"/>
        <v>0</v>
      </c>
      <c r="N15" s="188">
        <f t="shared" si="3"/>
        <v>0</v>
      </c>
    </row>
    <row r="16" spans="2:14" x14ac:dyDescent="0.25">
      <c r="B16" s="34">
        <f t="shared" si="4"/>
        <v>9</v>
      </c>
      <c r="C16" s="186"/>
      <c r="D16" s="185"/>
      <c r="E16" s="331"/>
      <c r="F16" s="331"/>
      <c r="G16" s="188">
        <f>'CBPA - PAY'!I29/31</f>
        <v>0</v>
      </c>
      <c r="H16" s="314"/>
      <c r="I16" s="189">
        <f t="shared" si="0"/>
        <v>0</v>
      </c>
      <c r="J16" s="314"/>
      <c r="K16" s="189">
        <f t="shared" si="1"/>
        <v>0</v>
      </c>
      <c r="L16" s="314"/>
      <c r="M16" s="189">
        <f t="shared" si="2"/>
        <v>0</v>
      </c>
      <c r="N16" s="189">
        <f t="shared" si="3"/>
        <v>0</v>
      </c>
    </row>
    <row r="17" spans="2:14" x14ac:dyDescent="0.25">
      <c r="B17" s="34">
        <f t="shared" si="4"/>
        <v>10</v>
      </c>
      <c r="C17" s="186"/>
      <c r="D17" s="185"/>
      <c r="E17" s="331"/>
      <c r="F17" s="331"/>
      <c r="G17" s="188">
        <f>'CBPA - PAY'!I30/31</f>
        <v>0</v>
      </c>
      <c r="H17" s="314"/>
      <c r="I17" s="189">
        <f t="shared" si="0"/>
        <v>0</v>
      </c>
      <c r="J17" s="314"/>
      <c r="K17" s="189">
        <f t="shared" si="1"/>
        <v>0</v>
      </c>
      <c r="L17" s="314"/>
      <c r="M17" s="189">
        <f t="shared" si="2"/>
        <v>0</v>
      </c>
      <c r="N17" s="189">
        <f t="shared" si="3"/>
        <v>0</v>
      </c>
    </row>
    <row r="18" spans="2:14" x14ac:dyDescent="0.25">
      <c r="B18" s="34">
        <f t="shared" si="4"/>
        <v>11</v>
      </c>
      <c r="C18" s="186"/>
      <c r="D18" s="185"/>
      <c r="E18" s="225"/>
      <c r="F18" s="225"/>
      <c r="G18" s="188">
        <f>'CBPA - PAY'!I31/31</f>
        <v>0</v>
      </c>
      <c r="H18" s="313"/>
      <c r="I18" s="188">
        <f t="shared" si="0"/>
        <v>0</v>
      </c>
      <c r="J18" s="313"/>
      <c r="K18" s="188">
        <f t="shared" si="1"/>
        <v>0</v>
      </c>
      <c r="L18" s="313"/>
      <c r="M18" s="188">
        <f t="shared" si="2"/>
        <v>0</v>
      </c>
      <c r="N18" s="188">
        <f t="shared" si="3"/>
        <v>0</v>
      </c>
    </row>
    <row r="19" spans="2:14" x14ac:dyDescent="0.25">
      <c r="B19" s="34">
        <f t="shared" si="4"/>
        <v>12</v>
      </c>
      <c r="C19" s="186"/>
      <c r="D19" s="185"/>
      <c r="E19" s="331"/>
      <c r="F19" s="331"/>
      <c r="G19" s="188">
        <f>'CBPA - PAY'!I32/31</f>
        <v>0</v>
      </c>
      <c r="H19" s="314"/>
      <c r="I19" s="189">
        <f t="shared" si="0"/>
        <v>0</v>
      </c>
      <c r="J19" s="314"/>
      <c r="K19" s="189">
        <f t="shared" si="1"/>
        <v>0</v>
      </c>
      <c r="L19" s="314"/>
      <c r="M19" s="189">
        <f t="shared" si="2"/>
        <v>0</v>
      </c>
      <c r="N19" s="189">
        <f t="shared" si="3"/>
        <v>0</v>
      </c>
    </row>
    <row r="20" spans="2:14" x14ac:dyDescent="0.25">
      <c r="B20" s="34">
        <f t="shared" si="4"/>
        <v>13</v>
      </c>
      <c r="C20" s="186"/>
      <c r="D20" s="185"/>
      <c r="E20" s="225"/>
      <c r="F20" s="225"/>
      <c r="G20" s="188">
        <f>'CBPA - PAY'!I33/31</f>
        <v>0</v>
      </c>
      <c r="H20" s="313"/>
      <c r="I20" s="188">
        <f t="shared" si="0"/>
        <v>0</v>
      </c>
      <c r="J20" s="313"/>
      <c r="K20" s="188">
        <f t="shared" si="1"/>
        <v>0</v>
      </c>
      <c r="L20" s="313"/>
      <c r="M20" s="188">
        <f t="shared" si="2"/>
        <v>0</v>
      </c>
      <c r="N20" s="188">
        <f t="shared" si="3"/>
        <v>0</v>
      </c>
    </row>
    <row r="21" spans="2:14" x14ac:dyDescent="0.25">
      <c r="B21" s="34">
        <f t="shared" si="4"/>
        <v>14</v>
      </c>
      <c r="C21" s="186"/>
      <c r="D21" s="305"/>
      <c r="E21" s="331"/>
      <c r="F21" s="331"/>
      <c r="G21" s="188">
        <f>'CBPA - PAY'!I34/31</f>
        <v>0</v>
      </c>
      <c r="H21" s="314"/>
      <c r="I21" s="189">
        <f t="shared" si="0"/>
        <v>0</v>
      </c>
      <c r="J21" s="314"/>
      <c r="K21" s="189">
        <f t="shared" si="1"/>
        <v>0</v>
      </c>
      <c r="L21" s="314"/>
      <c r="M21" s="189">
        <f t="shared" si="2"/>
        <v>0</v>
      </c>
      <c r="N21" s="189">
        <f t="shared" si="3"/>
        <v>0</v>
      </c>
    </row>
    <row r="22" spans="2:14" x14ac:dyDescent="0.25">
      <c r="B22" s="34">
        <f t="shared" si="4"/>
        <v>15</v>
      </c>
      <c r="C22" s="186"/>
      <c r="D22" s="305"/>
      <c r="E22" s="331"/>
      <c r="F22" s="331"/>
      <c r="G22" s="188">
        <f>'CBPA - PAY'!I35/31</f>
        <v>0</v>
      </c>
      <c r="H22" s="313"/>
      <c r="I22" s="188">
        <f t="shared" si="0"/>
        <v>0</v>
      </c>
      <c r="J22" s="313"/>
      <c r="K22" s="188">
        <f t="shared" si="1"/>
        <v>0</v>
      </c>
      <c r="L22" s="313"/>
      <c r="M22" s="188">
        <f t="shared" si="2"/>
        <v>0</v>
      </c>
      <c r="N22" s="188">
        <f t="shared" si="3"/>
        <v>0</v>
      </c>
    </row>
    <row r="23" spans="2:14" x14ac:dyDescent="0.25">
      <c r="B23" s="34">
        <f t="shared" si="4"/>
        <v>16</v>
      </c>
      <c r="C23" s="186"/>
      <c r="D23" s="305"/>
      <c r="E23" s="331"/>
      <c r="F23" s="331"/>
      <c r="G23" s="188">
        <f>'CBPA - PAY'!I36/31</f>
        <v>0</v>
      </c>
      <c r="H23" s="313"/>
      <c r="I23" s="188">
        <f t="shared" ref="I23:I78" si="5">ROUND(G23*H23,2)</f>
        <v>0</v>
      </c>
      <c r="J23" s="313"/>
      <c r="K23" s="188">
        <f t="shared" ref="K23:K78" si="6">ROUND(G23/8*J23,2)</f>
        <v>0</v>
      </c>
      <c r="L23" s="313"/>
      <c r="M23" s="188">
        <f t="shared" ref="M23:M78" si="7">ROUND(G23/8/60*L23,2)</f>
        <v>0</v>
      </c>
      <c r="N23" s="188">
        <f t="shared" ref="N23:N78" si="8">I23+K23+M23</f>
        <v>0</v>
      </c>
    </row>
    <row r="24" spans="2:14" x14ac:dyDescent="0.25">
      <c r="B24" s="34">
        <f t="shared" si="4"/>
        <v>17</v>
      </c>
      <c r="C24" s="186"/>
      <c r="D24" s="305"/>
      <c r="E24" s="331"/>
      <c r="F24" s="331"/>
      <c r="G24" s="188">
        <f>'CBPA - PAY'!I37/31</f>
        <v>0</v>
      </c>
      <c r="H24" s="313"/>
      <c r="I24" s="188">
        <f t="shared" si="5"/>
        <v>0</v>
      </c>
      <c r="J24" s="313"/>
      <c r="K24" s="188">
        <f t="shared" si="6"/>
        <v>0</v>
      </c>
      <c r="L24" s="313"/>
      <c r="M24" s="188">
        <f t="shared" si="7"/>
        <v>0</v>
      </c>
      <c r="N24" s="188">
        <f t="shared" si="8"/>
        <v>0</v>
      </c>
    </row>
    <row r="25" spans="2:14" x14ac:dyDescent="0.25">
      <c r="B25" s="34">
        <f t="shared" si="4"/>
        <v>18</v>
      </c>
      <c r="C25" s="186"/>
      <c r="D25" s="305"/>
      <c r="E25" s="331"/>
      <c r="F25" s="331"/>
      <c r="G25" s="188">
        <f>'CBPA - PAY'!I38/31</f>
        <v>0</v>
      </c>
      <c r="H25" s="313"/>
      <c r="I25" s="188">
        <f t="shared" si="5"/>
        <v>0</v>
      </c>
      <c r="J25" s="313"/>
      <c r="K25" s="188">
        <f t="shared" si="6"/>
        <v>0</v>
      </c>
      <c r="L25" s="313"/>
      <c r="M25" s="188">
        <f t="shared" si="7"/>
        <v>0</v>
      </c>
      <c r="N25" s="188">
        <f t="shared" si="8"/>
        <v>0</v>
      </c>
    </row>
    <row r="26" spans="2:14" x14ac:dyDescent="0.25">
      <c r="B26" s="34">
        <f t="shared" si="4"/>
        <v>19</v>
      </c>
      <c r="C26" s="186"/>
      <c r="D26" s="185"/>
      <c r="E26" s="225"/>
      <c r="F26" s="225"/>
      <c r="G26" s="188">
        <f>'CBPA - PAY'!I39/31</f>
        <v>0</v>
      </c>
      <c r="H26" s="313"/>
      <c r="I26" s="188">
        <f t="shared" si="5"/>
        <v>0</v>
      </c>
      <c r="J26" s="313"/>
      <c r="K26" s="188">
        <f t="shared" si="6"/>
        <v>0</v>
      </c>
      <c r="L26" s="313"/>
      <c r="M26" s="188">
        <f t="shared" si="7"/>
        <v>0</v>
      </c>
      <c r="N26" s="188">
        <f t="shared" si="8"/>
        <v>0</v>
      </c>
    </row>
    <row r="27" spans="2:14" x14ac:dyDescent="0.25">
      <c r="B27" s="34">
        <f t="shared" si="4"/>
        <v>20</v>
      </c>
      <c r="C27" s="186"/>
      <c r="D27" s="305"/>
      <c r="E27" s="331"/>
      <c r="F27" s="331"/>
      <c r="G27" s="188">
        <f>'CBPA - PAY'!I40/31</f>
        <v>0</v>
      </c>
      <c r="H27" s="313"/>
      <c r="I27" s="188">
        <f t="shared" si="5"/>
        <v>0</v>
      </c>
      <c r="J27" s="313"/>
      <c r="K27" s="188">
        <f t="shared" si="6"/>
        <v>0</v>
      </c>
      <c r="L27" s="313"/>
      <c r="M27" s="188">
        <f t="shared" si="7"/>
        <v>0</v>
      </c>
      <c r="N27" s="188">
        <f t="shared" si="8"/>
        <v>0</v>
      </c>
    </row>
    <row r="28" spans="2:14" x14ac:dyDescent="0.25">
      <c r="B28" s="34">
        <f t="shared" si="4"/>
        <v>21</v>
      </c>
      <c r="C28" s="186"/>
      <c r="D28" s="305"/>
      <c r="E28" s="331"/>
      <c r="F28" s="331"/>
      <c r="G28" s="188">
        <f>'CBPA - PAY'!I41/31</f>
        <v>0</v>
      </c>
      <c r="H28" s="313"/>
      <c r="I28" s="188">
        <f t="shared" si="5"/>
        <v>0</v>
      </c>
      <c r="J28" s="313"/>
      <c r="K28" s="188">
        <f t="shared" si="6"/>
        <v>0</v>
      </c>
      <c r="L28" s="313"/>
      <c r="M28" s="188">
        <f t="shared" si="7"/>
        <v>0</v>
      </c>
      <c r="N28" s="188">
        <f t="shared" si="8"/>
        <v>0</v>
      </c>
    </row>
    <row r="29" spans="2:14" x14ac:dyDescent="0.25">
      <c r="B29" s="34">
        <f t="shared" si="4"/>
        <v>22</v>
      </c>
      <c r="C29" s="186"/>
      <c r="D29" s="305"/>
      <c r="E29" s="331"/>
      <c r="F29" s="331"/>
      <c r="G29" s="188">
        <f>'CBPA - PAY'!I42/31</f>
        <v>0</v>
      </c>
      <c r="H29" s="313"/>
      <c r="I29" s="188">
        <f t="shared" si="5"/>
        <v>0</v>
      </c>
      <c r="J29" s="313"/>
      <c r="K29" s="188">
        <f t="shared" si="6"/>
        <v>0</v>
      </c>
      <c r="L29" s="313"/>
      <c r="M29" s="188">
        <f t="shared" si="7"/>
        <v>0</v>
      </c>
      <c r="N29" s="188">
        <f t="shared" si="8"/>
        <v>0</v>
      </c>
    </row>
    <row r="30" spans="2:14" x14ac:dyDescent="0.25">
      <c r="B30" s="34">
        <f t="shared" si="4"/>
        <v>23</v>
      </c>
      <c r="C30" s="186"/>
      <c r="D30" s="305"/>
      <c r="E30" s="331"/>
      <c r="F30" s="331"/>
      <c r="G30" s="188">
        <f>'CBPA - PAY'!I43/31</f>
        <v>0</v>
      </c>
      <c r="H30" s="313"/>
      <c r="I30" s="188">
        <f t="shared" si="5"/>
        <v>0</v>
      </c>
      <c r="J30" s="313"/>
      <c r="K30" s="188">
        <f t="shared" si="6"/>
        <v>0</v>
      </c>
      <c r="L30" s="313"/>
      <c r="M30" s="188">
        <f t="shared" si="7"/>
        <v>0</v>
      </c>
      <c r="N30" s="188">
        <f t="shared" si="8"/>
        <v>0</v>
      </c>
    </row>
    <row r="31" spans="2:14" x14ac:dyDescent="0.25">
      <c r="B31" s="34">
        <f t="shared" si="4"/>
        <v>24</v>
      </c>
      <c r="C31" s="186"/>
      <c r="D31" s="305"/>
      <c r="E31" s="331"/>
      <c r="F31" s="331"/>
      <c r="G31" s="188">
        <f>'CBPA - PAY'!I44/31</f>
        <v>0</v>
      </c>
      <c r="H31" s="314"/>
      <c r="I31" s="189">
        <f t="shared" si="5"/>
        <v>0</v>
      </c>
      <c r="J31" s="314"/>
      <c r="K31" s="189">
        <f t="shared" si="6"/>
        <v>0</v>
      </c>
      <c r="L31" s="314"/>
      <c r="M31" s="189">
        <f t="shared" si="7"/>
        <v>0</v>
      </c>
      <c r="N31" s="189">
        <f t="shared" si="8"/>
        <v>0</v>
      </c>
    </row>
    <row r="32" spans="2:14" x14ac:dyDescent="0.25">
      <c r="B32" s="34">
        <f t="shared" si="4"/>
        <v>25</v>
      </c>
      <c r="C32" s="186"/>
      <c r="D32" s="305"/>
      <c r="E32" s="331"/>
      <c r="F32" s="331"/>
      <c r="G32" s="188">
        <f>'CBPA - PAY'!I45/31</f>
        <v>0</v>
      </c>
      <c r="H32" s="314"/>
      <c r="I32" s="189">
        <f t="shared" si="5"/>
        <v>0</v>
      </c>
      <c r="J32" s="314"/>
      <c r="K32" s="189">
        <f t="shared" si="6"/>
        <v>0</v>
      </c>
      <c r="L32" s="314"/>
      <c r="M32" s="189">
        <f t="shared" si="7"/>
        <v>0</v>
      </c>
      <c r="N32" s="189">
        <f t="shared" si="8"/>
        <v>0</v>
      </c>
    </row>
    <row r="33" spans="2:14" x14ac:dyDescent="0.25">
      <c r="B33" s="34">
        <f t="shared" si="4"/>
        <v>26</v>
      </c>
      <c r="C33" s="186"/>
      <c r="D33" s="185"/>
      <c r="E33" s="331"/>
      <c r="F33" s="331"/>
      <c r="G33" s="188">
        <f>'CBPA - PAY'!I46/31</f>
        <v>0</v>
      </c>
      <c r="H33" s="313"/>
      <c r="I33" s="188">
        <f t="shared" si="5"/>
        <v>0</v>
      </c>
      <c r="J33" s="313"/>
      <c r="K33" s="188">
        <f t="shared" si="6"/>
        <v>0</v>
      </c>
      <c r="L33" s="313"/>
      <c r="M33" s="188">
        <f t="shared" si="7"/>
        <v>0</v>
      </c>
      <c r="N33" s="188">
        <f t="shared" si="8"/>
        <v>0</v>
      </c>
    </row>
    <row r="34" spans="2:14" x14ac:dyDescent="0.25">
      <c r="B34" s="34">
        <f t="shared" si="4"/>
        <v>27</v>
      </c>
      <c r="C34" s="186"/>
      <c r="D34" s="185"/>
      <c r="E34" s="225"/>
      <c r="F34" s="225"/>
      <c r="G34" s="188">
        <f>'CBPA - PAY'!I47/31</f>
        <v>0</v>
      </c>
      <c r="H34" s="314"/>
      <c r="I34" s="189">
        <f t="shared" si="5"/>
        <v>0</v>
      </c>
      <c r="J34" s="314"/>
      <c r="K34" s="189">
        <f t="shared" si="6"/>
        <v>0</v>
      </c>
      <c r="L34" s="314"/>
      <c r="M34" s="189">
        <f t="shared" si="7"/>
        <v>0</v>
      </c>
      <c r="N34" s="189">
        <f t="shared" si="8"/>
        <v>0</v>
      </c>
    </row>
    <row r="35" spans="2:14" x14ac:dyDescent="0.25">
      <c r="B35" s="34">
        <f t="shared" si="4"/>
        <v>28</v>
      </c>
      <c r="C35" s="186"/>
      <c r="D35" s="305"/>
      <c r="E35" s="331"/>
      <c r="F35" s="331"/>
      <c r="G35" s="188">
        <f>'CBPA - PAY'!I48/31</f>
        <v>0</v>
      </c>
      <c r="H35" s="313"/>
      <c r="I35" s="188">
        <f t="shared" si="5"/>
        <v>0</v>
      </c>
      <c r="J35" s="313"/>
      <c r="K35" s="188">
        <f t="shared" si="6"/>
        <v>0</v>
      </c>
      <c r="L35" s="313"/>
      <c r="M35" s="188">
        <f t="shared" si="7"/>
        <v>0</v>
      </c>
      <c r="N35" s="188">
        <f t="shared" si="8"/>
        <v>0</v>
      </c>
    </row>
    <row r="36" spans="2:14" x14ac:dyDescent="0.25">
      <c r="B36" s="34">
        <f t="shared" si="4"/>
        <v>29</v>
      </c>
      <c r="C36" s="186"/>
      <c r="D36" s="185"/>
      <c r="E36" s="225"/>
      <c r="F36" s="225"/>
      <c r="G36" s="188">
        <f>'CBPA - PAY'!I49/31</f>
        <v>0</v>
      </c>
      <c r="H36" s="314"/>
      <c r="I36" s="189">
        <f t="shared" si="5"/>
        <v>0</v>
      </c>
      <c r="J36" s="314"/>
      <c r="K36" s="189">
        <f t="shared" si="6"/>
        <v>0</v>
      </c>
      <c r="L36" s="314"/>
      <c r="M36" s="189">
        <f t="shared" si="7"/>
        <v>0</v>
      </c>
      <c r="N36" s="189">
        <f t="shared" si="8"/>
        <v>0</v>
      </c>
    </row>
    <row r="37" spans="2:14" x14ac:dyDescent="0.25">
      <c r="B37" s="34">
        <f t="shared" si="4"/>
        <v>30</v>
      </c>
      <c r="C37" s="186"/>
      <c r="D37" s="305"/>
      <c r="E37" s="331"/>
      <c r="F37" s="331"/>
      <c r="G37" s="188">
        <f>'CBPA - PAY'!I50/31</f>
        <v>0</v>
      </c>
      <c r="H37" s="313"/>
      <c r="I37" s="188">
        <f t="shared" si="5"/>
        <v>0</v>
      </c>
      <c r="J37" s="313"/>
      <c r="K37" s="188">
        <f t="shared" si="6"/>
        <v>0</v>
      </c>
      <c r="L37" s="313"/>
      <c r="M37" s="188">
        <f t="shared" si="7"/>
        <v>0</v>
      </c>
      <c r="N37" s="188">
        <f t="shared" si="8"/>
        <v>0</v>
      </c>
    </row>
    <row r="38" spans="2:14" x14ac:dyDescent="0.25">
      <c r="B38" s="34">
        <f t="shared" si="4"/>
        <v>31</v>
      </c>
      <c r="C38" s="186"/>
      <c r="D38" s="305"/>
      <c r="E38" s="331"/>
      <c r="F38" s="331"/>
      <c r="G38" s="188">
        <f>'CBPA - PAY'!I51/31</f>
        <v>0</v>
      </c>
      <c r="H38" s="313"/>
      <c r="I38" s="188">
        <f t="shared" si="5"/>
        <v>0</v>
      </c>
      <c r="J38" s="313"/>
      <c r="K38" s="188">
        <f t="shared" si="6"/>
        <v>0</v>
      </c>
      <c r="L38" s="313"/>
      <c r="M38" s="188">
        <f t="shared" si="7"/>
        <v>0</v>
      </c>
      <c r="N38" s="188">
        <f t="shared" si="8"/>
        <v>0</v>
      </c>
    </row>
    <row r="39" spans="2:14" x14ac:dyDescent="0.25">
      <c r="B39" s="34">
        <f t="shared" si="4"/>
        <v>32</v>
      </c>
      <c r="C39" s="186"/>
      <c r="D39" s="305"/>
      <c r="E39" s="331"/>
      <c r="F39" s="331"/>
      <c r="G39" s="188">
        <f>'CBPA - PAY'!I52/31</f>
        <v>0</v>
      </c>
      <c r="H39" s="313"/>
      <c r="I39" s="188">
        <f t="shared" si="5"/>
        <v>0</v>
      </c>
      <c r="J39" s="313"/>
      <c r="K39" s="188">
        <f t="shared" si="6"/>
        <v>0</v>
      </c>
      <c r="L39" s="313"/>
      <c r="M39" s="188">
        <f t="shared" si="7"/>
        <v>0</v>
      </c>
      <c r="N39" s="188">
        <f t="shared" si="8"/>
        <v>0</v>
      </c>
    </row>
    <row r="40" spans="2:14" x14ac:dyDescent="0.25">
      <c r="B40" s="34">
        <f t="shared" si="4"/>
        <v>33</v>
      </c>
      <c r="C40" s="186"/>
      <c r="D40" s="305"/>
      <c r="E40" s="331"/>
      <c r="F40" s="331"/>
      <c r="G40" s="188">
        <f>'CBPA - PAY'!I53/31</f>
        <v>0</v>
      </c>
      <c r="H40" s="313"/>
      <c r="I40" s="188">
        <f t="shared" si="5"/>
        <v>0</v>
      </c>
      <c r="J40" s="313"/>
      <c r="K40" s="188">
        <f t="shared" si="6"/>
        <v>0</v>
      </c>
      <c r="L40" s="313"/>
      <c r="M40" s="188">
        <f t="shared" si="7"/>
        <v>0</v>
      </c>
      <c r="N40" s="188">
        <f t="shared" si="8"/>
        <v>0</v>
      </c>
    </row>
    <row r="41" spans="2:14" x14ac:dyDescent="0.25">
      <c r="B41" s="34">
        <f t="shared" si="4"/>
        <v>34</v>
      </c>
      <c r="C41" s="186"/>
      <c r="D41" s="305"/>
      <c r="E41" s="331"/>
      <c r="F41" s="331"/>
      <c r="G41" s="188">
        <f>'CBPA - PAY'!I54/31</f>
        <v>0</v>
      </c>
      <c r="H41" s="313"/>
      <c r="I41" s="188">
        <f t="shared" si="5"/>
        <v>0</v>
      </c>
      <c r="J41" s="313"/>
      <c r="K41" s="188">
        <f t="shared" si="6"/>
        <v>0</v>
      </c>
      <c r="L41" s="313"/>
      <c r="M41" s="188">
        <f t="shared" si="7"/>
        <v>0</v>
      </c>
      <c r="N41" s="188">
        <f t="shared" si="8"/>
        <v>0</v>
      </c>
    </row>
    <row r="42" spans="2:14" x14ac:dyDescent="0.25">
      <c r="B42" s="34">
        <f t="shared" si="4"/>
        <v>35</v>
      </c>
      <c r="C42" s="184"/>
      <c r="D42" s="305"/>
      <c r="E42" s="225"/>
      <c r="F42" s="225"/>
      <c r="G42" s="188">
        <f>'CBPA - PAY'!I55/31</f>
        <v>0</v>
      </c>
      <c r="H42" s="313"/>
      <c r="I42" s="188">
        <f t="shared" si="5"/>
        <v>0</v>
      </c>
      <c r="J42" s="313"/>
      <c r="K42" s="188">
        <f t="shared" si="6"/>
        <v>0</v>
      </c>
      <c r="L42" s="313"/>
      <c r="M42" s="188">
        <f t="shared" si="7"/>
        <v>0</v>
      </c>
      <c r="N42" s="188">
        <f t="shared" si="8"/>
        <v>0</v>
      </c>
    </row>
    <row r="43" spans="2:14" x14ac:dyDescent="0.25">
      <c r="B43" s="34">
        <f t="shared" si="4"/>
        <v>36</v>
      </c>
      <c r="C43" s="186"/>
      <c r="D43" s="305"/>
      <c r="E43" s="331"/>
      <c r="F43" s="331"/>
      <c r="G43" s="188">
        <f>'CBPA - PAY'!I56/31</f>
        <v>0</v>
      </c>
      <c r="H43" s="313"/>
      <c r="I43" s="188">
        <f t="shared" si="5"/>
        <v>0</v>
      </c>
      <c r="J43" s="313"/>
      <c r="K43" s="188">
        <f t="shared" si="6"/>
        <v>0</v>
      </c>
      <c r="L43" s="313"/>
      <c r="M43" s="188">
        <f t="shared" si="7"/>
        <v>0</v>
      </c>
      <c r="N43" s="188">
        <f t="shared" si="8"/>
        <v>0</v>
      </c>
    </row>
    <row r="44" spans="2:14" x14ac:dyDescent="0.25">
      <c r="B44" s="34">
        <f t="shared" si="4"/>
        <v>37</v>
      </c>
      <c r="C44" s="184"/>
      <c r="D44" s="305"/>
      <c r="E44" s="225"/>
      <c r="F44" s="225"/>
      <c r="G44" s="188">
        <f>'CBPA - PAY'!I57/31</f>
        <v>0</v>
      </c>
      <c r="H44" s="313"/>
      <c r="I44" s="188">
        <f t="shared" si="5"/>
        <v>0</v>
      </c>
      <c r="J44" s="313"/>
      <c r="K44" s="188">
        <f t="shared" si="6"/>
        <v>0</v>
      </c>
      <c r="L44" s="313"/>
      <c r="M44" s="188">
        <f t="shared" si="7"/>
        <v>0</v>
      </c>
      <c r="N44" s="188">
        <f t="shared" si="8"/>
        <v>0</v>
      </c>
    </row>
    <row r="45" spans="2:14" x14ac:dyDescent="0.25">
      <c r="B45" s="34">
        <f t="shared" si="4"/>
        <v>38</v>
      </c>
      <c r="C45" s="186"/>
      <c r="D45" s="305"/>
      <c r="E45" s="331"/>
      <c r="F45" s="331"/>
      <c r="G45" s="188">
        <f>'CBPA - PAY'!I58/31</f>
        <v>0</v>
      </c>
      <c r="H45" s="313"/>
      <c r="I45" s="188">
        <f t="shared" si="5"/>
        <v>0</v>
      </c>
      <c r="J45" s="313"/>
      <c r="K45" s="188">
        <f t="shared" si="6"/>
        <v>0</v>
      </c>
      <c r="L45" s="313"/>
      <c r="M45" s="188">
        <f t="shared" si="7"/>
        <v>0</v>
      </c>
      <c r="N45" s="188">
        <f t="shared" si="8"/>
        <v>0</v>
      </c>
    </row>
    <row r="46" spans="2:14" x14ac:dyDescent="0.25">
      <c r="B46" s="34">
        <f t="shared" si="4"/>
        <v>39</v>
      </c>
      <c r="C46" s="186"/>
      <c r="D46" s="305"/>
      <c r="E46" s="331"/>
      <c r="F46" s="331"/>
      <c r="G46" s="188">
        <f>'CBPA - PAY'!I59/31</f>
        <v>0</v>
      </c>
      <c r="H46" s="314"/>
      <c r="I46" s="189">
        <f t="shared" si="5"/>
        <v>0</v>
      </c>
      <c r="J46" s="314"/>
      <c r="K46" s="189">
        <f t="shared" si="6"/>
        <v>0</v>
      </c>
      <c r="L46" s="314"/>
      <c r="M46" s="189">
        <f t="shared" si="7"/>
        <v>0</v>
      </c>
      <c r="N46" s="189">
        <f t="shared" si="8"/>
        <v>0</v>
      </c>
    </row>
    <row r="47" spans="2:14" x14ac:dyDescent="0.25">
      <c r="B47" s="34">
        <f t="shared" si="4"/>
        <v>40</v>
      </c>
      <c r="C47" s="186"/>
      <c r="D47" s="305"/>
      <c r="E47" s="331"/>
      <c r="F47" s="331"/>
      <c r="G47" s="188">
        <f>'CBPA - PAY'!I60/31</f>
        <v>0</v>
      </c>
      <c r="H47" s="314"/>
      <c r="I47" s="189">
        <f t="shared" si="5"/>
        <v>0</v>
      </c>
      <c r="J47" s="314"/>
      <c r="K47" s="189">
        <f t="shared" si="6"/>
        <v>0</v>
      </c>
      <c r="L47" s="314"/>
      <c r="M47" s="189">
        <f t="shared" si="7"/>
        <v>0</v>
      </c>
      <c r="N47" s="189">
        <f t="shared" si="8"/>
        <v>0</v>
      </c>
    </row>
    <row r="48" spans="2:14" x14ac:dyDescent="0.25">
      <c r="B48" s="34">
        <f t="shared" si="4"/>
        <v>41</v>
      </c>
      <c r="C48" s="184"/>
      <c r="D48" s="185"/>
      <c r="E48" s="225"/>
      <c r="F48" s="225"/>
      <c r="G48" s="188">
        <f>'CBPA - PAY'!I61/31</f>
        <v>0</v>
      </c>
      <c r="H48" s="313"/>
      <c r="I48" s="188">
        <f t="shared" si="5"/>
        <v>0</v>
      </c>
      <c r="J48" s="313"/>
      <c r="K48" s="188">
        <f t="shared" si="6"/>
        <v>0</v>
      </c>
      <c r="L48" s="313"/>
      <c r="M48" s="188">
        <f t="shared" si="7"/>
        <v>0</v>
      </c>
      <c r="N48" s="188">
        <f t="shared" si="8"/>
        <v>0</v>
      </c>
    </row>
    <row r="49" spans="2:14" x14ac:dyDescent="0.25">
      <c r="B49" s="34">
        <f t="shared" si="4"/>
        <v>42</v>
      </c>
      <c r="C49" s="186"/>
      <c r="D49" s="305"/>
      <c r="E49" s="331"/>
      <c r="F49" s="331"/>
      <c r="G49" s="188">
        <f>'CBPA - PAY'!I62/31</f>
        <v>0</v>
      </c>
      <c r="H49" s="314"/>
      <c r="I49" s="189">
        <f t="shared" si="5"/>
        <v>0</v>
      </c>
      <c r="J49" s="314"/>
      <c r="K49" s="189">
        <f t="shared" si="6"/>
        <v>0</v>
      </c>
      <c r="L49" s="314"/>
      <c r="M49" s="189">
        <f t="shared" si="7"/>
        <v>0</v>
      </c>
      <c r="N49" s="189">
        <f t="shared" si="8"/>
        <v>0</v>
      </c>
    </row>
    <row r="50" spans="2:14" x14ac:dyDescent="0.25">
      <c r="B50" s="34">
        <f t="shared" si="4"/>
        <v>43</v>
      </c>
      <c r="C50" s="186"/>
      <c r="D50" s="305"/>
      <c r="E50" s="331"/>
      <c r="F50" s="331"/>
      <c r="G50" s="188">
        <f>'CBPA - PAY'!I63/31</f>
        <v>0</v>
      </c>
      <c r="H50" s="313"/>
      <c r="I50" s="188">
        <f t="shared" si="5"/>
        <v>0</v>
      </c>
      <c r="J50" s="313"/>
      <c r="K50" s="188">
        <f t="shared" si="6"/>
        <v>0</v>
      </c>
      <c r="L50" s="313"/>
      <c r="M50" s="188">
        <f t="shared" si="7"/>
        <v>0</v>
      </c>
      <c r="N50" s="188">
        <f t="shared" si="8"/>
        <v>0</v>
      </c>
    </row>
    <row r="51" spans="2:14" x14ac:dyDescent="0.25">
      <c r="B51" s="34">
        <f t="shared" si="4"/>
        <v>44</v>
      </c>
      <c r="C51" s="186"/>
      <c r="D51" s="185"/>
      <c r="E51" s="225"/>
      <c r="F51" s="225"/>
      <c r="G51" s="188">
        <f>'CBPA - PAY'!I64/31</f>
        <v>0</v>
      </c>
      <c r="H51" s="314"/>
      <c r="I51" s="189">
        <f t="shared" si="5"/>
        <v>0</v>
      </c>
      <c r="J51" s="314"/>
      <c r="K51" s="189">
        <f t="shared" si="6"/>
        <v>0</v>
      </c>
      <c r="L51" s="314"/>
      <c r="M51" s="189">
        <f t="shared" si="7"/>
        <v>0</v>
      </c>
      <c r="N51" s="189">
        <f t="shared" si="8"/>
        <v>0</v>
      </c>
    </row>
    <row r="52" spans="2:14" x14ac:dyDescent="0.25">
      <c r="B52" s="34">
        <f t="shared" si="4"/>
        <v>45</v>
      </c>
      <c r="C52" s="184"/>
      <c r="D52" s="185"/>
      <c r="E52" s="225"/>
      <c r="F52" s="225"/>
      <c r="G52" s="188">
        <f>'CBPA - PAY'!I65/31</f>
        <v>0</v>
      </c>
      <c r="H52" s="313"/>
      <c r="I52" s="188">
        <f t="shared" si="5"/>
        <v>0</v>
      </c>
      <c r="J52" s="313"/>
      <c r="K52" s="188">
        <f t="shared" si="6"/>
        <v>0</v>
      </c>
      <c r="L52" s="313"/>
      <c r="M52" s="188">
        <f t="shared" si="7"/>
        <v>0</v>
      </c>
      <c r="N52" s="188">
        <f t="shared" si="8"/>
        <v>0</v>
      </c>
    </row>
    <row r="53" spans="2:14" x14ac:dyDescent="0.25">
      <c r="B53" s="34">
        <f t="shared" si="4"/>
        <v>46</v>
      </c>
      <c r="C53" s="186"/>
      <c r="D53" s="305"/>
      <c r="E53" s="331"/>
      <c r="F53" s="331"/>
      <c r="G53" s="188">
        <f>'CBPA - PAY'!I66/31</f>
        <v>0</v>
      </c>
      <c r="H53" s="313"/>
      <c r="I53" s="188">
        <f t="shared" si="5"/>
        <v>0</v>
      </c>
      <c r="J53" s="313"/>
      <c r="K53" s="188">
        <f t="shared" si="6"/>
        <v>0</v>
      </c>
      <c r="L53" s="313"/>
      <c r="M53" s="188">
        <f t="shared" si="7"/>
        <v>0</v>
      </c>
      <c r="N53" s="188">
        <f t="shared" si="8"/>
        <v>0</v>
      </c>
    </row>
    <row r="54" spans="2:14" x14ac:dyDescent="0.25">
      <c r="B54" s="34">
        <f t="shared" ref="B54:B77" si="9">+B29+1</f>
        <v>23</v>
      </c>
      <c r="C54" s="186"/>
      <c r="D54" s="185"/>
      <c r="E54" s="331"/>
      <c r="F54" s="331"/>
      <c r="G54" s="188">
        <f>'CBPA - PAY'!I43/31</f>
        <v>0</v>
      </c>
      <c r="H54" s="313"/>
      <c r="I54" s="188">
        <f t="shared" ref="I54:I77" si="10">ROUND(G54*H54,2)</f>
        <v>0</v>
      </c>
      <c r="J54" s="313"/>
      <c r="K54" s="188">
        <f t="shared" ref="K54:K77" si="11">ROUND(G54/8*J54,2)</f>
        <v>0</v>
      </c>
      <c r="L54" s="313"/>
      <c r="M54" s="188">
        <f t="shared" ref="M54:M77" si="12">ROUND(G54/8/60*L54,2)</f>
        <v>0</v>
      </c>
      <c r="N54" s="188">
        <f t="shared" ref="N54:N77" si="13">I54+K54+M54</f>
        <v>0</v>
      </c>
    </row>
    <row r="55" spans="2:14" x14ac:dyDescent="0.25">
      <c r="B55" s="34">
        <f t="shared" si="9"/>
        <v>24</v>
      </c>
      <c r="C55" s="186"/>
      <c r="D55" s="185"/>
      <c r="E55" s="331"/>
      <c r="F55" s="331"/>
      <c r="G55" s="188">
        <f>'CBPA - PAY'!I44/31</f>
        <v>0</v>
      </c>
      <c r="H55" s="313"/>
      <c r="I55" s="188">
        <f t="shared" si="10"/>
        <v>0</v>
      </c>
      <c r="J55" s="313"/>
      <c r="K55" s="188">
        <f t="shared" si="11"/>
        <v>0</v>
      </c>
      <c r="L55" s="313"/>
      <c r="M55" s="188">
        <f t="shared" si="12"/>
        <v>0</v>
      </c>
      <c r="N55" s="188">
        <f t="shared" si="13"/>
        <v>0</v>
      </c>
    </row>
    <row r="56" spans="2:14" x14ac:dyDescent="0.25">
      <c r="B56" s="34">
        <f t="shared" si="9"/>
        <v>25</v>
      </c>
      <c r="C56" s="186"/>
      <c r="D56" s="185"/>
      <c r="E56" s="331"/>
      <c r="F56" s="331"/>
      <c r="G56" s="188">
        <f>'CBPA - PAY'!I45/31</f>
        <v>0</v>
      </c>
      <c r="H56" s="313"/>
      <c r="I56" s="188">
        <f t="shared" si="10"/>
        <v>0</v>
      </c>
      <c r="J56" s="313"/>
      <c r="K56" s="188">
        <f t="shared" si="11"/>
        <v>0</v>
      </c>
      <c r="L56" s="313"/>
      <c r="M56" s="188">
        <f t="shared" si="12"/>
        <v>0</v>
      </c>
      <c r="N56" s="188">
        <f t="shared" si="13"/>
        <v>0</v>
      </c>
    </row>
    <row r="57" spans="2:14" x14ac:dyDescent="0.25">
      <c r="B57" s="34">
        <f t="shared" si="9"/>
        <v>26</v>
      </c>
      <c r="C57" s="186"/>
      <c r="D57" s="185"/>
      <c r="E57" s="331"/>
      <c r="F57" s="331"/>
      <c r="G57" s="188">
        <f>'CBPA - PAY'!I46/31</f>
        <v>0</v>
      </c>
      <c r="H57" s="313"/>
      <c r="I57" s="188">
        <f t="shared" si="10"/>
        <v>0</v>
      </c>
      <c r="J57" s="313"/>
      <c r="K57" s="188">
        <f t="shared" si="11"/>
        <v>0</v>
      </c>
      <c r="L57" s="313"/>
      <c r="M57" s="188">
        <f t="shared" si="12"/>
        <v>0</v>
      </c>
      <c r="N57" s="188">
        <f t="shared" si="13"/>
        <v>0</v>
      </c>
    </row>
    <row r="58" spans="2:14" x14ac:dyDescent="0.25">
      <c r="B58" s="34">
        <f t="shared" si="9"/>
        <v>27</v>
      </c>
      <c r="C58" s="186"/>
      <c r="D58" s="185"/>
      <c r="E58" s="331"/>
      <c r="F58" s="331"/>
      <c r="G58" s="188">
        <f>'CBPA - PAY'!I47/31</f>
        <v>0</v>
      </c>
      <c r="H58" s="313"/>
      <c r="I58" s="188">
        <f t="shared" si="10"/>
        <v>0</v>
      </c>
      <c r="J58" s="313"/>
      <c r="K58" s="188">
        <f t="shared" si="11"/>
        <v>0</v>
      </c>
      <c r="L58" s="313"/>
      <c r="M58" s="188">
        <f t="shared" si="12"/>
        <v>0</v>
      </c>
      <c r="N58" s="188">
        <f t="shared" si="13"/>
        <v>0</v>
      </c>
    </row>
    <row r="59" spans="2:14" x14ac:dyDescent="0.25">
      <c r="B59" s="34">
        <f t="shared" si="9"/>
        <v>28</v>
      </c>
      <c r="C59" s="186"/>
      <c r="D59" s="185"/>
      <c r="E59" s="331"/>
      <c r="F59" s="331"/>
      <c r="G59" s="188">
        <f>'CBPA - PAY'!I48/31</f>
        <v>0</v>
      </c>
      <c r="H59" s="313"/>
      <c r="I59" s="188">
        <f t="shared" si="10"/>
        <v>0</v>
      </c>
      <c r="J59" s="313"/>
      <c r="K59" s="188">
        <f t="shared" si="11"/>
        <v>0</v>
      </c>
      <c r="L59" s="313"/>
      <c r="M59" s="188">
        <f t="shared" si="12"/>
        <v>0</v>
      </c>
      <c r="N59" s="188">
        <f t="shared" si="13"/>
        <v>0</v>
      </c>
    </row>
    <row r="60" spans="2:14" x14ac:dyDescent="0.25">
      <c r="B60" s="34">
        <f t="shared" si="9"/>
        <v>29</v>
      </c>
      <c r="C60" s="186"/>
      <c r="D60" s="185"/>
      <c r="E60" s="331"/>
      <c r="F60" s="331"/>
      <c r="G60" s="188">
        <f>'CBPA - PAY'!I49/31</f>
        <v>0</v>
      </c>
      <c r="H60" s="313"/>
      <c r="I60" s="188">
        <f t="shared" si="10"/>
        <v>0</v>
      </c>
      <c r="J60" s="313"/>
      <c r="K60" s="188">
        <f t="shared" si="11"/>
        <v>0</v>
      </c>
      <c r="L60" s="313"/>
      <c r="M60" s="188">
        <f t="shared" si="12"/>
        <v>0</v>
      </c>
      <c r="N60" s="188">
        <f t="shared" si="13"/>
        <v>0</v>
      </c>
    </row>
    <row r="61" spans="2:14" x14ac:dyDescent="0.25">
      <c r="B61" s="34">
        <f t="shared" si="9"/>
        <v>30</v>
      </c>
      <c r="C61" s="186"/>
      <c r="D61" s="185"/>
      <c r="E61" s="331"/>
      <c r="F61" s="331"/>
      <c r="G61" s="188">
        <f>'CBPA - PAY'!I50/31</f>
        <v>0</v>
      </c>
      <c r="H61" s="313"/>
      <c r="I61" s="188">
        <f t="shared" si="10"/>
        <v>0</v>
      </c>
      <c r="J61" s="313"/>
      <c r="K61" s="188">
        <f t="shared" si="11"/>
        <v>0</v>
      </c>
      <c r="L61" s="313"/>
      <c r="M61" s="188">
        <f t="shared" si="12"/>
        <v>0</v>
      </c>
      <c r="N61" s="188">
        <f t="shared" si="13"/>
        <v>0</v>
      </c>
    </row>
    <row r="62" spans="2:14" x14ac:dyDescent="0.25">
      <c r="B62" s="34">
        <f t="shared" si="9"/>
        <v>31</v>
      </c>
      <c r="C62" s="186"/>
      <c r="D62" s="185"/>
      <c r="E62" s="331"/>
      <c r="F62" s="331"/>
      <c r="G62" s="188">
        <f>'CBPA - PAY'!I51/31</f>
        <v>0</v>
      </c>
      <c r="H62" s="313"/>
      <c r="I62" s="188">
        <f t="shared" si="10"/>
        <v>0</v>
      </c>
      <c r="J62" s="313"/>
      <c r="K62" s="188">
        <f t="shared" si="11"/>
        <v>0</v>
      </c>
      <c r="L62" s="313"/>
      <c r="M62" s="188">
        <f t="shared" si="12"/>
        <v>0</v>
      </c>
      <c r="N62" s="188">
        <f t="shared" si="13"/>
        <v>0</v>
      </c>
    </row>
    <row r="63" spans="2:14" x14ac:dyDescent="0.25">
      <c r="B63" s="34">
        <f t="shared" si="9"/>
        <v>32</v>
      </c>
      <c r="C63" s="186"/>
      <c r="D63" s="185"/>
      <c r="E63" s="331"/>
      <c r="F63" s="331"/>
      <c r="G63" s="188">
        <f>'CBPA - PAY'!I52/31</f>
        <v>0</v>
      </c>
      <c r="H63" s="313"/>
      <c r="I63" s="188">
        <f t="shared" si="10"/>
        <v>0</v>
      </c>
      <c r="J63" s="313"/>
      <c r="K63" s="188">
        <f t="shared" si="11"/>
        <v>0</v>
      </c>
      <c r="L63" s="313"/>
      <c r="M63" s="188">
        <f t="shared" si="12"/>
        <v>0</v>
      </c>
      <c r="N63" s="188">
        <f t="shared" si="13"/>
        <v>0</v>
      </c>
    </row>
    <row r="64" spans="2:14" x14ac:dyDescent="0.25">
      <c r="B64" s="34">
        <f t="shared" si="9"/>
        <v>33</v>
      </c>
      <c r="C64" s="186"/>
      <c r="D64" s="185"/>
      <c r="E64" s="331"/>
      <c r="F64" s="331"/>
      <c r="G64" s="188">
        <f>'CBPA - PAY'!I53/31</f>
        <v>0</v>
      </c>
      <c r="H64" s="313"/>
      <c r="I64" s="188">
        <f t="shared" si="10"/>
        <v>0</v>
      </c>
      <c r="J64" s="313"/>
      <c r="K64" s="188">
        <f t="shared" si="11"/>
        <v>0</v>
      </c>
      <c r="L64" s="313"/>
      <c r="M64" s="188">
        <f t="shared" si="12"/>
        <v>0</v>
      </c>
      <c r="N64" s="188">
        <f t="shared" si="13"/>
        <v>0</v>
      </c>
    </row>
    <row r="65" spans="2:14" x14ac:dyDescent="0.25">
      <c r="B65" s="34">
        <f t="shared" si="9"/>
        <v>34</v>
      </c>
      <c r="C65" s="186"/>
      <c r="D65" s="185"/>
      <c r="E65" s="331"/>
      <c r="F65" s="331"/>
      <c r="G65" s="188">
        <f>'CBPA - PAY'!I54/31</f>
        <v>0</v>
      </c>
      <c r="H65" s="313"/>
      <c r="I65" s="188">
        <f t="shared" si="10"/>
        <v>0</v>
      </c>
      <c r="J65" s="313"/>
      <c r="K65" s="188">
        <f t="shared" si="11"/>
        <v>0</v>
      </c>
      <c r="L65" s="313"/>
      <c r="M65" s="188">
        <f t="shared" si="12"/>
        <v>0</v>
      </c>
      <c r="N65" s="188">
        <f t="shared" si="13"/>
        <v>0</v>
      </c>
    </row>
    <row r="66" spans="2:14" x14ac:dyDescent="0.25">
      <c r="B66" s="34">
        <f t="shared" si="9"/>
        <v>35</v>
      </c>
      <c r="C66" s="186"/>
      <c r="D66" s="185"/>
      <c r="E66" s="331"/>
      <c r="F66" s="331"/>
      <c r="G66" s="188">
        <f>'CBPA - PAY'!I55/31</f>
        <v>0</v>
      </c>
      <c r="H66" s="313"/>
      <c r="I66" s="188">
        <f t="shared" si="10"/>
        <v>0</v>
      </c>
      <c r="J66" s="313"/>
      <c r="K66" s="188">
        <f t="shared" si="11"/>
        <v>0</v>
      </c>
      <c r="L66" s="313"/>
      <c r="M66" s="188">
        <f t="shared" si="12"/>
        <v>0</v>
      </c>
      <c r="N66" s="188">
        <f t="shared" si="13"/>
        <v>0</v>
      </c>
    </row>
    <row r="67" spans="2:14" x14ac:dyDescent="0.25">
      <c r="B67" s="34">
        <f t="shared" si="9"/>
        <v>36</v>
      </c>
      <c r="C67" s="186"/>
      <c r="D67" s="185"/>
      <c r="E67" s="331"/>
      <c r="F67" s="331"/>
      <c r="G67" s="188">
        <f>'CBPA - PAY'!I56/31</f>
        <v>0</v>
      </c>
      <c r="H67" s="313"/>
      <c r="I67" s="188">
        <f t="shared" si="10"/>
        <v>0</v>
      </c>
      <c r="J67" s="313"/>
      <c r="K67" s="188">
        <f t="shared" si="11"/>
        <v>0</v>
      </c>
      <c r="L67" s="313"/>
      <c r="M67" s="188">
        <f t="shared" si="12"/>
        <v>0</v>
      </c>
      <c r="N67" s="188">
        <f t="shared" si="13"/>
        <v>0</v>
      </c>
    </row>
    <row r="68" spans="2:14" x14ac:dyDescent="0.25">
      <c r="B68" s="34">
        <f t="shared" si="9"/>
        <v>37</v>
      </c>
      <c r="C68" s="186"/>
      <c r="D68" s="185"/>
      <c r="E68" s="331"/>
      <c r="F68" s="331"/>
      <c r="G68" s="188">
        <f>'CBPA - PAY'!I57/31</f>
        <v>0</v>
      </c>
      <c r="H68" s="313"/>
      <c r="I68" s="188">
        <f t="shared" si="10"/>
        <v>0</v>
      </c>
      <c r="J68" s="313"/>
      <c r="K68" s="188">
        <f t="shared" si="11"/>
        <v>0</v>
      </c>
      <c r="L68" s="313"/>
      <c r="M68" s="188">
        <f t="shared" si="12"/>
        <v>0</v>
      </c>
      <c r="N68" s="188">
        <f t="shared" si="13"/>
        <v>0</v>
      </c>
    </row>
    <row r="69" spans="2:14" x14ac:dyDescent="0.25">
      <c r="B69" s="34">
        <f t="shared" si="9"/>
        <v>38</v>
      </c>
      <c r="C69" s="186"/>
      <c r="D69" s="185"/>
      <c r="E69" s="331"/>
      <c r="F69" s="331"/>
      <c r="G69" s="188">
        <f>'CBPA - PAY'!I58/31</f>
        <v>0</v>
      </c>
      <c r="H69" s="313"/>
      <c r="I69" s="188">
        <f t="shared" si="10"/>
        <v>0</v>
      </c>
      <c r="J69" s="313"/>
      <c r="K69" s="188">
        <f t="shared" si="11"/>
        <v>0</v>
      </c>
      <c r="L69" s="313"/>
      <c r="M69" s="188">
        <f t="shared" si="12"/>
        <v>0</v>
      </c>
      <c r="N69" s="188">
        <f t="shared" si="13"/>
        <v>0</v>
      </c>
    </row>
    <row r="70" spans="2:14" x14ac:dyDescent="0.25">
      <c r="B70" s="34">
        <f t="shared" si="9"/>
        <v>39</v>
      </c>
      <c r="C70" s="186"/>
      <c r="D70" s="185"/>
      <c r="E70" s="331"/>
      <c r="F70" s="331"/>
      <c r="G70" s="188">
        <f>'CBPA - PAY'!I59/31</f>
        <v>0</v>
      </c>
      <c r="H70" s="313"/>
      <c r="I70" s="188">
        <f t="shared" si="10"/>
        <v>0</v>
      </c>
      <c r="J70" s="313"/>
      <c r="K70" s="188">
        <f t="shared" si="11"/>
        <v>0</v>
      </c>
      <c r="L70" s="313"/>
      <c r="M70" s="188">
        <f t="shared" si="12"/>
        <v>0</v>
      </c>
      <c r="N70" s="188">
        <f t="shared" si="13"/>
        <v>0</v>
      </c>
    </row>
    <row r="71" spans="2:14" x14ac:dyDescent="0.25">
      <c r="B71" s="34">
        <f t="shared" si="9"/>
        <v>40</v>
      </c>
      <c r="C71" s="186"/>
      <c r="D71" s="185"/>
      <c r="E71" s="331"/>
      <c r="F71" s="331"/>
      <c r="G71" s="188">
        <f>'CBPA - PAY'!I60/31</f>
        <v>0</v>
      </c>
      <c r="H71" s="313"/>
      <c r="I71" s="188">
        <f t="shared" si="10"/>
        <v>0</v>
      </c>
      <c r="J71" s="313"/>
      <c r="K71" s="188">
        <f t="shared" si="11"/>
        <v>0</v>
      </c>
      <c r="L71" s="313"/>
      <c r="M71" s="188">
        <f t="shared" si="12"/>
        <v>0</v>
      </c>
      <c r="N71" s="188">
        <f t="shared" si="13"/>
        <v>0</v>
      </c>
    </row>
    <row r="72" spans="2:14" x14ac:dyDescent="0.25">
      <c r="B72" s="34">
        <f t="shared" si="9"/>
        <v>41</v>
      </c>
      <c r="C72" s="186"/>
      <c r="D72" s="185"/>
      <c r="E72" s="331"/>
      <c r="F72" s="331"/>
      <c r="G72" s="188">
        <f>'CBPA - PAY'!I61/31</f>
        <v>0</v>
      </c>
      <c r="H72" s="313"/>
      <c r="I72" s="188">
        <f t="shared" si="10"/>
        <v>0</v>
      </c>
      <c r="J72" s="313"/>
      <c r="K72" s="188">
        <f t="shared" si="11"/>
        <v>0</v>
      </c>
      <c r="L72" s="313"/>
      <c r="M72" s="188">
        <f t="shared" si="12"/>
        <v>0</v>
      </c>
      <c r="N72" s="188">
        <f t="shared" si="13"/>
        <v>0</v>
      </c>
    </row>
    <row r="73" spans="2:14" x14ac:dyDescent="0.25">
      <c r="B73" s="34">
        <f t="shared" si="9"/>
        <v>42</v>
      </c>
      <c r="C73" s="186"/>
      <c r="D73" s="185"/>
      <c r="E73" s="331"/>
      <c r="F73" s="331"/>
      <c r="G73" s="188">
        <f>'CBPA - PAY'!I62/31</f>
        <v>0</v>
      </c>
      <c r="H73" s="313"/>
      <c r="I73" s="188">
        <f t="shared" si="10"/>
        <v>0</v>
      </c>
      <c r="J73" s="313"/>
      <c r="K73" s="188">
        <f t="shared" si="11"/>
        <v>0</v>
      </c>
      <c r="L73" s="313"/>
      <c r="M73" s="188">
        <f t="shared" si="12"/>
        <v>0</v>
      </c>
      <c r="N73" s="188">
        <f t="shared" si="13"/>
        <v>0</v>
      </c>
    </row>
    <row r="74" spans="2:14" x14ac:dyDescent="0.25">
      <c r="B74" s="34">
        <f t="shared" si="9"/>
        <v>43</v>
      </c>
      <c r="C74" s="186"/>
      <c r="D74" s="185"/>
      <c r="E74" s="331"/>
      <c r="F74" s="331"/>
      <c r="G74" s="188">
        <f>'CBPA - PAY'!I63/31</f>
        <v>0</v>
      </c>
      <c r="H74" s="313"/>
      <c r="I74" s="188">
        <f t="shared" si="10"/>
        <v>0</v>
      </c>
      <c r="J74" s="313"/>
      <c r="K74" s="188">
        <f t="shared" si="11"/>
        <v>0</v>
      </c>
      <c r="L74" s="313"/>
      <c r="M74" s="188">
        <f t="shared" si="12"/>
        <v>0</v>
      </c>
      <c r="N74" s="188">
        <f t="shared" si="13"/>
        <v>0</v>
      </c>
    </row>
    <row r="75" spans="2:14" x14ac:dyDescent="0.25">
      <c r="B75" s="34">
        <f t="shared" si="9"/>
        <v>44</v>
      </c>
      <c r="C75" s="186"/>
      <c r="D75" s="185"/>
      <c r="E75" s="331"/>
      <c r="F75" s="331"/>
      <c r="G75" s="188">
        <f>'CBPA - PAY'!I64/31</f>
        <v>0</v>
      </c>
      <c r="H75" s="313"/>
      <c r="I75" s="188">
        <f t="shared" si="10"/>
        <v>0</v>
      </c>
      <c r="J75" s="313"/>
      <c r="K75" s="188">
        <f t="shared" si="11"/>
        <v>0</v>
      </c>
      <c r="L75" s="313"/>
      <c r="M75" s="188">
        <f t="shared" si="12"/>
        <v>0</v>
      </c>
      <c r="N75" s="188">
        <f t="shared" si="13"/>
        <v>0</v>
      </c>
    </row>
    <row r="76" spans="2:14" x14ac:dyDescent="0.25">
      <c r="B76" s="34">
        <f t="shared" si="9"/>
        <v>45</v>
      </c>
      <c r="C76" s="186"/>
      <c r="D76" s="185"/>
      <c r="E76" s="331"/>
      <c r="F76" s="331"/>
      <c r="G76" s="188">
        <f>'CBPA - PAY'!I65/31</f>
        <v>0</v>
      </c>
      <c r="H76" s="313"/>
      <c r="I76" s="188">
        <f t="shared" si="10"/>
        <v>0</v>
      </c>
      <c r="J76" s="313"/>
      <c r="K76" s="188">
        <f t="shared" si="11"/>
        <v>0</v>
      </c>
      <c r="L76" s="313"/>
      <c r="M76" s="188">
        <f t="shared" si="12"/>
        <v>0</v>
      </c>
      <c r="N76" s="188">
        <f t="shared" si="13"/>
        <v>0</v>
      </c>
    </row>
    <row r="77" spans="2:14" x14ac:dyDescent="0.25">
      <c r="B77" s="34">
        <f t="shared" si="9"/>
        <v>46</v>
      </c>
      <c r="C77" s="186"/>
      <c r="D77" s="185"/>
      <c r="E77" s="331"/>
      <c r="F77" s="331"/>
      <c r="G77" s="188">
        <f>'CBPA - PAY'!I66/31</f>
        <v>0</v>
      </c>
      <c r="H77" s="313"/>
      <c r="I77" s="188">
        <f t="shared" si="10"/>
        <v>0</v>
      </c>
      <c r="J77" s="313"/>
      <c r="K77" s="188">
        <f t="shared" si="11"/>
        <v>0</v>
      </c>
      <c r="L77" s="313"/>
      <c r="M77" s="188">
        <f t="shared" si="12"/>
        <v>0</v>
      </c>
      <c r="N77" s="188">
        <f t="shared" si="13"/>
        <v>0</v>
      </c>
    </row>
    <row r="78" spans="2:14" x14ac:dyDescent="0.25">
      <c r="B78" s="34">
        <f>+B53+1</f>
        <v>47</v>
      </c>
      <c r="C78" s="186"/>
      <c r="D78" s="185"/>
      <c r="E78" s="331"/>
      <c r="F78" s="331"/>
      <c r="G78" s="188">
        <f>'CBPA - PAY'!I91/31</f>
        <v>0</v>
      </c>
      <c r="H78" s="313"/>
      <c r="I78" s="188">
        <f t="shared" si="5"/>
        <v>0</v>
      </c>
      <c r="J78" s="313"/>
      <c r="K78" s="188">
        <f t="shared" si="6"/>
        <v>0</v>
      </c>
      <c r="L78" s="313"/>
      <c r="M78" s="188">
        <f t="shared" si="7"/>
        <v>0</v>
      </c>
      <c r="N78" s="188">
        <f t="shared" si="8"/>
        <v>0</v>
      </c>
    </row>
    <row r="79" spans="2:14" ht="16.5" thickBot="1" x14ac:dyDescent="0.3">
      <c r="B79" s="180"/>
      <c r="C79" s="181"/>
      <c r="D79" s="29"/>
      <c r="E79" s="329"/>
      <c r="F79" s="327">
        <f>SUM(F8:F78)</f>
        <v>0</v>
      </c>
      <c r="G79" s="327"/>
      <c r="H79" s="327"/>
      <c r="I79" s="327">
        <f>SUM(I8:I78)</f>
        <v>0</v>
      </c>
      <c r="J79" s="327"/>
      <c r="K79" s="327">
        <f>SUM(K8:K78)</f>
        <v>0</v>
      </c>
      <c r="L79" s="327"/>
      <c r="M79" s="327">
        <f>SUM(M8:M78)</f>
        <v>0</v>
      </c>
      <c r="N79" s="327">
        <f>SUM(N8:N78)</f>
        <v>0</v>
      </c>
    </row>
    <row r="80" spans="2:14" x14ac:dyDescent="0.25">
      <c r="E80" s="205"/>
      <c r="F80" s="205">
        <f>F79-'CBPA - PAY'!L93</f>
        <v>0</v>
      </c>
      <c r="G80" s="205"/>
      <c r="H80" s="205"/>
      <c r="I80" s="205"/>
      <c r="J80" s="205"/>
      <c r="K80" s="205"/>
      <c r="L80" s="205"/>
      <c r="M80" s="205"/>
      <c r="N80" s="205">
        <f>N79-'CBPA - PAY'!J93</f>
        <v>0</v>
      </c>
    </row>
  </sheetData>
  <mergeCells count="9">
    <mergeCell ref="B2:N2"/>
    <mergeCell ref="B3:N3"/>
    <mergeCell ref="H4:N5"/>
    <mergeCell ref="G4:G6"/>
    <mergeCell ref="B4:B6"/>
    <mergeCell ref="C4:C6"/>
    <mergeCell ref="D4:D6"/>
    <mergeCell ref="F4:F6"/>
    <mergeCell ref="E4:E6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tabColor rgb="FF0070C0"/>
    <pageSetUpPr fitToPage="1"/>
  </sheetPr>
  <dimension ref="A1:Z112"/>
  <sheetViews>
    <sheetView showWhiteSpace="0" topLeftCell="A5" zoomScaleNormal="100" zoomScaleSheetLayoutView="100" workbookViewId="0">
      <selection activeCell="A63" sqref="A63:XFD63"/>
    </sheetView>
  </sheetViews>
  <sheetFormatPr defaultRowHeight="30.75" x14ac:dyDescent="0.25"/>
  <cols>
    <col min="1" max="1" width="9.375" style="31" customWidth="1"/>
    <col min="2" max="2" width="6.75" style="4" customWidth="1"/>
    <col min="3" max="3" width="24.625" style="4" customWidth="1"/>
    <col min="4" max="4" width="12.875" style="4" customWidth="1"/>
    <col min="5" max="5" width="9.625" style="57" customWidth="1"/>
    <col min="6" max="6" width="13.375" style="4" customWidth="1"/>
    <col min="7" max="7" width="8.5" style="4" customWidth="1"/>
    <col min="8" max="8" width="9.75" style="4" customWidth="1"/>
    <col min="9" max="9" width="13.125" style="4" customWidth="1"/>
    <col min="10" max="10" width="11.125" style="4" customWidth="1"/>
    <col min="11" max="11" width="14" style="4" customWidth="1"/>
    <col min="12" max="13" width="11.5" style="4" customWidth="1"/>
    <col min="14" max="14" width="10.375" style="4" customWidth="1"/>
    <col min="15" max="15" width="11" style="4" bestFit="1" customWidth="1"/>
    <col min="16" max="16" width="11.875" style="4" customWidth="1"/>
    <col min="17" max="17" width="15.125" style="4" bestFit="1" customWidth="1"/>
    <col min="18" max="18" width="13.125" style="4" customWidth="1"/>
    <col min="19" max="19" width="12.75" style="4" customWidth="1"/>
    <col min="20" max="20" width="12.125" style="4" bestFit="1" customWidth="1"/>
    <col min="21" max="21" width="3.75" style="57" customWidth="1"/>
    <col min="22" max="22" width="14.25" style="4" customWidth="1"/>
    <col min="23" max="23" width="10.625" style="4" customWidth="1"/>
    <col min="24" max="24" width="11.625" style="4" bestFit="1" customWidth="1"/>
    <col min="25" max="25" width="11" style="4" bestFit="1" customWidth="1"/>
    <col min="26" max="26" width="5.625" style="4" customWidth="1"/>
    <col min="27" max="16384" width="9" style="4"/>
  </cols>
  <sheetData>
    <row r="1" spans="1:25" ht="23.25" customHeight="1" x14ac:dyDescent="0.25">
      <c r="A1" s="98">
        <v>94</v>
      </c>
      <c r="Q1" s="5"/>
      <c r="R1" s="5"/>
      <c r="S1" s="5"/>
      <c r="T1" s="5"/>
      <c r="U1" s="52"/>
      <c r="V1" s="3"/>
      <c r="W1" s="3"/>
    </row>
    <row r="2" spans="1:25" ht="23.25" x14ac:dyDescent="0.25">
      <c r="A2" s="98"/>
      <c r="Q2" s="5"/>
      <c r="R2" s="5"/>
      <c r="S2" s="5"/>
      <c r="T2" s="5"/>
      <c r="U2" s="53"/>
      <c r="V2" s="2"/>
      <c r="W2" s="2"/>
      <c r="X2" s="864" t="s">
        <v>40</v>
      </c>
      <c r="Y2" s="864"/>
    </row>
    <row r="3" spans="1:25" ht="15.75" customHeight="1" x14ac:dyDescent="0.25">
      <c r="A3" s="98"/>
      <c r="B3" s="877" t="s">
        <v>42</v>
      </c>
      <c r="C3" s="877"/>
      <c r="D3" s="877"/>
      <c r="E3" s="877"/>
      <c r="F3" s="877"/>
      <c r="G3" s="877"/>
      <c r="H3" s="877"/>
      <c r="I3" s="877"/>
      <c r="J3" s="877"/>
      <c r="K3" s="877"/>
      <c r="L3" s="877"/>
      <c r="M3" s="877"/>
      <c r="N3" s="877"/>
      <c r="O3" s="877"/>
      <c r="P3" s="877"/>
      <c r="Q3" s="877"/>
      <c r="R3" s="877"/>
      <c r="S3" s="877"/>
      <c r="T3" s="877"/>
      <c r="U3" s="877"/>
      <c r="V3" s="877"/>
      <c r="W3" s="877"/>
      <c r="X3" s="877"/>
      <c r="Y3" s="877"/>
    </row>
    <row r="4" spans="1:25" ht="15.75" customHeight="1" x14ac:dyDescent="0.25">
      <c r="A4" s="98"/>
      <c r="B4" s="878" t="s">
        <v>43</v>
      </c>
      <c r="C4" s="878"/>
      <c r="D4" s="878"/>
      <c r="E4" s="878"/>
      <c r="F4" s="878"/>
      <c r="G4" s="878"/>
      <c r="H4" s="878"/>
      <c r="I4" s="878"/>
      <c r="J4" s="878"/>
      <c r="K4" s="878"/>
      <c r="L4" s="878"/>
      <c r="M4" s="878"/>
      <c r="N4" s="878"/>
      <c r="O4" s="878"/>
      <c r="P4" s="878"/>
      <c r="Q4" s="878"/>
      <c r="R4" s="878"/>
      <c r="S4" s="878"/>
      <c r="T4" s="878"/>
      <c r="U4" s="878"/>
      <c r="V4" s="878"/>
      <c r="W4" s="878"/>
      <c r="X4" s="878"/>
      <c r="Y4" s="878"/>
    </row>
    <row r="5" spans="1:25" ht="15.75" customHeight="1" x14ac:dyDescent="0.25">
      <c r="A5" s="98"/>
      <c r="B5" s="878" t="s">
        <v>44</v>
      </c>
      <c r="C5" s="878"/>
      <c r="D5" s="878"/>
      <c r="E5" s="878"/>
      <c r="F5" s="878"/>
      <c r="G5" s="878"/>
      <c r="H5" s="878"/>
      <c r="I5" s="878"/>
      <c r="J5" s="878"/>
      <c r="K5" s="878"/>
      <c r="L5" s="878"/>
      <c r="M5" s="878"/>
      <c r="N5" s="878"/>
      <c r="O5" s="878"/>
      <c r="P5" s="878"/>
      <c r="Q5" s="878"/>
      <c r="R5" s="878"/>
      <c r="S5" s="878"/>
      <c r="T5" s="878"/>
      <c r="U5" s="878"/>
      <c r="V5" s="878"/>
      <c r="W5" s="878"/>
      <c r="X5" s="878"/>
      <c r="Y5" s="878"/>
    </row>
    <row r="6" spans="1:25" ht="15.75" customHeight="1" x14ac:dyDescent="0.25">
      <c r="A6" s="98"/>
      <c r="B6" s="877" t="s">
        <v>45</v>
      </c>
      <c r="C6" s="877"/>
      <c r="D6" s="877"/>
      <c r="E6" s="877"/>
      <c r="F6" s="877"/>
      <c r="G6" s="877"/>
      <c r="H6" s="877"/>
      <c r="I6" s="877"/>
      <c r="J6" s="877"/>
      <c r="K6" s="877"/>
      <c r="L6" s="877"/>
      <c r="M6" s="877"/>
      <c r="N6" s="877"/>
      <c r="O6" s="877"/>
      <c r="P6" s="877"/>
      <c r="Q6" s="877"/>
      <c r="R6" s="877"/>
      <c r="S6" s="877"/>
      <c r="T6" s="877"/>
      <c r="U6" s="877"/>
      <c r="V6" s="877"/>
      <c r="W6" s="877"/>
      <c r="X6" s="877"/>
      <c r="Y6" s="877"/>
    </row>
    <row r="7" spans="1:25" ht="15.75" customHeight="1" x14ac:dyDescent="0.25">
      <c r="A7" s="98"/>
      <c r="Q7" s="2"/>
      <c r="R7" s="2"/>
      <c r="S7" s="2"/>
      <c r="T7" s="2"/>
      <c r="U7" s="53"/>
      <c r="V7" s="2"/>
      <c r="W7" s="2"/>
      <c r="X7" s="2"/>
      <c r="Y7" s="2"/>
    </row>
    <row r="8" spans="1:25" ht="22.5" x14ac:dyDescent="0.25">
      <c r="A8" s="98"/>
      <c r="B8" s="882" t="s">
        <v>13</v>
      </c>
      <c r="C8" s="882"/>
      <c r="D8" s="882"/>
      <c r="E8" s="882"/>
      <c r="F8" s="882"/>
      <c r="G8" s="882"/>
      <c r="H8" s="882"/>
      <c r="I8" s="882"/>
      <c r="J8" s="882"/>
      <c r="K8" s="882"/>
      <c r="L8" s="882"/>
      <c r="M8" s="882"/>
      <c r="N8" s="882"/>
      <c r="O8" s="882"/>
      <c r="P8" s="882"/>
      <c r="Q8" s="882"/>
      <c r="R8" s="882"/>
      <c r="S8" s="882"/>
      <c r="T8" s="882"/>
      <c r="U8" s="882"/>
      <c r="V8" s="882"/>
      <c r="W8" s="882"/>
      <c r="X8" s="882"/>
      <c r="Y8" s="882"/>
    </row>
    <row r="9" spans="1:25" ht="20.25" x14ac:dyDescent="0.25">
      <c r="A9" s="98"/>
      <c r="B9" s="867" t="s">
        <v>140</v>
      </c>
      <c r="C9" s="867"/>
      <c r="D9" s="867"/>
      <c r="E9" s="867"/>
      <c r="F9" s="867"/>
      <c r="G9" s="867"/>
      <c r="H9" s="867"/>
      <c r="I9" s="867"/>
      <c r="J9" s="867"/>
      <c r="K9" s="867"/>
      <c r="L9" s="867"/>
      <c r="M9" s="867"/>
      <c r="N9" s="867"/>
      <c r="O9" s="867"/>
      <c r="P9" s="867"/>
      <c r="Q9" s="867"/>
      <c r="R9" s="867"/>
      <c r="S9" s="867"/>
      <c r="T9" s="867"/>
      <c r="U9" s="867"/>
      <c r="V9" s="867"/>
      <c r="W9" s="867"/>
      <c r="X9" s="867"/>
      <c r="Y9" s="867"/>
    </row>
    <row r="10" spans="1:25" ht="20.25" x14ac:dyDescent="0.25">
      <c r="A10" s="98"/>
      <c r="B10" s="879" t="s">
        <v>41</v>
      </c>
      <c r="C10" s="879"/>
      <c r="D10" s="879"/>
      <c r="E10" s="879"/>
      <c r="F10" s="879"/>
      <c r="G10" s="879"/>
      <c r="H10" s="879"/>
      <c r="I10" s="879"/>
      <c r="J10" s="879"/>
      <c r="K10" s="879"/>
      <c r="L10" s="879"/>
      <c r="M10" s="879"/>
      <c r="N10" s="879"/>
      <c r="O10" s="879"/>
      <c r="P10" s="879"/>
      <c r="Q10" s="879"/>
      <c r="R10" s="879"/>
      <c r="S10" s="879"/>
      <c r="T10" s="879"/>
      <c r="U10" s="879"/>
      <c r="V10" s="879"/>
      <c r="W10" s="879"/>
      <c r="X10" s="879"/>
      <c r="Y10" s="879"/>
    </row>
    <row r="11" spans="1:25" ht="20.25" x14ac:dyDescent="0.25">
      <c r="A11" s="98"/>
      <c r="B11" s="879" t="s">
        <v>138</v>
      </c>
      <c r="C11" s="879"/>
      <c r="D11" s="879"/>
      <c r="E11" s="879"/>
      <c r="F11" s="879"/>
      <c r="G11" s="879"/>
      <c r="H11" s="879"/>
      <c r="I11" s="879"/>
      <c r="J11" s="879"/>
      <c r="K11" s="879"/>
      <c r="L11" s="879"/>
      <c r="M11" s="879"/>
      <c r="N11" s="879"/>
      <c r="O11" s="879"/>
      <c r="P11" s="879"/>
      <c r="Q11" s="879"/>
      <c r="R11" s="879"/>
      <c r="S11" s="879"/>
      <c r="T11" s="879"/>
      <c r="U11" s="879"/>
      <c r="V11" s="879"/>
      <c r="W11" s="879"/>
      <c r="X11" s="879"/>
      <c r="Y11" s="879"/>
    </row>
    <row r="12" spans="1:25" ht="15.75" x14ac:dyDescent="0.25">
      <c r="A12" s="98"/>
      <c r="B12" s="9"/>
      <c r="C12" s="6"/>
      <c r="D12" s="866" t="s">
        <v>106</v>
      </c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</row>
    <row r="13" spans="1:25" s="8" customFormat="1" ht="24.95" customHeight="1" x14ac:dyDescent="0.25">
      <c r="A13" s="98"/>
      <c r="B13" s="865" t="s">
        <v>88</v>
      </c>
      <c r="C13" s="865"/>
      <c r="D13" s="867"/>
      <c r="E13" s="178"/>
      <c r="F13" s="169"/>
      <c r="G13" s="169"/>
      <c r="H13" s="169"/>
      <c r="I13" s="169"/>
      <c r="J13" s="169"/>
      <c r="K13" s="169"/>
      <c r="L13" s="169"/>
      <c r="M13" s="169"/>
      <c r="N13" s="169"/>
      <c r="O13" s="169"/>
      <c r="P13" s="169"/>
      <c r="Q13" s="9"/>
      <c r="R13" s="9"/>
      <c r="S13" s="9"/>
      <c r="T13" s="9"/>
      <c r="U13" s="169" t="s">
        <v>103</v>
      </c>
      <c r="V13" s="169"/>
      <c r="W13" s="832" t="str">
        <f>SUMMARY!B12</f>
        <v>2026-01-018</v>
      </c>
      <c r="X13" s="832"/>
      <c r="Y13" s="832"/>
    </row>
    <row r="14" spans="1:25" s="8" customFormat="1" ht="24.95" customHeight="1" x14ac:dyDescent="0.25">
      <c r="A14" s="98"/>
      <c r="B14" s="9"/>
      <c r="C14" s="9"/>
      <c r="D14" s="867"/>
      <c r="E14" s="6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169"/>
      <c r="V14" s="169"/>
      <c r="W14" s="9"/>
      <c r="X14" s="9"/>
      <c r="Y14" s="9"/>
    </row>
    <row r="15" spans="1:25" s="8" customFormat="1" ht="15.75" customHeight="1" x14ac:dyDescent="0.25">
      <c r="A15" s="98"/>
      <c r="B15" s="872" t="s">
        <v>0</v>
      </c>
      <c r="C15" s="872"/>
      <c r="D15" s="872"/>
      <c r="E15" s="872"/>
      <c r="F15" s="872"/>
      <c r="G15" s="872"/>
      <c r="H15" s="872"/>
      <c r="I15" s="872"/>
      <c r="J15" s="872"/>
      <c r="K15" s="872"/>
      <c r="L15" s="872"/>
      <c r="M15" s="872"/>
      <c r="N15" s="872"/>
      <c r="O15" s="872"/>
      <c r="P15" s="872"/>
      <c r="Q15" s="872"/>
      <c r="R15" s="872"/>
      <c r="S15" s="872"/>
      <c r="T15" s="872"/>
      <c r="U15" s="872"/>
      <c r="V15" s="872"/>
      <c r="W15" s="872"/>
      <c r="X15" s="872"/>
      <c r="Y15" s="872"/>
    </row>
    <row r="16" spans="1:25" ht="9" customHeight="1" thickBot="1" x14ac:dyDescent="0.3">
      <c r="A16" s="98"/>
      <c r="B16" s="9"/>
      <c r="C16" s="10"/>
      <c r="D16" s="10"/>
      <c r="E16" s="54"/>
      <c r="F16" s="10"/>
      <c r="G16" s="10"/>
      <c r="H16" s="10"/>
      <c r="I16" s="10"/>
      <c r="J16" s="9"/>
      <c r="K16" s="9"/>
      <c r="L16" s="9"/>
      <c r="M16" s="9"/>
      <c r="N16" s="9"/>
      <c r="O16" s="9"/>
      <c r="P16" s="9"/>
      <c r="Q16" s="10"/>
      <c r="R16" s="10"/>
      <c r="S16" s="10"/>
      <c r="T16" s="10"/>
      <c r="U16" s="54"/>
      <c r="V16" s="10"/>
      <c r="W16" s="10"/>
      <c r="X16" s="10"/>
      <c r="Y16" s="10"/>
    </row>
    <row r="17" spans="1:26" ht="16.5" customHeight="1" thickBot="1" x14ac:dyDescent="0.3">
      <c r="A17" s="98"/>
      <c r="B17" s="802" t="s">
        <v>6</v>
      </c>
      <c r="C17" s="777" t="s">
        <v>1</v>
      </c>
      <c r="D17" s="777" t="s">
        <v>2</v>
      </c>
      <c r="E17" s="802" t="s">
        <v>14</v>
      </c>
      <c r="F17" s="841" t="s">
        <v>4</v>
      </c>
      <c r="G17" s="833"/>
      <c r="H17" s="833"/>
      <c r="I17" s="833"/>
      <c r="J17" s="833"/>
      <c r="K17" s="834"/>
      <c r="L17" s="833" t="s">
        <v>3</v>
      </c>
      <c r="M17" s="833"/>
      <c r="N17" s="833"/>
      <c r="O17" s="833"/>
      <c r="P17" s="833"/>
      <c r="Q17" s="834"/>
      <c r="R17" s="802" t="s">
        <v>16</v>
      </c>
      <c r="S17" s="856" t="s">
        <v>51</v>
      </c>
      <c r="T17" s="861" t="s">
        <v>52</v>
      </c>
      <c r="U17" s="777" t="s">
        <v>59</v>
      </c>
      <c r="V17" s="841" t="s">
        <v>60</v>
      </c>
      <c r="W17" s="833"/>
      <c r="X17" s="833"/>
      <c r="Y17" s="834"/>
      <c r="Z17" s="11"/>
    </row>
    <row r="18" spans="1:26" ht="19.5" customHeight="1" x14ac:dyDescent="0.25">
      <c r="A18" s="98"/>
      <c r="B18" s="803"/>
      <c r="C18" s="778"/>
      <c r="D18" s="778"/>
      <c r="E18" s="803"/>
      <c r="F18" s="844" t="s">
        <v>48</v>
      </c>
      <c r="G18" s="887" t="s">
        <v>50</v>
      </c>
      <c r="H18" s="892" t="s">
        <v>49</v>
      </c>
      <c r="I18" s="859" t="s">
        <v>5</v>
      </c>
      <c r="J18" s="859" t="s">
        <v>53</v>
      </c>
      <c r="K18" s="848" t="s">
        <v>137</v>
      </c>
      <c r="L18" s="873" t="s">
        <v>54</v>
      </c>
      <c r="M18" s="859" t="s">
        <v>55</v>
      </c>
      <c r="N18" s="859" t="s">
        <v>56</v>
      </c>
      <c r="O18" s="890" t="s">
        <v>57</v>
      </c>
      <c r="P18" s="859" t="s">
        <v>58</v>
      </c>
      <c r="Q18" s="846" t="s">
        <v>17</v>
      </c>
      <c r="R18" s="803"/>
      <c r="S18" s="857"/>
      <c r="T18" s="862"/>
      <c r="U18" s="778"/>
      <c r="V18" s="850" t="s">
        <v>61</v>
      </c>
      <c r="W18" s="852" t="s">
        <v>62</v>
      </c>
      <c r="X18" s="883" t="s">
        <v>57</v>
      </c>
      <c r="Y18" s="885" t="s">
        <v>63</v>
      </c>
      <c r="Z18" s="11"/>
    </row>
    <row r="19" spans="1:26" ht="26.25" customHeight="1" thickBot="1" x14ac:dyDescent="0.3">
      <c r="A19" s="98"/>
      <c r="B19" s="803"/>
      <c r="C19" s="778"/>
      <c r="D19" s="778"/>
      <c r="E19" s="803"/>
      <c r="F19" s="845"/>
      <c r="G19" s="888"/>
      <c r="H19" s="893"/>
      <c r="I19" s="860"/>
      <c r="J19" s="860"/>
      <c r="K19" s="849"/>
      <c r="L19" s="874"/>
      <c r="M19" s="860"/>
      <c r="N19" s="860"/>
      <c r="O19" s="891"/>
      <c r="P19" s="860"/>
      <c r="Q19" s="847"/>
      <c r="R19" s="804"/>
      <c r="S19" s="858"/>
      <c r="T19" s="863"/>
      <c r="U19" s="778"/>
      <c r="V19" s="851"/>
      <c r="W19" s="853"/>
      <c r="X19" s="884"/>
      <c r="Y19" s="886"/>
      <c r="Z19" s="11"/>
    </row>
    <row r="20" spans="1:26" ht="18.75" customHeight="1" x14ac:dyDescent="0.25">
      <c r="A20" s="98"/>
      <c r="B20" s="12"/>
      <c r="C20" s="12"/>
      <c r="D20" s="12"/>
      <c r="E20" s="55"/>
      <c r="F20" s="84"/>
      <c r="G20" s="85"/>
      <c r="H20" s="85"/>
      <c r="I20" s="13"/>
      <c r="J20" s="13"/>
      <c r="K20" s="210"/>
      <c r="L20" s="39"/>
      <c r="M20" s="13"/>
      <c r="N20" s="13"/>
      <c r="O20" s="13"/>
      <c r="P20" s="13"/>
      <c r="Q20" s="14"/>
      <c r="R20" s="12"/>
      <c r="S20" s="48"/>
      <c r="T20" s="43"/>
      <c r="U20" s="55"/>
      <c r="V20" s="46"/>
      <c r="W20" s="47"/>
      <c r="X20" s="47"/>
      <c r="Y20" s="43"/>
    </row>
    <row r="21" spans="1:26" s="601" customFormat="1" ht="18.75" customHeight="1" x14ac:dyDescent="0.25">
      <c r="A21" s="587"/>
      <c r="B21" s="600">
        <v>1</v>
      </c>
      <c r="C21" s="589">
        <f>VLOOKUP(B21,'WTAX-CBPA'!B:N,2,0)</f>
        <v>0</v>
      </c>
      <c r="D21" s="589" t="e">
        <f>VLOOKUP(C21,'WTAX-CBPA'!C:O,2,0)</f>
        <v>#N/A</v>
      </c>
      <c r="E21" s="591">
        <f>VLOOKUP(B21,'WTAX-CBPA'!B:N,4,0)</f>
        <v>0</v>
      </c>
      <c r="F21" s="595"/>
      <c r="G21" s="593"/>
      <c r="H21" s="593"/>
      <c r="I21" s="593">
        <f t="shared" ref="I21:I91" si="0">SUM(F21:H21)</f>
        <v>0</v>
      </c>
      <c r="J21" s="593">
        <f>'WTAX-CBPA'!N8</f>
        <v>0</v>
      </c>
      <c r="K21" s="602">
        <f t="shared" ref="K21:K91" si="1">ROUND(I21-J21,2)</f>
        <v>0</v>
      </c>
      <c r="L21" s="592">
        <f>'WTAX-CBPA'!F8</f>
        <v>0</v>
      </c>
      <c r="M21" s="593">
        <f>'CBPA - DEDS'!R20</f>
        <v>0</v>
      </c>
      <c r="N21" s="593">
        <f>'CBPA - DEDS'!X20</f>
        <v>0</v>
      </c>
      <c r="O21" s="593">
        <f>'CBPA - DEDS'!Y20</f>
        <v>0</v>
      </c>
      <c r="P21" s="593">
        <f>'CBPA - DEDS'!AE20</f>
        <v>0</v>
      </c>
      <c r="Q21" s="594">
        <f t="shared" ref="Q21:Q91" si="2">ROUND(SUM(L21:P21),2)</f>
        <v>0</v>
      </c>
      <c r="R21" s="603">
        <f t="shared" ref="R21:R91" si="3">K21-Q21</f>
        <v>0</v>
      </c>
      <c r="S21" s="604">
        <f t="shared" ref="S21:S91" si="4">ROUND(R21/2,0)</f>
        <v>0</v>
      </c>
      <c r="T21" s="605">
        <f>R21-S21</f>
        <v>0</v>
      </c>
      <c r="U21" s="600">
        <f>B21</f>
        <v>1</v>
      </c>
      <c r="V21" s="595">
        <f>ROUND('CBPA - PAY'!I21*0.12,2)</f>
        <v>0</v>
      </c>
      <c r="W21" s="593">
        <v>100</v>
      </c>
      <c r="X21" s="593">
        <f>MIN((I21*0.05)-'CBPA - DEDS'!Y20,2500)</f>
        <v>0</v>
      </c>
      <c r="Y21" s="602">
        <v>200</v>
      </c>
    </row>
    <row r="22" spans="1:26" ht="18.75" customHeight="1" x14ac:dyDescent="0.25">
      <c r="A22" s="98"/>
      <c r="B22" s="33">
        <f>+B21+1</f>
        <v>2</v>
      </c>
      <c r="C22" s="72">
        <f>VLOOKUP(B22,'WTAX-CBPA'!B:N,2,0)</f>
        <v>0</v>
      </c>
      <c r="D22" s="72" t="e">
        <f>VLOOKUP(C22,'WTAX-CBPA'!C:O,2,0)</f>
        <v>#N/A</v>
      </c>
      <c r="E22" s="306">
        <f>VLOOKUP(B22,'WTAX-CBPA'!B:N,4,0)</f>
        <v>0</v>
      </c>
      <c r="F22" s="86"/>
      <c r="G22" s="88"/>
      <c r="H22" s="88"/>
      <c r="I22" s="37">
        <f t="shared" si="0"/>
        <v>0</v>
      </c>
      <c r="J22" s="332">
        <f>'WTAX-CBPA'!N9</f>
        <v>0</v>
      </c>
      <c r="K22" s="211">
        <f t="shared" si="1"/>
        <v>0</v>
      </c>
      <c r="L22" s="40">
        <f>'WTAX-CBPA'!F9</f>
        <v>0</v>
      </c>
      <c r="M22" s="37">
        <f>'CBPA - DEDS'!R21</f>
        <v>0</v>
      </c>
      <c r="N22" s="37">
        <f>'CBPA - DEDS'!X21</f>
        <v>0</v>
      </c>
      <c r="O22" s="37">
        <f>'CBPA - DEDS'!Y21</f>
        <v>0</v>
      </c>
      <c r="P22" s="37">
        <f>'CBPA - DEDS'!AE21</f>
        <v>0</v>
      </c>
      <c r="Q22" s="38">
        <f t="shared" si="2"/>
        <v>0</v>
      </c>
      <c r="R22" s="49">
        <f t="shared" si="3"/>
        <v>0</v>
      </c>
      <c r="S22" s="76">
        <f t="shared" si="4"/>
        <v>0</v>
      </c>
      <c r="T22" s="77">
        <f t="shared" ref="T22:T91" si="5">R22-S22</f>
        <v>0</v>
      </c>
      <c r="U22" s="33">
        <f t="shared" ref="U22:U91" si="6">B22</f>
        <v>2</v>
      </c>
      <c r="V22" s="36">
        <f>ROUND('CBPA - PAY'!I22*0.12,2)</f>
        <v>0</v>
      </c>
      <c r="W22" s="37">
        <f>'GEN.AD - PAY'!W24</f>
        <v>100</v>
      </c>
      <c r="X22" s="37">
        <f>MIN((I22*0.05)-'CBPA - DEDS'!Y21,2500)</f>
        <v>0</v>
      </c>
      <c r="Y22" s="41">
        <f>'GEN.AD - PAY'!Y24</f>
        <v>200</v>
      </c>
    </row>
    <row r="23" spans="1:26" ht="18.75" customHeight="1" x14ac:dyDescent="0.25">
      <c r="A23" s="98"/>
      <c r="B23" s="33">
        <f t="shared" ref="B23:B66" si="7">+B22+1</f>
        <v>3</v>
      </c>
      <c r="C23" s="72">
        <f>VLOOKUP(B23,'WTAX-CBPA'!B:N,2,0)</f>
        <v>0</v>
      </c>
      <c r="D23" s="72" t="e">
        <f>VLOOKUP(C23,'WTAX-CBPA'!C:O,2,0)</f>
        <v>#N/A</v>
      </c>
      <c r="E23" s="306">
        <f>VLOOKUP(B23,'WTAX-CBPA'!B:N,4,0)</f>
        <v>0</v>
      </c>
      <c r="F23" s="86"/>
      <c r="G23" s="88"/>
      <c r="H23" s="88"/>
      <c r="I23" s="37">
        <f t="shared" si="0"/>
        <v>0</v>
      </c>
      <c r="J23" s="332">
        <f>'WTAX-CBPA'!N10</f>
        <v>0</v>
      </c>
      <c r="K23" s="211">
        <f t="shared" si="1"/>
        <v>0</v>
      </c>
      <c r="L23" s="40">
        <f>'WTAX-CBPA'!F10</f>
        <v>0</v>
      </c>
      <c r="M23" s="37">
        <f>'CBPA - DEDS'!R22</f>
        <v>0</v>
      </c>
      <c r="N23" s="37">
        <f>'CBPA - DEDS'!X22</f>
        <v>0</v>
      </c>
      <c r="O23" s="37">
        <f>'CBPA - DEDS'!Y22</f>
        <v>0</v>
      </c>
      <c r="P23" s="37">
        <f>'CBPA - DEDS'!AE22</f>
        <v>0</v>
      </c>
      <c r="Q23" s="38">
        <f t="shared" si="2"/>
        <v>0</v>
      </c>
      <c r="R23" s="49">
        <f t="shared" si="3"/>
        <v>0</v>
      </c>
      <c r="S23" s="76">
        <f t="shared" si="4"/>
        <v>0</v>
      </c>
      <c r="T23" s="77">
        <f t="shared" si="5"/>
        <v>0</v>
      </c>
      <c r="U23" s="33">
        <f t="shared" si="6"/>
        <v>3</v>
      </c>
      <c r="V23" s="36">
        <f>ROUND('CBPA - PAY'!I23*0.12,2)</f>
        <v>0</v>
      </c>
      <c r="W23" s="37">
        <f t="shared" ref="W23:W66" si="8">W22</f>
        <v>100</v>
      </c>
      <c r="X23" s="37">
        <f>MIN((I23*0.05)-'CBPA - DEDS'!Y22,2500)</f>
        <v>0</v>
      </c>
      <c r="Y23" s="41">
        <f t="shared" ref="Y23:Y66" si="9">Y22</f>
        <v>200</v>
      </c>
    </row>
    <row r="24" spans="1:26" ht="18.75" customHeight="1" x14ac:dyDescent="0.25">
      <c r="A24" s="98"/>
      <c r="B24" s="33">
        <f t="shared" si="7"/>
        <v>4</v>
      </c>
      <c r="C24" s="72">
        <f>VLOOKUP(B24,'WTAX-CBPA'!B:N,2,0)</f>
        <v>0</v>
      </c>
      <c r="D24" s="72" t="e">
        <f>VLOOKUP(C24,'WTAX-CBPA'!C:O,2,0)</f>
        <v>#N/A</v>
      </c>
      <c r="E24" s="306">
        <f>VLOOKUP(B24,'WTAX-CBPA'!B:N,4,0)</f>
        <v>0</v>
      </c>
      <c r="F24" s="86"/>
      <c r="G24" s="88"/>
      <c r="H24" s="88"/>
      <c r="I24" s="37">
        <f t="shared" si="0"/>
        <v>0</v>
      </c>
      <c r="J24" s="332">
        <f>'WTAX-CBPA'!N11</f>
        <v>0</v>
      </c>
      <c r="K24" s="211">
        <f t="shared" si="1"/>
        <v>0</v>
      </c>
      <c r="L24" s="40">
        <f>'WTAX-CBPA'!F11</f>
        <v>0</v>
      </c>
      <c r="M24" s="37">
        <f>'CBPA - DEDS'!R23</f>
        <v>0</v>
      </c>
      <c r="N24" s="37">
        <f>'CBPA - DEDS'!X23</f>
        <v>0</v>
      </c>
      <c r="O24" s="37">
        <f>'CBPA - DEDS'!Y23</f>
        <v>0</v>
      </c>
      <c r="P24" s="37">
        <f>'CBPA - DEDS'!AE23</f>
        <v>0</v>
      </c>
      <c r="Q24" s="38">
        <f t="shared" si="2"/>
        <v>0</v>
      </c>
      <c r="R24" s="49">
        <f t="shared" si="3"/>
        <v>0</v>
      </c>
      <c r="S24" s="76">
        <f t="shared" si="4"/>
        <v>0</v>
      </c>
      <c r="T24" s="77">
        <f t="shared" si="5"/>
        <v>0</v>
      </c>
      <c r="U24" s="33">
        <f t="shared" si="6"/>
        <v>4</v>
      </c>
      <c r="V24" s="36">
        <f>ROUND('CBPA - PAY'!I24*0.12,2)</f>
        <v>0</v>
      </c>
      <c r="W24" s="37">
        <f t="shared" si="8"/>
        <v>100</v>
      </c>
      <c r="X24" s="37">
        <f>MIN((I24*0.05)-'CBPA - DEDS'!Y23,2500)</f>
        <v>0</v>
      </c>
      <c r="Y24" s="41">
        <f t="shared" si="9"/>
        <v>200</v>
      </c>
    </row>
    <row r="25" spans="1:26" ht="18.75" customHeight="1" x14ac:dyDescent="0.25">
      <c r="A25" s="98"/>
      <c r="B25" s="33">
        <f t="shared" si="7"/>
        <v>5</v>
      </c>
      <c r="C25" s="72">
        <f>VLOOKUP(B25,'WTAX-CBPA'!B:N,2,0)</f>
        <v>0</v>
      </c>
      <c r="D25" s="72" t="e">
        <f>VLOOKUP(C25,'WTAX-CBPA'!C:O,2,0)</f>
        <v>#N/A</v>
      </c>
      <c r="E25" s="306">
        <f>VLOOKUP(B25,'WTAX-CBPA'!B:N,4,0)</f>
        <v>0</v>
      </c>
      <c r="F25" s="86"/>
      <c r="G25" s="88"/>
      <c r="H25" s="88"/>
      <c r="I25" s="37">
        <f t="shared" si="0"/>
        <v>0</v>
      </c>
      <c r="J25" s="332">
        <f>'WTAX-CBPA'!N12</f>
        <v>0</v>
      </c>
      <c r="K25" s="211">
        <f t="shared" si="1"/>
        <v>0</v>
      </c>
      <c r="L25" s="40">
        <f>'WTAX-CBPA'!F12</f>
        <v>0</v>
      </c>
      <c r="M25" s="37">
        <f>'CBPA - DEDS'!R24</f>
        <v>0</v>
      </c>
      <c r="N25" s="37">
        <f>'CBPA - DEDS'!X24</f>
        <v>0</v>
      </c>
      <c r="O25" s="37">
        <f>'CBPA - DEDS'!Y24</f>
        <v>0</v>
      </c>
      <c r="P25" s="37">
        <f>'CBPA - DEDS'!AE24</f>
        <v>0</v>
      </c>
      <c r="Q25" s="38">
        <f t="shared" si="2"/>
        <v>0</v>
      </c>
      <c r="R25" s="49">
        <f t="shared" si="3"/>
        <v>0</v>
      </c>
      <c r="S25" s="76">
        <f t="shared" si="4"/>
        <v>0</v>
      </c>
      <c r="T25" s="77">
        <f t="shared" si="5"/>
        <v>0</v>
      </c>
      <c r="U25" s="33">
        <f t="shared" si="6"/>
        <v>5</v>
      </c>
      <c r="V25" s="36">
        <f>ROUND('CBPA - PAY'!I25*0.12,2)</f>
        <v>0</v>
      </c>
      <c r="W25" s="37">
        <f t="shared" si="8"/>
        <v>100</v>
      </c>
      <c r="X25" s="37">
        <f>MIN((I25*0.05)-'CBPA - DEDS'!Y24,2500)</f>
        <v>0</v>
      </c>
      <c r="Y25" s="41">
        <f t="shared" si="9"/>
        <v>200</v>
      </c>
    </row>
    <row r="26" spans="1:26" ht="18.75" customHeight="1" x14ac:dyDescent="0.25">
      <c r="A26" s="98"/>
      <c r="B26" s="33">
        <f t="shared" si="7"/>
        <v>6</v>
      </c>
      <c r="C26" s="72">
        <f>VLOOKUP(B26,'WTAX-CBPA'!B:N,2,0)</f>
        <v>0</v>
      </c>
      <c r="D26" s="72" t="e">
        <f>VLOOKUP(C26,'WTAX-CBPA'!C:O,2,0)</f>
        <v>#N/A</v>
      </c>
      <c r="E26" s="306">
        <f>VLOOKUP(B26,'WTAX-CBPA'!B:N,4,0)</f>
        <v>0</v>
      </c>
      <c r="F26" s="86"/>
      <c r="G26" s="88"/>
      <c r="H26" s="88"/>
      <c r="I26" s="37">
        <f t="shared" si="0"/>
        <v>0</v>
      </c>
      <c r="J26" s="332">
        <f>'WTAX-CBPA'!N13</f>
        <v>0</v>
      </c>
      <c r="K26" s="211">
        <f t="shared" si="1"/>
        <v>0</v>
      </c>
      <c r="L26" s="40">
        <f>'WTAX-CBPA'!F13</f>
        <v>0</v>
      </c>
      <c r="M26" s="37">
        <f>'CBPA - DEDS'!R25</f>
        <v>0</v>
      </c>
      <c r="N26" s="37">
        <f>'CBPA - DEDS'!X25</f>
        <v>0</v>
      </c>
      <c r="O26" s="37">
        <f>'CBPA - DEDS'!Y25</f>
        <v>0</v>
      </c>
      <c r="P26" s="37">
        <f>'CBPA - DEDS'!AE25</f>
        <v>0</v>
      </c>
      <c r="Q26" s="38">
        <f t="shared" si="2"/>
        <v>0</v>
      </c>
      <c r="R26" s="49">
        <f t="shared" si="3"/>
        <v>0</v>
      </c>
      <c r="S26" s="76">
        <f t="shared" si="4"/>
        <v>0</v>
      </c>
      <c r="T26" s="77">
        <f t="shared" si="5"/>
        <v>0</v>
      </c>
      <c r="U26" s="33">
        <f t="shared" si="6"/>
        <v>6</v>
      </c>
      <c r="V26" s="36">
        <f>ROUND('CBPA - PAY'!I26*0.12,2)</f>
        <v>0</v>
      </c>
      <c r="W26" s="37">
        <f t="shared" si="8"/>
        <v>100</v>
      </c>
      <c r="X26" s="37">
        <f>MIN((I26*0.05)-'CBPA - DEDS'!Y25,2500)</f>
        <v>0</v>
      </c>
      <c r="Y26" s="41">
        <f t="shared" si="9"/>
        <v>200</v>
      </c>
    </row>
    <row r="27" spans="1:26" ht="18.75" customHeight="1" x14ac:dyDescent="0.25">
      <c r="A27" s="98"/>
      <c r="B27" s="33">
        <f t="shared" si="7"/>
        <v>7</v>
      </c>
      <c r="C27" s="72">
        <f>VLOOKUP(B27,'WTAX-CBPA'!B:N,2,0)</f>
        <v>0</v>
      </c>
      <c r="D27" s="72" t="e">
        <f>VLOOKUP(C27,'WTAX-CBPA'!C:O,2,0)</f>
        <v>#N/A</v>
      </c>
      <c r="E27" s="306">
        <f>VLOOKUP(B27,'WTAX-CBPA'!B:N,4,0)</f>
        <v>0</v>
      </c>
      <c r="F27" s="86"/>
      <c r="G27" s="88"/>
      <c r="H27" s="88"/>
      <c r="I27" s="37">
        <f t="shared" si="0"/>
        <v>0</v>
      </c>
      <c r="J27" s="332">
        <f>'WTAX-CBPA'!N14</f>
        <v>0</v>
      </c>
      <c r="K27" s="211">
        <f t="shared" si="1"/>
        <v>0</v>
      </c>
      <c r="L27" s="40">
        <f>'WTAX-CBPA'!F14</f>
        <v>0</v>
      </c>
      <c r="M27" s="37">
        <f>'CBPA - DEDS'!R26</f>
        <v>0</v>
      </c>
      <c r="N27" s="37">
        <f>'CBPA - DEDS'!X26</f>
        <v>0</v>
      </c>
      <c r="O27" s="37">
        <f>'CBPA - DEDS'!Y26</f>
        <v>0</v>
      </c>
      <c r="P27" s="37">
        <f>'CBPA - DEDS'!AE26</f>
        <v>0</v>
      </c>
      <c r="Q27" s="38">
        <f t="shared" si="2"/>
        <v>0</v>
      </c>
      <c r="R27" s="49">
        <f t="shared" si="3"/>
        <v>0</v>
      </c>
      <c r="S27" s="76">
        <f t="shared" si="4"/>
        <v>0</v>
      </c>
      <c r="T27" s="77">
        <f t="shared" si="5"/>
        <v>0</v>
      </c>
      <c r="U27" s="33">
        <f t="shared" si="6"/>
        <v>7</v>
      </c>
      <c r="V27" s="36">
        <f>ROUND('CBPA - PAY'!I27*0.12,2)</f>
        <v>0</v>
      </c>
      <c r="W27" s="37">
        <f t="shared" si="8"/>
        <v>100</v>
      </c>
      <c r="X27" s="37">
        <f>MIN((I27*0.05)-'CBPA - DEDS'!Y26,2500)</f>
        <v>0</v>
      </c>
      <c r="Y27" s="41">
        <f t="shared" si="9"/>
        <v>200</v>
      </c>
    </row>
    <row r="28" spans="1:26" ht="18.75" customHeight="1" x14ac:dyDescent="0.25">
      <c r="A28" s="98"/>
      <c r="B28" s="33">
        <f t="shared" si="7"/>
        <v>8</v>
      </c>
      <c r="C28" s="72">
        <f>VLOOKUP(B28,'WTAX-CBPA'!B:N,2,0)</f>
        <v>0</v>
      </c>
      <c r="D28" s="72" t="e">
        <f>VLOOKUP(C28,'WTAX-CBPA'!C:O,2,0)</f>
        <v>#N/A</v>
      </c>
      <c r="E28" s="306">
        <f>VLOOKUP(B28,'WTAX-CBPA'!B:N,4,0)</f>
        <v>0</v>
      </c>
      <c r="F28" s="86"/>
      <c r="G28" s="88"/>
      <c r="H28" s="88"/>
      <c r="I28" s="37">
        <f t="shared" si="0"/>
        <v>0</v>
      </c>
      <c r="J28" s="332">
        <f>'WTAX-CBPA'!N15</f>
        <v>0</v>
      </c>
      <c r="K28" s="211">
        <f t="shared" si="1"/>
        <v>0</v>
      </c>
      <c r="L28" s="40">
        <f>'WTAX-CBPA'!F15</f>
        <v>0</v>
      </c>
      <c r="M28" s="37">
        <f>'CBPA - DEDS'!R27</f>
        <v>0</v>
      </c>
      <c r="N28" s="37">
        <f>'CBPA - DEDS'!X27</f>
        <v>0</v>
      </c>
      <c r="O28" s="37">
        <f>'CBPA - DEDS'!Y27</f>
        <v>0</v>
      </c>
      <c r="P28" s="37">
        <f>'CBPA - DEDS'!AE27</f>
        <v>0</v>
      </c>
      <c r="Q28" s="38">
        <f t="shared" si="2"/>
        <v>0</v>
      </c>
      <c r="R28" s="49">
        <f t="shared" si="3"/>
        <v>0</v>
      </c>
      <c r="S28" s="76">
        <f t="shared" si="4"/>
        <v>0</v>
      </c>
      <c r="T28" s="77">
        <f t="shared" si="5"/>
        <v>0</v>
      </c>
      <c r="U28" s="33">
        <f t="shared" si="6"/>
        <v>8</v>
      </c>
      <c r="V28" s="36">
        <f>ROUND('CBPA - PAY'!I28*0.12,2)</f>
        <v>0</v>
      </c>
      <c r="W28" s="37">
        <f t="shared" si="8"/>
        <v>100</v>
      </c>
      <c r="X28" s="37">
        <f>MIN((I28*0.05)-'CBPA - DEDS'!Y27,2500)</f>
        <v>0</v>
      </c>
      <c r="Y28" s="41">
        <f t="shared" si="9"/>
        <v>200</v>
      </c>
    </row>
    <row r="29" spans="1:26" ht="18.75" customHeight="1" x14ac:dyDescent="0.25">
      <c r="A29" s="98"/>
      <c r="B29" s="33">
        <f t="shared" si="7"/>
        <v>9</v>
      </c>
      <c r="C29" s="72">
        <f>VLOOKUP(B29,'WTAX-CBPA'!B:N,2,0)</f>
        <v>0</v>
      </c>
      <c r="D29" s="72" t="e">
        <f>VLOOKUP(C29,'WTAX-CBPA'!C:O,2,0)</f>
        <v>#N/A</v>
      </c>
      <c r="E29" s="306">
        <f>VLOOKUP(B29,'WTAX-CBPA'!B:N,4,0)</f>
        <v>0</v>
      </c>
      <c r="F29" s="89"/>
      <c r="G29" s="91"/>
      <c r="H29" s="91"/>
      <c r="I29" s="37">
        <f t="shared" si="0"/>
        <v>0</v>
      </c>
      <c r="J29" s="332">
        <f>'WTAX-CBPA'!N16</f>
        <v>0</v>
      </c>
      <c r="K29" s="211">
        <f t="shared" si="1"/>
        <v>0</v>
      </c>
      <c r="L29" s="40">
        <f>'WTAX-CBPA'!F16</f>
        <v>0</v>
      </c>
      <c r="M29" s="37">
        <f>'CBPA - DEDS'!R28</f>
        <v>0</v>
      </c>
      <c r="N29" s="37">
        <f>'CBPA - DEDS'!X28</f>
        <v>0</v>
      </c>
      <c r="O29" s="37">
        <f>'CBPA - DEDS'!Y28</f>
        <v>0</v>
      </c>
      <c r="P29" s="37">
        <f>'CBPA - DEDS'!AE28</f>
        <v>0</v>
      </c>
      <c r="Q29" s="38">
        <f t="shared" si="2"/>
        <v>0</v>
      </c>
      <c r="R29" s="49">
        <f t="shared" si="3"/>
        <v>0</v>
      </c>
      <c r="S29" s="76">
        <f t="shared" si="4"/>
        <v>0</v>
      </c>
      <c r="T29" s="77">
        <f t="shared" si="5"/>
        <v>0</v>
      </c>
      <c r="U29" s="33">
        <f t="shared" si="6"/>
        <v>9</v>
      </c>
      <c r="V29" s="36">
        <f>ROUND('CBPA - PAY'!I29*0.12,2)</f>
        <v>0</v>
      </c>
      <c r="W29" s="37">
        <f t="shared" si="8"/>
        <v>100</v>
      </c>
      <c r="X29" s="37">
        <f>MIN((I29*0.05)-'CBPA - DEDS'!Y28,2500)</f>
        <v>0</v>
      </c>
      <c r="Y29" s="41">
        <f t="shared" si="9"/>
        <v>200</v>
      </c>
    </row>
    <row r="30" spans="1:26" ht="18.75" customHeight="1" x14ac:dyDescent="0.25">
      <c r="A30" s="98"/>
      <c r="B30" s="33">
        <f t="shared" si="7"/>
        <v>10</v>
      </c>
      <c r="C30" s="72">
        <f>VLOOKUP(B30,'WTAX-CBPA'!B:N,2,0)</f>
        <v>0</v>
      </c>
      <c r="D30" s="72" t="e">
        <f>VLOOKUP(C30,'WTAX-CBPA'!C:O,2,0)</f>
        <v>#N/A</v>
      </c>
      <c r="E30" s="306">
        <f>VLOOKUP(B30,'WTAX-CBPA'!B:N,4,0)</f>
        <v>0</v>
      </c>
      <c r="F30" s="89"/>
      <c r="G30" s="91"/>
      <c r="H30" s="91"/>
      <c r="I30" s="37">
        <f t="shared" si="0"/>
        <v>0</v>
      </c>
      <c r="J30" s="332">
        <f>'WTAX-CBPA'!N17</f>
        <v>0</v>
      </c>
      <c r="K30" s="211">
        <f t="shared" si="1"/>
        <v>0</v>
      </c>
      <c r="L30" s="40">
        <f>'WTAX-CBPA'!F17</f>
        <v>0</v>
      </c>
      <c r="M30" s="37">
        <f>'CBPA - DEDS'!R29</f>
        <v>0</v>
      </c>
      <c r="N30" s="37">
        <f>'CBPA - DEDS'!X29</f>
        <v>0</v>
      </c>
      <c r="O30" s="37">
        <f>'CBPA - DEDS'!Y29</f>
        <v>0</v>
      </c>
      <c r="P30" s="37">
        <f>'CBPA - DEDS'!AE29</f>
        <v>0</v>
      </c>
      <c r="Q30" s="38">
        <f t="shared" si="2"/>
        <v>0</v>
      </c>
      <c r="R30" s="49">
        <f t="shared" si="3"/>
        <v>0</v>
      </c>
      <c r="S30" s="76">
        <f t="shared" si="4"/>
        <v>0</v>
      </c>
      <c r="T30" s="77">
        <f t="shared" si="5"/>
        <v>0</v>
      </c>
      <c r="U30" s="33">
        <f t="shared" si="6"/>
        <v>10</v>
      </c>
      <c r="V30" s="36">
        <f>ROUND('CBPA - PAY'!I30*0.12,2)</f>
        <v>0</v>
      </c>
      <c r="W30" s="37">
        <f t="shared" si="8"/>
        <v>100</v>
      </c>
      <c r="X30" s="37">
        <f>MIN((I30*0.05)-'CBPA - DEDS'!Y29,2500)</f>
        <v>0</v>
      </c>
      <c r="Y30" s="41">
        <f t="shared" si="9"/>
        <v>200</v>
      </c>
    </row>
    <row r="31" spans="1:26" ht="18.75" customHeight="1" x14ac:dyDescent="0.25">
      <c r="A31" s="98"/>
      <c r="B31" s="33">
        <f t="shared" si="7"/>
        <v>11</v>
      </c>
      <c r="C31" s="72">
        <f>VLOOKUP(B31,'WTAX-CBPA'!B:N,2,0)</f>
        <v>0</v>
      </c>
      <c r="D31" s="72" t="e">
        <f>VLOOKUP(C31,'WTAX-CBPA'!C:O,2,0)</f>
        <v>#N/A</v>
      </c>
      <c r="E31" s="306">
        <f>VLOOKUP(B31,'WTAX-CBPA'!B:N,4,0)</f>
        <v>0</v>
      </c>
      <c r="F31" s="86"/>
      <c r="G31" s="91"/>
      <c r="H31" s="91"/>
      <c r="I31" s="37">
        <f t="shared" si="0"/>
        <v>0</v>
      </c>
      <c r="J31" s="332">
        <f>'WTAX-CBPA'!N18</f>
        <v>0</v>
      </c>
      <c r="K31" s="211">
        <f t="shared" si="1"/>
        <v>0</v>
      </c>
      <c r="L31" s="40">
        <f>'WTAX-CBPA'!F18</f>
        <v>0</v>
      </c>
      <c r="M31" s="37">
        <f>'CBPA - DEDS'!R30</f>
        <v>0</v>
      </c>
      <c r="N31" s="37">
        <f>'CBPA - DEDS'!X30</f>
        <v>0</v>
      </c>
      <c r="O31" s="37">
        <f>'CBPA - DEDS'!Y30</f>
        <v>0</v>
      </c>
      <c r="P31" s="37">
        <f>'CBPA - DEDS'!AE30</f>
        <v>0</v>
      </c>
      <c r="Q31" s="38">
        <f t="shared" si="2"/>
        <v>0</v>
      </c>
      <c r="R31" s="49">
        <f t="shared" si="3"/>
        <v>0</v>
      </c>
      <c r="S31" s="76">
        <f t="shared" si="4"/>
        <v>0</v>
      </c>
      <c r="T31" s="77">
        <f t="shared" si="5"/>
        <v>0</v>
      </c>
      <c r="U31" s="33">
        <f t="shared" si="6"/>
        <v>11</v>
      </c>
      <c r="V31" s="36">
        <f>ROUND('CBPA - PAY'!I31*0.12,2)</f>
        <v>0</v>
      </c>
      <c r="W31" s="37">
        <f t="shared" si="8"/>
        <v>100</v>
      </c>
      <c r="X31" s="37">
        <f>MIN((I31*0.05)-'CBPA - DEDS'!Y30,2500)</f>
        <v>0</v>
      </c>
      <c r="Y31" s="41">
        <f t="shared" si="9"/>
        <v>200</v>
      </c>
    </row>
    <row r="32" spans="1:26" ht="18.75" customHeight="1" x14ac:dyDescent="0.25">
      <c r="A32" s="98"/>
      <c r="B32" s="33">
        <f t="shared" si="7"/>
        <v>12</v>
      </c>
      <c r="C32" s="72">
        <f>VLOOKUP(B32,'WTAX-CBPA'!B:N,2,0)</f>
        <v>0</v>
      </c>
      <c r="D32" s="72" t="e">
        <f>VLOOKUP(C32,'WTAX-CBPA'!C:O,2,0)</f>
        <v>#N/A</v>
      </c>
      <c r="E32" s="306">
        <f>VLOOKUP(B32,'WTAX-CBPA'!B:N,4,0)</f>
        <v>0</v>
      </c>
      <c r="F32" s="89"/>
      <c r="G32" s="91"/>
      <c r="H32" s="91"/>
      <c r="I32" s="37">
        <f t="shared" si="0"/>
        <v>0</v>
      </c>
      <c r="J32" s="332">
        <f>'WTAX-CBPA'!N19</f>
        <v>0</v>
      </c>
      <c r="K32" s="211">
        <f t="shared" si="1"/>
        <v>0</v>
      </c>
      <c r="L32" s="40">
        <f>'WTAX-CBPA'!F19</f>
        <v>0</v>
      </c>
      <c r="M32" s="37">
        <f>'CBPA - DEDS'!R31</f>
        <v>0</v>
      </c>
      <c r="N32" s="37">
        <f>'CBPA - DEDS'!X31</f>
        <v>0</v>
      </c>
      <c r="O32" s="37">
        <f>'CBPA - DEDS'!Y31</f>
        <v>0</v>
      </c>
      <c r="P32" s="37">
        <f>'CBPA - DEDS'!AE31</f>
        <v>0</v>
      </c>
      <c r="Q32" s="38">
        <f t="shared" si="2"/>
        <v>0</v>
      </c>
      <c r="R32" s="49">
        <f t="shared" si="3"/>
        <v>0</v>
      </c>
      <c r="S32" s="76">
        <f t="shared" si="4"/>
        <v>0</v>
      </c>
      <c r="T32" s="77">
        <f t="shared" si="5"/>
        <v>0</v>
      </c>
      <c r="U32" s="33">
        <f t="shared" si="6"/>
        <v>12</v>
      </c>
      <c r="V32" s="36">
        <f>ROUND('CBPA - PAY'!I32*0.12,2)</f>
        <v>0</v>
      </c>
      <c r="W32" s="37">
        <f t="shared" si="8"/>
        <v>100</v>
      </c>
      <c r="X32" s="37">
        <f>MIN((I32*0.05)-'CBPA - DEDS'!Y31,2500)</f>
        <v>0</v>
      </c>
      <c r="Y32" s="41">
        <f t="shared" si="9"/>
        <v>200</v>
      </c>
    </row>
    <row r="33" spans="1:25" ht="18.75" customHeight="1" x14ac:dyDescent="0.25">
      <c r="A33" s="98"/>
      <c r="B33" s="33">
        <f t="shared" si="7"/>
        <v>13</v>
      </c>
      <c r="C33" s="72">
        <f>VLOOKUP(B33,'WTAX-CBPA'!B:N,2,0)</f>
        <v>0</v>
      </c>
      <c r="D33" s="72" t="e">
        <f>VLOOKUP(C33,'WTAX-CBPA'!C:O,2,0)</f>
        <v>#N/A</v>
      </c>
      <c r="E33" s="306">
        <f>VLOOKUP(B33,'WTAX-CBPA'!B:N,4,0)</f>
        <v>0</v>
      </c>
      <c r="F33" s="86"/>
      <c r="G33" s="91"/>
      <c r="H33" s="91"/>
      <c r="I33" s="37">
        <f t="shared" si="0"/>
        <v>0</v>
      </c>
      <c r="J33" s="332">
        <f>'WTAX-CBPA'!N20</f>
        <v>0</v>
      </c>
      <c r="K33" s="211">
        <f t="shared" si="1"/>
        <v>0</v>
      </c>
      <c r="L33" s="40">
        <f>'WTAX-CBPA'!F20</f>
        <v>0</v>
      </c>
      <c r="M33" s="37">
        <f>'CBPA - DEDS'!R32</f>
        <v>0</v>
      </c>
      <c r="N33" s="37">
        <f>'CBPA - DEDS'!X32</f>
        <v>0</v>
      </c>
      <c r="O33" s="37">
        <f>'CBPA - DEDS'!Y32</f>
        <v>0</v>
      </c>
      <c r="P33" s="37">
        <f>'CBPA - DEDS'!AE32</f>
        <v>0</v>
      </c>
      <c r="Q33" s="38">
        <f t="shared" si="2"/>
        <v>0</v>
      </c>
      <c r="R33" s="49">
        <f t="shared" si="3"/>
        <v>0</v>
      </c>
      <c r="S33" s="76">
        <f t="shared" si="4"/>
        <v>0</v>
      </c>
      <c r="T33" s="77">
        <f t="shared" si="5"/>
        <v>0</v>
      </c>
      <c r="U33" s="33">
        <f t="shared" si="6"/>
        <v>13</v>
      </c>
      <c r="V33" s="36">
        <f>ROUND('CBPA - PAY'!I33*0.12,2)</f>
        <v>0</v>
      </c>
      <c r="W33" s="37">
        <f t="shared" si="8"/>
        <v>100</v>
      </c>
      <c r="X33" s="37">
        <f>MIN((I33*0.05)-'CBPA - DEDS'!Y32,2500)</f>
        <v>0</v>
      </c>
      <c r="Y33" s="41">
        <f t="shared" si="9"/>
        <v>200</v>
      </c>
    </row>
    <row r="34" spans="1:25" ht="18.75" customHeight="1" x14ac:dyDescent="0.25">
      <c r="A34" s="98"/>
      <c r="B34" s="33">
        <f t="shared" si="7"/>
        <v>14</v>
      </c>
      <c r="C34" s="72">
        <f>VLOOKUP(B34,'WTAX-CBPA'!B:N,2,0)</f>
        <v>0</v>
      </c>
      <c r="D34" s="72" t="e">
        <f>VLOOKUP(C34,'WTAX-CBPA'!C:O,2,0)</f>
        <v>#N/A</v>
      </c>
      <c r="E34" s="306">
        <f>VLOOKUP(B34,'WTAX-CBPA'!B:N,4,0)</f>
        <v>0</v>
      </c>
      <c r="F34" s="89"/>
      <c r="G34" s="91"/>
      <c r="H34" s="91"/>
      <c r="I34" s="37">
        <f t="shared" si="0"/>
        <v>0</v>
      </c>
      <c r="J34" s="332">
        <f>'WTAX-CBPA'!N21</f>
        <v>0</v>
      </c>
      <c r="K34" s="211">
        <f t="shared" si="1"/>
        <v>0</v>
      </c>
      <c r="L34" s="40">
        <f>'WTAX-CBPA'!F21</f>
        <v>0</v>
      </c>
      <c r="M34" s="37">
        <f>'CBPA - DEDS'!R33</f>
        <v>0</v>
      </c>
      <c r="N34" s="37">
        <f>'CBPA - DEDS'!X33</f>
        <v>0</v>
      </c>
      <c r="O34" s="37">
        <f>'CBPA - DEDS'!Y33</f>
        <v>0</v>
      </c>
      <c r="P34" s="37">
        <f>'CBPA - DEDS'!AE33</f>
        <v>0</v>
      </c>
      <c r="Q34" s="38">
        <f t="shared" si="2"/>
        <v>0</v>
      </c>
      <c r="R34" s="49">
        <f t="shared" si="3"/>
        <v>0</v>
      </c>
      <c r="S34" s="76">
        <f t="shared" si="4"/>
        <v>0</v>
      </c>
      <c r="T34" s="77">
        <f t="shared" si="5"/>
        <v>0</v>
      </c>
      <c r="U34" s="33">
        <f t="shared" si="6"/>
        <v>14</v>
      </c>
      <c r="V34" s="36">
        <f>ROUND('CBPA - PAY'!I34*0.12,2)</f>
        <v>0</v>
      </c>
      <c r="W34" s="37">
        <f t="shared" si="8"/>
        <v>100</v>
      </c>
      <c r="X34" s="37">
        <f>MIN((I34*0.05)-'CBPA - DEDS'!Y33,2500)</f>
        <v>0</v>
      </c>
      <c r="Y34" s="41">
        <f t="shared" si="9"/>
        <v>200</v>
      </c>
    </row>
    <row r="35" spans="1:25" ht="18.75" customHeight="1" x14ac:dyDescent="0.25">
      <c r="A35" s="98"/>
      <c r="B35" s="33">
        <f t="shared" si="7"/>
        <v>15</v>
      </c>
      <c r="C35" s="72">
        <f>VLOOKUP(B35,'WTAX-CBPA'!B:N,2,0)</f>
        <v>0</v>
      </c>
      <c r="D35" s="72" t="e">
        <f>VLOOKUP(C35,'WTAX-CBPA'!C:O,2,0)</f>
        <v>#N/A</v>
      </c>
      <c r="E35" s="306">
        <f>VLOOKUP(B35,'WTAX-CBPA'!B:N,4,0)</f>
        <v>0</v>
      </c>
      <c r="F35" s="89"/>
      <c r="G35" s="91"/>
      <c r="H35" s="91"/>
      <c r="I35" s="37">
        <f t="shared" si="0"/>
        <v>0</v>
      </c>
      <c r="J35" s="332">
        <f>'WTAX-CBPA'!N22</f>
        <v>0</v>
      </c>
      <c r="K35" s="211">
        <f t="shared" si="1"/>
        <v>0</v>
      </c>
      <c r="L35" s="40">
        <f>'WTAX-CBPA'!F22</f>
        <v>0</v>
      </c>
      <c r="M35" s="37">
        <f>'CBPA - DEDS'!R34</f>
        <v>0</v>
      </c>
      <c r="N35" s="37">
        <f>'CBPA - DEDS'!X34</f>
        <v>0</v>
      </c>
      <c r="O35" s="37">
        <f>'CBPA - DEDS'!Y34</f>
        <v>0</v>
      </c>
      <c r="P35" s="37">
        <f>'CBPA - DEDS'!AE34</f>
        <v>0</v>
      </c>
      <c r="Q35" s="38">
        <f t="shared" si="2"/>
        <v>0</v>
      </c>
      <c r="R35" s="49">
        <f t="shared" si="3"/>
        <v>0</v>
      </c>
      <c r="S35" s="76">
        <f t="shared" si="4"/>
        <v>0</v>
      </c>
      <c r="T35" s="77">
        <f t="shared" si="5"/>
        <v>0</v>
      </c>
      <c r="U35" s="33">
        <f t="shared" si="6"/>
        <v>15</v>
      </c>
      <c r="V35" s="36">
        <f>ROUND('CBPA - PAY'!I35*0.12,2)</f>
        <v>0</v>
      </c>
      <c r="W35" s="37">
        <f t="shared" si="8"/>
        <v>100</v>
      </c>
      <c r="X35" s="37">
        <f>MIN((I35*0.05)-'CBPA - DEDS'!Y34,2500)</f>
        <v>0</v>
      </c>
      <c r="Y35" s="41">
        <f t="shared" si="9"/>
        <v>200</v>
      </c>
    </row>
    <row r="36" spans="1:25" ht="18.75" customHeight="1" x14ac:dyDescent="0.25">
      <c r="A36" s="98"/>
      <c r="B36" s="33">
        <f t="shared" si="7"/>
        <v>16</v>
      </c>
      <c r="C36" s="72">
        <f>VLOOKUP(B36,'WTAX-CBPA'!B:N,2,0)</f>
        <v>0</v>
      </c>
      <c r="D36" s="72" t="e">
        <f>VLOOKUP(C36,'WTAX-CBPA'!C:O,2,0)</f>
        <v>#N/A</v>
      </c>
      <c r="E36" s="306">
        <f>VLOOKUP(B36,'WTAX-CBPA'!B:N,4,0)</f>
        <v>0</v>
      </c>
      <c r="F36" s="89"/>
      <c r="G36" s="91"/>
      <c r="H36" s="91"/>
      <c r="I36" s="37">
        <f t="shared" si="0"/>
        <v>0</v>
      </c>
      <c r="J36" s="332">
        <f>'WTAX-CBPA'!N23</f>
        <v>0</v>
      </c>
      <c r="K36" s="211">
        <f t="shared" si="1"/>
        <v>0</v>
      </c>
      <c r="L36" s="40">
        <f>'WTAX-CBPA'!F23</f>
        <v>0</v>
      </c>
      <c r="M36" s="37">
        <f>'CBPA - DEDS'!R35</f>
        <v>0</v>
      </c>
      <c r="N36" s="37">
        <f>'CBPA - DEDS'!X35</f>
        <v>0</v>
      </c>
      <c r="O36" s="37">
        <f>'CBPA - DEDS'!Y35</f>
        <v>0</v>
      </c>
      <c r="P36" s="37">
        <f>'CBPA - DEDS'!AE35</f>
        <v>0</v>
      </c>
      <c r="Q36" s="38">
        <f t="shared" si="2"/>
        <v>0</v>
      </c>
      <c r="R36" s="49">
        <f t="shared" si="3"/>
        <v>0</v>
      </c>
      <c r="S36" s="76">
        <f t="shared" si="4"/>
        <v>0</v>
      </c>
      <c r="T36" s="77">
        <f t="shared" si="5"/>
        <v>0</v>
      </c>
      <c r="U36" s="33">
        <f t="shared" si="6"/>
        <v>16</v>
      </c>
      <c r="V36" s="36">
        <f>ROUND('CBPA - PAY'!I36*0.12,2)</f>
        <v>0</v>
      </c>
      <c r="W36" s="37">
        <f t="shared" si="8"/>
        <v>100</v>
      </c>
      <c r="X36" s="37">
        <f>MIN((I36*0.05)-'CBPA - DEDS'!Y35,2500)</f>
        <v>0</v>
      </c>
      <c r="Y36" s="41">
        <f t="shared" si="9"/>
        <v>200</v>
      </c>
    </row>
    <row r="37" spans="1:25" ht="18.75" customHeight="1" x14ac:dyDescent="0.25">
      <c r="A37" s="98"/>
      <c r="B37" s="33">
        <f t="shared" si="7"/>
        <v>17</v>
      </c>
      <c r="C37" s="72">
        <f>VLOOKUP(B37,'WTAX-CBPA'!B:N,2,0)</f>
        <v>0</v>
      </c>
      <c r="D37" s="72" t="e">
        <f>VLOOKUP(C37,'WTAX-CBPA'!C:O,2,0)</f>
        <v>#N/A</v>
      </c>
      <c r="E37" s="306">
        <f>VLOOKUP(B37,'WTAX-CBPA'!B:N,4,0)</f>
        <v>0</v>
      </c>
      <c r="F37" s="89"/>
      <c r="G37" s="91"/>
      <c r="H37" s="91"/>
      <c r="I37" s="37">
        <f t="shared" si="0"/>
        <v>0</v>
      </c>
      <c r="J37" s="332">
        <f>'WTAX-CBPA'!N24</f>
        <v>0</v>
      </c>
      <c r="K37" s="211">
        <f t="shared" si="1"/>
        <v>0</v>
      </c>
      <c r="L37" s="40">
        <f>'WTAX-CBPA'!F24</f>
        <v>0</v>
      </c>
      <c r="M37" s="37">
        <f>'CBPA - DEDS'!R36</f>
        <v>0</v>
      </c>
      <c r="N37" s="37">
        <f>'CBPA - DEDS'!X36</f>
        <v>0</v>
      </c>
      <c r="O37" s="37">
        <f>'CBPA - DEDS'!Y36</f>
        <v>0</v>
      </c>
      <c r="P37" s="37">
        <f>'CBPA - DEDS'!AE36</f>
        <v>0</v>
      </c>
      <c r="Q37" s="38">
        <f t="shared" si="2"/>
        <v>0</v>
      </c>
      <c r="R37" s="49">
        <f t="shared" si="3"/>
        <v>0</v>
      </c>
      <c r="S37" s="76">
        <f t="shared" si="4"/>
        <v>0</v>
      </c>
      <c r="T37" s="77">
        <f t="shared" si="5"/>
        <v>0</v>
      </c>
      <c r="U37" s="33">
        <f t="shared" si="6"/>
        <v>17</v>
      </c>
      <c r="V37" s="36">
        <f>ROUND('CBPA - PAY'!I37*0.12,2)</f>
        <v>0</v>
      </c>
      <c r="W37" s="37">
        <f t="shared" si="8"/>
        <v>100</v>
      </c>
      <c r="X37" s="37">
        <f>MIN((I37*0.05)-'CBPA - DEDS'!Y36,2500)</f>
        <v>0</v>
      </c>
      <c r="Y37" s="41">
        <f t="shared" si="9"/>
        <v>200</v>
      </c>
    </row>
    <row r="38" spans="1:25" ht="18.75" customHeight="1" x14ac:dyDescent="0.25">
      <c r="A38" s="98"/>
      <c r="B38" s="33">
        <f t="shared" si="7"/>
        <v>18</v>
      </c>
      <c r="C38" s="72">
        <f>VLOOKUP(B38,'WTAX-CBPA'!B:N,2,0)</f>
        <v>0</v>
      </c>
      <c r="D38" s="72" t="e">
        <f>VLOOKUP(C38,'WTAX-CBPA'!C:O,2,0)</f>
        <v>#N/A</v>
      </c>
      <c r="E38" s="306">
        <f>VLOOKUP(B38,'WTAX-CBPA'!B:N,4,0)</f>
        <v>0</v>
      </c>
      <c r="F38" s="89"/>
      <c r="G38" s="91"/>
      <c r="H38" s="91"/>
      <c r="I38" s="37">
        <f t="shared" si="0"/>
        <v>0</v>
      </c>
      <c r="J38" s="332">
        <f>'WTAX-CBPA'!N25</f>
        <v>0</v>
      </c>
      <c r="K38" s="211">
        <f t="shared" si="1"/>
        <v>0</v>
      </c>
      <c r="L38" s="40">
        <f>'WTAX-CBPA'!F25</f>
        <v>0</v>
      </c>
      <c r="M38" s="37">
        <f>'CBPA - DEDS'!R37</f>
        <v>0</v>
      </c>
      <c r="N38" s="37">
        <f>'CBPA - DEDS'!X37</f>
        <v>0</v>
      </c>
      <c r="O38" s="37">
        <f>'CBPA - DEDS'!Y37</f>
        <v>0</v>
      </c>
      <c r="P38" s="37">
        <f>'CBPA - DEDS'!AE37</f>
        <v>0</v>
      </c>
      <c r="Q38" s="38">
        <f t="shared" si="2"/>
        <v>0</v>
      </c>
      <c r="R38" s="49">
        <f t="shared" si="3"/>
        <v>0</v>
      </c>
      <c r="S38" s="76">
        <f t="shared" si="4"/>
        <v>0</v>
      </c>
      <c r="T38" s="77">
        <f t="shared" si="5"/>
        <v>0</v>
      </c>
      <c r="U38" s="33">
        <f t="shared" si="6"/>
        <v>18</v>
      </c>
      <c r="V38" s="36">
        <f>ROUND('CBPA - PAY'!I38*0.12,2)</f>
        <v>0</v>
      </c>
      <c r="W38" s="37">
        <f t="shared" si="8"/>
        <v>100</v>
      </c>
      <c r="X38" s="37">
        <f>MIN((I38*0.05)-'CBPA - DEDS'!Y37,2500)</f>
        <v>0</v>
      </c>
      <c r="Y38" s="41">
        <f t="shared" si="9"/>
        <v>200</v>
      </c>
    </row>
    <row r="39" spans="1:25" ht="18.75" customHeight="1" x14ac:dyDescent="0.25">
      <c r="A39" s="98"/>
      <c r="B39" s="33">
        <f t="shared" si="7"/>
        <v>19</v>
      </c>
      <c r="C39" s="72">
        <f>VLOOKUP(B39,'WTAX-CBPA'!B:N,2,0)</f>
        <v>0</v>
      </c>
      <c r="D39" s="72" t="e">
        <f>VLOOKUP(C39,'WTAX-CBPA'!C:O,2,0)</f>
        <v>#N/A</v>
      </c>
      <c r="E39" s="306">
        <f>VLOOKUP(B39,'WTAX-CBPA'!B:N,4,0)</f>
        <v>0</v>
      </c>
      <c r="F39" s="86"/>
      <c r="G39" s="91"/>
      <c r="H39" s="91"/>
      <c r="I39" s="37">
        <f t="shared" si="0"/>
        <v>0</v>
      </c>
      <c r="J39" s="332">
        <f>'WTAX-CBPA'!N26</f>
        <v>0</v>
      </c>
      <c r="K39" s="211">
        <f t="shared" si="1"/>
        <v>0</v>
      </c>
      <c r="L39" s="40">
        <f>'WTAX-CBPA'!F26</f>
        <v>0</v>
      </c>
      <c r="M39" s="37">
        <f>'CBPA - DEDS'!R38</f>
        <v>0</v>
      </c>
      <c r="N39" s="37">
        <f>'CBPA - DEDS'!X38</f>
        <v>0</v>
      </c>
      <c r="O39" s="37">
        <f>'CBPA - DEDS'!Y38</f>
        <v>0</v>
      </c>
      <c r="P39" s="37">
        <f>'CBPA - DEDS'!AE38</f>
        <v>0</v>
      </c>
      <c r="Q39" s="38">
        <f t="shared" si="2"/>
        <v>0</v>
      </c>
      <c r="R39" s="49">
        <f t="shared" si="3"/>
        <v>0</v>
      </c>
      <c r="S39" s="76">
        <f t="shared" si="4"/>
        <v>0</v>
      </c>
      <c r="T39" s="77">
        <f t="shared" si="5"/>
        <v>0</v>
      </c>
      <c r="U39" s="33">
        <f t="shared" si="6"/>
        <v>19</v>
      </c>
      <c r="V39" s="36">
        <f>ROUND('CBPA - PAY'!I39*0.12,2)</f>
        <v>0</v>
      </c>
      <c r="W39" s="37">
        <f t="shared" si="8"/>
        <v>100</v>
      </c>
      <c r="X39" s="37">
        <f>MIN((I39*0.05)-'CBPA - DEDS'!Y38,2500)</f>
        <v>0</v>
      </c>
      <c r="Y39" s="41">
        <f t="shared" si="9"/>
        <v>200</v>
      </c>
    </row>
    <row r="40" spans="1:25" ht="18.75" customHeight="1" x14ac:dyDescent="0.25">
      <c r="A40" s="98"/>
      <c r="B40" s="33">
        <f t="shared" si="7"/>
        <v>20</v>
      </c>
      <c r="C40" s="72">
        <f>VLOOKUP(B40,'WTAX-CBPA'!B:N,2,0)</f>
        <v>0</v>
      </c>
      <c r="D40" s="72" t="e">
        <f>VLOOKUP(C40,'WTAX-CBPA'!C:O,2,0)</f>
        <v>#N/A</v>
      </c>
      <c r="E40" s="306">
        <f>VLOOKUP(B40,'WTAX-CBPA'!B:N,4,0)</f>
        <v>0</v>
      </c>
      <c r="F40" s="89"/>
      <c r="G40" s="91"/>
      <c r="H40" s="91"/>
      <c r="I40" s="37">
        <f t="shared" si="0"/>
        <v>0</v>
      </c>
      <c r="J40" s="332">
        <f>'WTAX-CBPA'!N27</f>
        <v>0</v>
      </c>
      <c r="K40" s="211">
        <f t="shared" si="1"/>
        <v>0</v>
      </c>
      <c r="L40" s="40">
        <f>'WTAX-CBPA'!F27</f>
        <v>0</v>
      </c>
      <c r="M40" s="37">
        <f>'CBPA - DEDS'!R39</f>
        <v>0</v>
      </c>
      <c r="N40" s="37">
        <f>'CBPA - DEDS'!X39</f>
        <v>0</v>
      </c>
      <c r="O40" s="37">
        <f>'CBPA - DEDS'!Y39</f>
        <v>0</v>
      </c>
      <c r="P40" s="37">
        <f>'CBPA - DEDS'!AE39</f>
        <v>0</v>
      </c>
      <c r="Q40" s="38">
        <f t="shared" si="2"/>
        <v>0</v>
      </c>
      <c r="R40" s="49">
        <f t="shared" si="3"/>
        <v>0</v>
      </c>
      <c r="S40" s="76">
        <f t="shared" si="4"/>
        <v>0</v>
      </c>
      <c r="T40" s="77">
        <f t="shared" si="5"/>
        <v>0</v>
      </c>
      <c r="U40" s="33">
        <f t="shared" si="6"/>
        <v>20</v>
      </c>
      <c r="V40" s="36">
        <f>ROUND('CBPA - PAY'!I40*0.12,2)</f>
        <v>0</v>
      </c>
      <c r="W40" s="37">
        <f t="shared" si="8"/>
        <v>100</v>
      </c>
      <c r="X40" s="37">
        <f>MIN((I40*0.05)-'CBPA - DEDS'!Y39,2500)</f>
        <v>0</v>
      </c>
      <c r="Y40" s="41">
        <f t="shared" si="9"/>
        <v>200</v>
      </c>
    </row>
    <row r="41" spans="1:25" ht="18.75" customHeight="1" x14ac:dyDescent="0.25">
      <c r="A41" s="98"/>
      <c r="B41" s="33">
        <f t="shared" si="7"/>
        <v>21</v>
      </c>
      <c r="C41" s="72">
        <f>VLOOKUP(B41,'WTAX-CBPA'!B:N,2,0)</f>
        <v>0</v>
      </c>
      <c r="D41" s="72" t="e">
        <f>VLOOKUP(C41,'WTAX-CBPA'!C:O,2,0)</f>
        <v>#N/A</v>
      </c>
      <c r="E41" s="306">
        <f>VLOOKUP(B41,'WTAX-CBPA'!B:N,4,0)</f>
        <v>0</v>
      </c>
      <c r="F41" s="89"/>
      <c r="G41" s="91"/>
      <c r="H41" s="91"/>
      <c r="I41" s="37">
        <f t="shared" si="0"/>
        <v>0</v>
      </c>
      <c r="J41" s="332">
        <f>'WTAX-CBPA'!N28</f>
        <v>0</v>
      </c>
      <c r="K41" s="211">
        <f t="shared" si="1"/>
        <v>0</v>
      </c>
      <c r="L41" s="40">
        <f>'WTAX-CBPA'!F28</f>
        <v>0</v>
      </c>
      <c r="M41" s="37">
        <f>'CBPA - DEDS'!R40</f>
        <v>0</v>
      </c>
      <c r="N41" s="37">
        <f>'CBPA - DEDS'!X40</f>
        <v>0</v>
      </c>
      <c r="O41" s="37">
        <f>'CBPA - DEDS'!Y40</f>
        <v>0</v>
      </c>
      <c r="P41" s="37">
        <f>'CBPA - DEDS'!AE40</f>
        <v>0</v>
      </c>
      <c r="Q41" s="38">
        <f t="shared" si="2"/>
        <v>0</v>
      </c>
      <c r="R41" s="49">
        <f t="shared" si="3"/>
        <v>0</v>
      </c>
      <c r="S41" s="76">
        <f t="shared" si="4"/>
        <v>0</v>
      </c>
      <c r="T41" s="77">
        <f t="shared" si="5"/>
        <v>0</v>
      </c>
      <c r="U41" s="33">
        <f t="shared" si="6"/>
        <v>21</v>
      </c>
      <c r="V41" s="36">
        <f>ROUND('CBPA - PAY'!I41*0.12,2)</f>
        <v>0</v>
      </c>
      <c r="W41" s="37">
        <f t="shared" si="8"/>
        <v>100</v>
      </c>
      <c r="X41" s="37">
        <f>MIN((I41*0.05)-'CBPA - DEDS'!Y40,2500)</f>
        <v>0</v>
      </c>
      <c r="Y41" s="41">
        <f t="shared" si="9"/>
        <v>200</v>
      </c>
    </row>
    <row r="42" spans="1:25" ht="18.75" customHeight="1" x14ac:dyDescent="0.25">
      <c r="A42" s="98"/>
      <c r="B42" s="33">
        <f t="shared" si="7"/>
        <v>22</v>
      </c>
      <c r="C42" s="72">
        <f>VLOOKUP(B42,'WTAX-CBPA'!B:N,2,0)</f>
        <v>0</v>
      </c>
      <c r="D42" s="72" t="e">
        <f>VLOOKUP(C42,'WTAX-CBPA'!C:O,2,0)</f>
        <v>#N/A</v>
      </c>
      <c r="E42" s="306">
        <f>VLOOKUP(B42,'WTAX-CBPA'!B:N,4,0)</f>
        <v>0</v>
      </c>
      <c r="F42" s="89"/>
      <c r="G42" s="91"/>
      <c r="H42" s="91"/>
      <c r="I42" s="37">
        <f t="shared" si="0"/>
        <v>0</v>
      </c>
      <c r="J42" s="332">
        <f>'WTAX-CBPA'!N29</f>
        <v>0</v>
      </c>
      <c r="K42" s="211">
        <f t="shared" si="1"/>
        <v>0</v>
      </c>
      <c r="L42" s="40">
        <f>'WTAX-CBPA'!F29</f>
        <v>0</v>
      </c>
      <c r="M42" s="37">
        <f>'CBPA - DEDS'!R41</f>
        <v>0</v>
      </c>
      <c r="N42" s="37">
        <f>'CBPA - DEDS'!X41</f>
        <v>0</v>
      </c>
      <c r="O42" s="37">
        <f>'CBPA - DEDS'!Y41</f>
        <v>0</v>
      </c>
      <c r="P42" s="37">
        <f>'CBPA - DEDS'!AE41</f>
        <v>0</v>
      </c>
      <c r="Q42" s="38">
        <f t="shared" si="2"/>
        <v>0</v>
      </c>
      <c r="R42" s="49">
        <f t="shared" si="3"/>
        <v>0</v>
      </c>
      <c r="S42" s="76">
        <f t="shared" si="4"/>
        <v>0</v>
      </c>
      <c r="T42" s="77">
        <f t="shared" si="5"/>
        <v>0</v>
      </c>
      <c r="U42" s="33">
        <f t="shared" si="6"/>
        <v>22</v>
      </c>
      <c r="V42" s="36">
        <f>ROUND('CBPA - PAY'!I42*0.12,2)</f>
        <v>0</v>
      </c>
      <c r="W42" s="37">
        <f t="shared" si="8"/>
        <v>100</v>
      </c>
      <c r="X42" s="37">
        <f>MIN((I42*0.05)-'CBPA - DEDS'!Y41,2500)</f>
        <v>0</v>
      </c>
      <c r="Y42" s="41">
        <f t="shared" si="9"/>
        <v>200</v>
      </c>
    </row>
    <row r="43" spans="1:25" ht="18.75" customHeight="1" x14ac:dyDescent="0.25">
      <c r="A43" s="98"/>
      <c r="B43" s="33">
        <f t="shared" si="7"/>
        <v>23</v>
      </c>
      <c r="C43" s="72">
        <f>VLOOKUP(B43,'WTAX-CBPA'!B:N,2,0)</f>
        <v>0</v>
      </c>
      <c r="D43" s="72" t="e">
        <f>VLOOKUP(C43,'WTAX-CBPA'!C:O,2,0)</f>
        <v>#N/A</v>
      </c>
      <c r="E43" s="306">
        <f>VLOOKUP(B43,'WTAX-CBPA'!B:N,4,0)</f>
        <v>0</v>
      </c>
      <c r="F43" s="89"/>
      <c r="G43" s="91"/>
      <c r="H43" s="91"/>
      <c r="I43" s="37">
        <f t="shared" si="0"/>
        <v>0</v>
      </c>
      <c r="J43" s="332">
        <f>'WTAX-CBPA'!N30</f>
        <v>0</v>
      </c>
      <c r="K43" s="211">
        <f t="shared" si="1"/>
        <v>0</v>
      </c>
      <c r="L43" s="40">
        <f>'WTAX-CBPA'!F30</f>
        <v>0</v>
      </c>
      <c r="M43" s="37">
        <f>'CBPA - DEDS'!R42</f>
        <v>0</v>
      </c>
      <c r="N43" s="37">
        <f>'CBPA - DEDS'!X42</f>
        <v>0</v>
      </c>
      <c r="O43" s="37">
        <f>'CBPA - DEDS'!Y42</f>
        <v>0</v>
      </c>
      <c r="P43" s="37">
        <f>'CBPA - DEDS'!AE42</f>
        <v>0</v>
      </c>
      <c r="Q43" s="38">
        <f t="shared" si="2"/>
        <v>0</v>
      </c>
      <c r="R43" s="49">
        <f t="shared" si="3"/>
        <v>0</v>
      </c>
      <c r="S43" s="76">
        <f t="shared" si="4"/>
        <v>0</v>
      </c>
      <c r="T43" s="77">
        <f t="shared" si="5"/>
        <v>0</v>
      </c>
      <c r="U43" s="33">
        <f t="shared" si="6"/>
        <v>23</v>
      </c>
      <c r="V43" s="36">
        <f>ROUND('CBPA - PAY'!I43*0.12,2)</f>
        <v>0</v>
      </c>
      <c r="W43" s="37">
        <f t="shared" si="8"/>
        <v>100</v>
      </c>
      <c r="X43" s="37">
        <f>MIN((I43*0.05)-'CBPA - DEDS'!Y42,2500)</f>
        <v>0</v>
      </c>
      <c r="Y43" s="41">
        <f t="shared" si="9"/>
        <v>200</v>
      </c>
    </row>
    <row r="44" spans="1:25" ht="18.75" customHeight="1" x14ac:dyDescent="0.25">
      <c r="A44" s="98"/>
      <c r="B44" s="33">
        <f t="shared" si="7"/>
        <v>24</v>
      </c>
      <c r="C44" s="72">
        <f>VLOOKUP(B44,'WTAX-CBPA'!B:N,2,0)</f>
        <v>0</v>
      </c>
      <c r="D44" s="72" t="e">
        <f>VLOOKUP(C44,'WTAX-CBPA'!C:O,2,0)</f>
        <v>#N/A</v>
      </c>
      <c r="E44" s="306">
        <f>VLOOKUP(B44,'WTAX-CBPA'!B:N,4,0)</f>
        <v>0</v>
      </c>
      <c r="F44" s="89"/>
      <c r="G44" s="91"/>
      <c r="H44" s="91"/>
      <c r="I44" s="37">
        <f t="shared" si="0"/>
        <v>0</v>
      </c>
      <c r="J44" s="332">
        <f>'WTAX-CBPA'!N31</f>
        <v>0</v>
      </c>
      <c r="K44" s="211">
        <f t="shared" si="1"/>
        <v>0</v>
      </c>
      <c r="L44" s="40">
        <f>'WTAX-CBPA'!F31</f>
        <v>0</v>
      </c>
      <c r="M44" s="37">
        <f>'CBPA - DEDS'!R43</f>
        <v>0</v>
      </c>
      <c r="N44" s="37">
        <f>'CBPA - DEDS'!X43</f>
        <v>0</v>
      </c>
      <c r="O44" s="37">
        <f>'CBPA - DEDS'!Y43</f>
        <v>0</v>
      </c>
      <c r="P44" s="37">
        <f>'CBPA - DEDS'!AE43</f>
        <v>0</v>
      </c>
      <c r="Q44" s="38">
        <f t="shared" si="2"/>
        <v>0</v>
      </c>
      <c r="R44" s="49">
        <f t="shared" si="3"/>
        <v>0</v>
      </c>
      <c r="S44" s="76">
        <f t="shared" si="4"/>
        <v>0</v>
      </c>
      <c r="T44" s="77">
        <f t="shared" si="5"/>
        <v>0</v>
      </c>
      <c r="U44" s="33">
        <f t="shared" si="6"/>
        <v>24</v>
      </c>
      <c r="V44" s="36">
        <f>ROUND('CBPA - PAY'!I44*0.12,2)</f>
        <v>0</v>
      </c>
      <c r="W44" s="37">
        <f t="shared" si="8"/>
        <v>100</v>
      </c>
      <c r="X44" s="37">
        <f>MIN((I44*0.05)-'CBPA - DEDS'!Y43,2500)</f>
        <v>0</v>
      </c>
      <c r="Y44" s="41">
        <f t="shared" si="9"/>
        <v>200</v>
      </c>
    </row>
    <row r="45" spans="1:25" ht="18.75" customHeight="1" x14ac:dyDescent="0.25">
      <c r="A45" s="98"/>
      <c r="B45" s="33">
        <f t="shared" si="7"/>
        <v>25</v>
      </c>
      <c r="C45" s="72">
        <f>VLOOKUP(B45,'WTAX-CBPA'!B:N,2,0)</f>
        <v>0</v>
      </c>
      <c r="D45" s="72" t="e">
        <f>VLOOKUP(C45,'WTAX-CBPA'!C:O,2,0)</f>
        <v>#N/A</v>
      </c>
      <c r="E45" s="306">
        <f>VLOOKUP(B45,'WTAX-CBPA'!B:N,4,0)</f>
        <v>0</v>
      </c>
      <c r="F45" s="89"/>
      <c r="G45" s="91"/>
      <c r="H45" s="91"/>
      <c r="I45" s="37">
        <f t="shared" si="0"/>
        <v>0</v>
      </c>
      <c r="J45" s="332">
        <f>'WTAX-CBPA'!N32</f>
        <v>0</v>
      </c>
      <c r="K45" s="211">
        <f t="shared" si="1"/>
        <v>0</v>
      </c>
      <c r="L45" s="40">
        <f>'WTAX-CBPA'!F32</f>
        <v>0</v>
      </c>
      <c r="M45" s="37">
        <f>'CBPA - DEDS'!R44</f>
        <v>0</v>
      </c>
      <c r="N45" s="37">
        <f>'CBPA - DEDS'!X44</f>
        <v>0</v>
      </c>
      <c r="O45" s="37">
        <f>'CBPA - DEDS'!Y44</f>
        <v>0</v>
      </c>
      <c r="P45" s="37">
        <f>'CBPA - DEDS'!AE44</f>
        <v>0</v>
      </c>
      <c r="Q45" s="38">
        <f t="shared" si="2"/>
        <v>0</v>
      </c>
      <c r="R45" s="49">
        <f t="shared" si="3"/>
        <v>0</v>
      </c>
      <c r="S45" s="76">
        <f t="shared" si="4"/>
        <v>0</v>
      </c>
      <c r="T45" s="77">
        <f t="shared" si="5"/>
        <v>0</v>
      </c>
      <c r="U45" s="33">
        <f t="shared" si="6"/>
        <v>25</v>
      </c>
      <c r="V45" s="36">
        <f>ROUND('CBPA - PAY'!I45*0.12,2)</f>
        <v>0</v>
      </c>
      <c r="W45" s="37">
        <f t="shared" si="8"/>
        <v>100</v>
      </c>
      <c r="X45" s="37">
        <f>MIN((I45*0.05)-'CBPA - DEDS'!Y44,2500)</f>
        <v>0</v>
      </c>
      <c r="Y45" s="41">
        <f t="shared" si="9"/>
        <v>200</v>
      </c>
    </row>
    <row r="46" spans="1:25" ht="18.75" customHeight="1" x14ac:dyDescent="0.25">
      <c r="A46" s="98"/>
      <c r="B46" s="33">
        <f t="shared" si="7"/>
        <v>26</v>
      </c>
      <c r="C46" s="72">
        <f>VLOOKUP(B46,'WTAX-CBPA'!B:N,2,0)</f>
        <v>0</v>
      </c>
      <c r="D46" s="72" t="e">
        <f>VLOOKUP(C46,'WTAX-CBPA'!C:O,2,0)</f>
        <v>#N/A</v>
      </c>
      <c r="E46" s="306">
        <f>VLOOKUP(B46,'WTAX-CBPA'!B:N,4,0)</f>
        <v>0</v>
      </c>
      <c r="F46" s="89"/>
      <c r="G46" s="91"/>
      <c r="H46" s="91"/>
      <c r="I46" s="37">
        <f t="shared" si="0"/>
        <v>0</v>
      </c>
      <c r="J46" s="332">
        <f>'WTAX-CBPA'!N33</f>
        <v>0</v>
      </c>
      <c r="K46" s="211">
        <f t="shared" si="1"/>
        <v>0</v>
      </c>
      <c r="L46" s="40">
        <f>'WTAX-CBPA'!F33</f>
        <v>0</v>
      </c>
      <c r="M46" s="37">
        <f>'CBPA - DEDS'!R45</f>
        <v>0</v>
      </c>
      <c r="N46" s="37">
        <f>'CBPA - DEDS'!X45</f>
        <v>0</v>
      </c>
      <c r="O46" s="37">
        <f>'CBPA - DEDS'!Y45</f>
        <v>0</v>
      </c>
      <c r="P46" s="37">
        <f>'CBPA - DEDS'!AE45</f>
        <v>0</v>
      </c>
      <c r="Q46" s="38">
        <f t="shared" si="2"/>
        <v>0</v>
      </c>
      <c r="R46" s="49">
        <f t="shared" si="3"/>
        <v>0</v>
      </c>
      <c r="S46" s="76">
        <f t="shared" si="4"/>
        <v>0</v>
      </c>
      <c r="T46" s="77">
        <f t="shared" si="5"/>
        <v>0</v>
      </c>
      <c r="U46" s="33">
        <f t="shared" si="6"/>
        <v>26</v>
      </c>
      <c r="V46" s="36">
        <f>ROUND('CBPA - PAY'!I46*0.12,2)</f>
        <v>0</v>
      </c>
      <c r="W46" s="37">
        <f t="shared" si="8"/>
        <v>100</v>
      </c>
      <c r="X46" s="37">
        <f>MIN((I46*0.05)-'CBPA - DEDS'!Y45,2500)</f>
        <v>0</v>
      </c>
      <c r="Y46" s="41">
        <f t="shared" si="9"/>
        <v>200</v>
      </c>
    </row>
    <row r="47" spans="1:25" ht="18.75" customHeight="1" x14ac:dyDescent="0.25">
      <c r="A47" s="98"/>
      <c r="B47" s="33">
        <f t="shared" si="7"/>
        <v>27</v>
      </c>
      <c r="C47" s="72">
        <f>VLOOKUP(B47,'WTAX-CBPA'!B:N,2,0)</f>
        <v>0</v>
      </c>
      <c r="D47" s="72" t="e">
        <f>VLOOKUP(C47,'WTAX-CBPA'!C:O,2,0)</f>
        <v>#N/A</v>
      </c>
      <c r="E47" s="306">
        <f>VLOOKUP(B47,'WTAX-CBPA'!B:N,4,0)</f>
        <v>0</v>
      </c>
      <c r="F47" s="86"/>
      <c r="G47" s="91"/>
      <c r="H47" s="91"/>
      <c r="I47" s="37">
        <f t="shared" si="0"/>
        <v>0</v>
      </c>
      <c r="J47" s="332">
        <f>'WTAX-CBPA'!N34</f>
        <v>0</v>
      </c>
      <c r="K47" s="211">
        <f t="shared" si="1"/>
        <v>0</v>
      </c>
      <c r="L47" s="40">
        <f>'WTAX-CBPA'!F34</f>
        <v>0</v>
      </c>
      <c r="M47" s="37">
        <f>'CBPA - DEDS'!R46</f>
        <v>0</v>
      </c>
      <c r="N47" s="37">
        <f>'CBPA - DEDS'!X46</f>
        <v>0</v>
      </c>
      <c r="O47" s="37">
        <f>'CBPA - DEDS'!Y46</f>
        <v>0</v>
      </c>
      <c r="P47" s="37">
        <f>'CBPA - DEDS'!AE46</f>
        <v>0</v>
      </c>
      <c r="Q47" s="38">
        <f t="shared" si="2"/>
        <v>0</v>
      </c>
      <c r="R47" s="49">
        <f t="shared" si="3"/>
        <v>0</v>
      </c>
      <c r="S47" s="76">
        <f t="shared" si="4"/>
        <v>0</v>
      </c>
      <c r="T47" s="77">
        <f t="shared" si="5"/>
        <v>0</v>
      </c>
      <c r="U47" s="33">
        <f t="shared" si="6"/>
        <v>27</v>
      </c>
      <c r="V47" s="36">
        <f>ROUND('CBPA - PAY'!I47*0.12,2)</f>
        <v>0</v>
      </c>
      <c r="W47" s="37">
        <f t="shared" si="8"/>
        <v>100</v>
      </c>
      <c r="X47" s="37">
        <f>MIN((I47*0.05)-'CBPA - DEDS'!Y46,2500)</f>
        <v>0</v>
      </c>
      <c r="Y47" s="41">
        <f t="shared" si="9"/>
        <v>200</v>
      </c>
    </row>
    <row r="48" spans="1:25" ht="18.75" customHeight="1" x14ac:dyDescent="0.25">
      <c r="A48" s="98"/>
      <c r="B48" s="33">
        <f t="shared" si="7"/>
        <v>28</v>
      </c>
      <c r="C48" s="72">
        <f>VLOOKUP(B48,'WTAX-CBPA'!B:N,2,0)</f>
        <v>0</v>
      </c>
      <c r="D48" s="72" t="e">
        <f>VLOOKUP(C48,'WTAX-CBPA'!C:O,2,0)</f>
        <v>#N/A</v>
      </c>
      <c r="E48" s="306">
        <f>VLOOKUP(B48,'WTAX-CBPA'!B:N,4,0)</f>
        <v>0</v>
      </c>
      <c r="F48" s="89"/>
      <c r="G48" s="91"/>
      <c r="H48" s="91"/>
      <c r="I48" s="37">
        <f t="shared" si="0"/>
        <v>0</v>
      </c>
      <c r="J48" s="332">
        <f>'WTAX-CBPA'!N35</f>
        <v>0</v>
      </c>
      <c r="K48" s="211">
        <f t="shared" si="1"/>
        <v>0</v>
      </c>
      <c r="L48" s="40">
        <f>'WTAX-CBPA'!F35</f>
        <v>0</v>
      </c>
      <c r="M48" s="37">
        <f>'CBPA - DEDS'!R47</f>
        <v>0</v>
      </c>
      <c r="N48" s="37">
        <f>'CBPA - DEDS'!X47</f>
        <v>0</v>
      </c>
      <c r="O48" s="37">
        <f>'CBPA - DEDS'!Y47</f>
        <v>0</v>
      </c>
      <c r="P48" s="37">
        <f>'CBPA - DEDS'!AE47</f>
        <v>0</v>
      </c>
      <c r="Q48" s="38">
        <f t="shared" si="2"/>
        <v>0</v>
      </c>
      <c r="R48" s="49">
        <f t="shared" si="3"/>
        <v>0</v>
      </c>
      <c r="S48" s="76">
        <f t="shared" si="4"/>
        <v>0</v>
      </c>
      <c r="T48" s="77">
        <f t="shared" si="5"/>
        <v>0</v>
      </c>
      <c r="U48" s="33">
        <f t="shared" si="6"/>
        <v>28</v>
      </c>
      <c r="V48" s="36">
        <f>ROUND('CBPA - PAY'!I48*0.12,2)</f>
        <v>0</v>
      </c>
      <c r="W48" s="37">
        <f t="shared" si="8"/>
        <v>100</v>
      </c>
      <c r="X48" s="37">
        <f>MIN((I48*0.05)-'CBPA - DEDS'!Y47,2500)</f>
        <v>0</v>
      </c>
      <c r="Y48" s="41">
        <f t="shared" si="9"/>
        <v>200</v>
      </c>
    </row>
    <row r="49" spans="1:25" ht="18.75" customHeight="1" x14ac:dyDescent="0.25">
      <c r="A49" s="98"/>
      <c r="B49" s="33">
        <f t="shared" si="7"/>
        <v>29</v>
      </c>
      <c r="C49" s="72">
        <f>VLOOKUP(B49,'WTAX-CBPA'!B:N,2,0)</f>
        <v>0</v>
      </c>
      <c r="D49" s="72" t="e">
        <f>VLOOKUP(C49,'WTAX-CBPA'!C:O,2,0)</f>
        <v>#N/A</v>
      </c>
      <c r="E49" s="306">
        <f>VLOOKUP(B49,'WTAX-CBPA'!B:N,4,0)</f>
        <v>0</v>
      </c>
      <c r="F49" s="86"/>
      <c r="G49" s="91"/>
      <c r="H49" s="91"/>
      <c r="I49" s="37">
        <f t="shared" si="0"/>
        <v>0</v>
      </c>
      <c r="J49" s="332">
        <f>'WTAX-CBPA'!N36</f>
        <v>0</v>
      </c>
      <c r="K49" s="211">
        <f t="shared" si="1"/>
        <v>0</v>
      </c>
      <c r="L49" s="40">
        <f>'WTAX-CBPA'!F36</f>
        <v>0</v>
      </c>
      <c r="M49" s="37">
        <f>'CBPA - DEDS'!R48</f>
        <v>0</v>
      </c>
      <c r="N49" s="37">
        <f>'CBPA - DEDS'!X48</f>
        <v>0</v>
      </c>
      <c r="O49" s="37">
        <f>'CBPA - DEDS'!Y48</f>
        <v>0</v>
      </c>
      <c r="P49" s="37">
        <f>'CBPA - DEDS'!AE48</f>
        <v>0</v>
      </c>
      <c r="Q49" s="38">
        <f t="shared" si="2"/>
        <v>0</v>
      </c>
      <c r="R49" s="49">
        <f t="shared" si="3"/>
        <v>0</v>
      </c>
      <c r="S49" s="76">
        <f t="shared" si="4"/>
        <v>0</v>
      </c>
      <c r="T49" s="77">
        <f t="shared" si="5"/>
        <v>0</v>
      </c>
      <c r="U49" s="33">
        <f t="shared" si="6"/>
        <v>29</v>
      </c>
      <c r="V49" s="36">
        <f>ROUND('CBPA - PAY'!I49*0.12,2)</f>
        <v>0</v>
      </c>
      <c r="W49" s="37">
        <f t="shared" si="8"/>
        <v>100</v>
      </c>
      <c r="X49" s="37">
        <f>MIN((I49*0.05)-'CBPA - DEDS'!Y48,2500)</f>
        <v>0</v>
      </c>
      <c r="Y49" s="41">
        <f t="shared" si="9"/>
        <v>200</v>
      </c>
    </row>
    <row r="50" spans="1:25" ht="18.75" customHeight="1" x14ac:dyDescent="0.25">
      <c r="A50" s="98"/>
      <c r="B50" s="33">
        <f t="shared" si="7"/>
        <v>30</v>
      </c>
      <c r="C50" s="72">
        <f>VLOOKUP(B50,'WTAX-CBPA'!B:N,2,0)</f>
        <v>0</v>
      </c>
      <c r="D50" s="72" t="e">
        <f>VLOOKUP(C50,'WTAX-CBPA'!C:O,2,0)</f>
        <v>#N/A</v>
      </c>
      <c r="E50" s="306">
        <f>VLOOKUP(B50,'WTAX-CBPA'!B:N,4,0)</f>
        <v>0</v>
      </c>
      <c r="F50" s="89"/>
      <c r="G50" s="91"/>
      <c r="H50" s="91"/>
      <c r="I50" s="37">
        <f t="shared" si="0"/>
        <v>0</v>
      </c>
      <c r="J50" s="332">
        <f>'WTAX-CBPA'!N37</f>
        <v>0</v>
      </c>
      <c r="K50" s="211">
        <f t="shared" si="1"/>
        <v>0</v>
      </c>
      <c r="L50" s="40">
        <f>'WTAX-CBPA'!F37</f>
        <v>0</v>
      </c>
      <c r="M50" s="37">
        <f>'CBPA - DEDS'!R49</f>
        <v>0</v>
      </c>
      <c r="N50" s="37">
        <f>'CBPA - DEDS'!X49</f>
        <v>0</v>
      </c>
      <c r="O50" s="37">
        <f>'CBPA - DEDS'!Y49</f>
        <v>0</v>
      </c>
      <c r="P50" s="37">
        <f>'CBPA - DEDS'!AE49</f>
        <v>0</v>
      </c>
      <c r="Q50" s="38">
        <f t="shared" si="2"/>
        <v>0</v>
      </c>
      <c r="R50" s="49">
        <f t="shared" si="3"/>
        <v>0</v>
      </c>
      <c r="S50" s="76">
        <f t="shared" si="4"/>
        <v>0</v>
      </c>
      <c r="T50" s="77">
        <f t="shared" si="5"/>
        <v>0</v>
      </c>
      <c r="U50" s="33">
        <f t="shared" si="6"/>
        <v>30</v>
      </c>
      <c r="V50" s="36">
        <f>ROUND('CBPA - PAY'!I50*0.12,2)</f>
        <v>0</v>
      </c>
      <c r="W50" s="37">
        <f t="shared" si="8"/>
        <v>100</v>
      </c>
      <c r="X50" s="37">
        <f>MIN((I50*0.05)-'CBPA - DEDS'!Y49,2500)</f>
        <v>0</v>
      </c>
      <c r="Y50" s="41">
        <f t="shared" si="9"/>
        <v>200</v>
      </c>
    </row>
    <row r="51" spans="1:25" ht="18.75" customHeight="1" x14ac:dyDescent="0.25">
      <c r="A51" s="98"/>
      <c r="B51" s="33">
        <f t="shared" si="7"/>
        <v>31</v>
      </c>
      <c r="C51" s="72">
        <f>VLOOKUP(B51,'WTAX-CBPA'!B:N,2,0)</f>
        <v>0</v>
      </c>
      <c r="D51" s="72" t="e">
        <f>VLOOKUP(C51,'WTAX-CBPA'!C:O,2,0)</f>
        <v>#N/A</v>
      </c>
      <c r="E51" s="306">
        <f>VLOOKUP(B51,'WTAX-CBPA'!B:N,4,0)</f>
        <v>0</v>
      </c>
      <c r="F51" s="89"/>
      <c r="G51" s="91"/>
      <c r="H51" s="91"/>
      <c r="I51" s="37">
        <f t="shared" si="0"/>
        <v>0</v>
      </c>
      <c r="J51" s="332">
        <f>'WTAX-CBPA'!N38</f>
        <v>0</v>
      </c>
      <c r="K51" s="211">
        <f t="shared" si="1"/>
        <v>0</v>
      </c>
      <c r="L51" s="40">
        <f>'WTAX-CBPA'!F38</f>
        <v>0</v>
      </c>
      <c r="M51" s="37">
        <f>'CBPA - DEDS'!R50</f>
        <v>0</v>
      </c>
      <c r="N51" s="37">
        <f>'CBPA - DEDS'!X50</f>
        <v>0</v>
      </c>
      <c r="O51" s="37">
        <f>'CBPA - DEDS'!Y50</f>
        <v>0</v>
      </c>
      <c r="P51" s="37">
        <f>'CBPA - DEDS'!AE50</f>
        <v>0</v>
      </c>
      <c r="Q51" s="38">
        <f t="shared" si="2"/>
        <v>0</v>
      </c>
      <c r="R51" s="49">
        <f t="shared" si="3"/>
        <v>0</v>
      </c>
      <c r="S51" s="76">
        <f t="shared" si="4"/>
        <v>0</v>
      </c>
      <c r="T51" s="77">
        <f t="shared" si="5"/>
        <v>0</v>
      </c>
      <c r="U51" s="33">
        <f t="shared" si="6"/>
        <v>31</v>
      </c>
      <c r="V51" s="36">
        <f>ROUND('CBPA - PAY'!I51*0.12,2)</f>
        <v>0</v>
      </c>
      <c r="W51" s="37">
        <f t="shared" si="8"/>
        <v>100</v>
      </c>
      <c r="X51" s="37">
        <f>MIN((I51*0.05)-'CBPA - DEDS'!Y50,2500)</f>
        <v>0</v>
      </c>
      <c r="Y51" s="41">
        <f t="shared" si="9"/>
        <v>200</v>
      </c>
    </row>
    <row r="52" spans="1:25" ht="18.75" customHeight="1" x14ac:dyDescent="0.25">
      <c r="A52" s="98"/>
      <c r="B52" s="33">
        <f t="shared" si="7"/>
        <v>32</v>
      </c>
      <c r="C52" s="72">
        <f>VLOOKUP(B52,'WTAX-CBPA'!B:N,2,0)</f>
        <v>0</v>
      </c>
      <c r="D52" s="72" t="e">
        <f>VLOOKUP(C52,'WTAX-CBPA'!C:O,2,0)</f>
        <v>#N/A</v>
      </c>
      <c r="E52" s="306">
        <f>VLOOKUP(B52,'WTAX-CBPA'!B:N,4,0)</f>
        <v>0</v>
      </c>
      <c r="F52" s="89"/>
      <c r="G52" s="91"/>
      <c r="H52" s="91"/>
      <c r="I52" s="37">
        <f t="shared" si="0"/>
        <v>0</v>
      </c>
      <c r="J52" s="332">
        <f>'WTAX-CBPA'!N39</f>
        <v>0</v>
      </c>
      <c r="K52" s="211">
        <f t="shared" si="1"/>
        <v>0</v>
      </c>
      <c r="L52" s="40">
        <f>'WTAX-CBPA'!F39</f>
        <v>0</v>
      </c>
      <c r="M52" s="37">
        <f>'CBPA - DEDS'!R51</f>
        <v>0</v>
      </c>
      <c r="N52" s="37">
        <f>'CBPA - DEDS'!X51</f>
        <v>0</v>
      </c>
      <c r="O52" s="37">
        <f>'CBPA - DEDS'!Y51</f>
        <v>0</v>
      </c>
      <c r="P52" s="37">
        <f>'CBPA - DEDS'!AE51</f>
        <v>0</v>
      </c>
      <c r="Q52" s="38">
        <f t="shared" si="2"/>
        <v>0</v>
      </c>
      <c r="R52" s="49">
        <f t="shared" si="3"/>
        <v>0</v>
      </c>
      <c r="S52" s="76">
        <f t="shared" si="4"/>
        <v>0</v>
      </c>
      <c r="T52" s="77">
        <f t="shared" si="5"/>
        <v>0</v>
      </c>
      <c r="U52" s="33">
        <f t="shared" si="6"/>
        <v>32</v>
      </c>
      <c r="V52" s="36">
        <f>ROUND('CBPA - PAY'!I52*0.12,2)</f>
        <v>0</v>
      </c>
      <c r="W52" s="37">
        <f t="shared" si="8"/>
        <v>100</v>
      </c>
      <c r="X52" s="37">
        <f>MIN((I52*0.05)-'CBPA - DEDS'!Y51,2500)</f>
        <v>0</v>
      </c>
      <c r="Y52" s="41">
        <f t="shared" si="9"/>
        <v>200</v>
      </c>
    </row>
    <row r="53" spans="1:25" ht="18.75" customHeight="1" x14ac:dyDescent="0.25">
      <c r="A53" s="98"/>
      <c r="B53" s="33">
        <f t="shared" si="7"/>
        <v>33</v>
      </c>
      <c r="C53" s="72">
        <f>VLOOKUP(B53,'WTAX-CBPA'!B:N,2,0)</f>
        <v>0</v>
      </c>
      <c r="D53" s="72" t="e">
        <f>VLOOKUP(C53,'WTAX-CBPA'!C:O,2,0)</f>
        <v>#N/A</v>
      </c>
      <c r="E53" s="306">
        <f>VLOOKUP(B53,'WTAX-CBPA'!B:N,4,0)</f>
        <v>0</v>
      </c>
      <c r="F53" s="89"/>
      <c r="G53" s="91"/>
      <c r="H53" s="91"/>
      <c r="I53" s="37">
        <f t="shared" si="0"/>
        <v>0</v>
      </c>
      <c r="J53" s="332">
        <f>'WTAX-CBPA'!N40</f>
        <v>0</v>
      </c>
      <c r="K53" s="211">
        <f t="shared" si="1"/>
        <v>0</v>
      </c>
      <c r="L53" s="40">
        <f>'WTAX-CBPA'!F40</f>
        <v>0</v>
      </c>
      <c r="M53" s="37">
        <f>'CBPA - DEDS'!R52</f>
        <v>0</v>
      </c>
      <c r="N53" s="37">
        <f>'CBPA - DEDS'!X52</f>
        <v>0</v>
      </c>
      <c r="O53" s="37">
        <f>'CBPA - DEDS'!Y52</f>
        <v>0</v>
      </c>
      <c r="P53" s="37">
        <f>'CBPA - DEDS'!AE52</f>
        <v>0</v>
      </c>
      <c r="Q53" s="38">
        <f t="shared" si="2"/>
        <v>0</v>
      </c>
      <c r="R53" s="49">
        <f t="shared" si="3"/>
        <v>0</v>
      </c>
      <c r="S53" s="76">
        <f t="shared" si="4"/>
        <v>0</v>
      </c>
      <c r="T53" s="77">
        <f t="shared" si="5"/>
        <v>0</v>
      </c>
      <c r="U53" s="33">
        <f t="shared" si="6"/>
        <v>33</v>
      </c>
      <c r="V53" s="36">
        <f>ROUND('CBPA - PAY'!I53*0.12,2)</f>
        <v>0</v>
      </c>
      <c r="W53" s="37">
        <f t="shared" si="8"/>
        <v>100</v>
      </c>
      <c r="X53" s="37">
        <f>MIN((I53*0.05)-'CBPA - DEDS'!Y52,2500)</f>
        <v>0</v>
      </c>
      <c r="Y53" s="41">
        <f t="shared" si="9"/>
        <v>200</v>
      </c>
    </row>
    <row r="54" spans="1:25" ht="18.75" customHeight="1" x14ac:dyDescent="0.25">
      <c r="A54" s="98"/>
      <c r="B54" s="33">
        <f t="shared" si="7"/>
        <v>34</v>
      </c>
      <c r="C54" s="72">
        <f>VLOOKUP(B54,'WTAX-CBPA'!B:N,2,0)</f>
        <v>0</v>
      </c>
      <c r="D54" s="72" t="e">
        <f>VLOOKUP(C54,'WTAX-CBPA'!C:O,2,0)</f>
        <v>#N/A</v>
      </c>
      <c r="E54" s="306">
        <f>VLOOKUP(B54,'WTAX-CBPA'!B:N,4,0)</f>
        <v>0</v>
      </c>
      <c r="F54" s="89"/>
      <c r="G54" s="91"/>
      <c r="H54" s="91"/>
      <c r="I54" s="37">
        <f t="shared" si="0"/>
        <v>0</v>
      </c>
      <c r="J54" s="332">
        <f>'WTAX-CBPA'!N41</f>
        <v>0</v>
      </c>
      <c r="K54" s="211">
        <f t="shared" si="1"/>
        <v>0</v>
      </c>
      <c r="L54" s="40">
        <f>'WTAX-CBPA'!F41</f>
        <v>0</v>
      </c>
      <c r="M54" s="37">
        <f>'CBPA - DEDS'!R53</f>
        <v>0</v>
      </c>
      <c r="N54" s="37">
        <f>'CBPA - DEDS'!X53</f>
        <v>0</v>
      </c>
      <c r="O54" s="37">
        <f>'CBPA - DEDS'!Y53</f>
        <v>0</v>
      </c>
      <c r="P54" s="37">
        <f>'CBPA - DEDS'!AE53</f>
        <v>0</v>
      </c>
      <c r="Q54" s="38">
        <f t="shared" si="2"/>
        <v>0</v>
      </c>
      <c r="R54" s="49">
        <f t="shared" si="3"/>
        <v>0</v>
      </c>
      <c r="S54" s="76">
        <f t="shared" si="4"/>
        <v>0</v>
      </c>
      <c r="T54" s="77">
        <f t="shared" si="5"/>
        <v>0</v>
      </c>
      <c r="U54" s="33">
        <f t="shared" si="6"/>
        <v>34</v>
      </c>
      <c r="V54" s="36">
        <f>ROUND('CBPA - PAY'!I54*0.12,2)</f>
        <v>0</v>
      </c>
      <c r="W54" s="37">
        <f t="shared" si="8"/>
        <v>100</v>
      </c>
      <c r="X54" s="37">
        <f>MIN((I54*0.05)-'CBPA - DEDS'!Y53,2500)</f>
        <v>0</v>
      </c>
      <c r="Y54" s="41">
        <f t="shared" si="9"/>
        <v>200</v>
      </c>
    </row>
    <row r="55" spans="1:25" ht="18.75" customHeight="1" x14ac:dyDescent="0.25">
      <c r="A55" s="98"/>
      <c r="B55" s="33">
        <f t="shared" si="7"/>
        <v>35</v>
      </c>
      <c r="C55" s="72">
        <f>VLOOKUP(B55,'WTAX-CBPA'!B:N,2,0)</f>
        <v>0</v>
      </c>
      <c r="D55" s="72" t="e">
        <f>VLOOKUP(C55,'WTAX-CBPA'!C:O,2,0)</f>
        <v>#N/A</v>
      </c>
      <c r="E55" s="306">
        <f>VLOOKUP(B55,'WTAX-CBPA'!B:N,4,0)</f>
        <v>0</v>
      </c>
      <c r="F55" s="86"/>
      <c r="G55" s="88"/>
      <c r="H55" s="88"/>
      <c r="I55" s="37">
        <f t="shared" si="0"/>
        <v>0</v>
      </c>
      <c r="J55" s="332">
        <f>'WTAX-CBPA'!N42</f>
        <v>0</v>
      </c>
      <c r="K55" s="211">
        <f t="shared" si="1"/>
        <v>0</v>
      </c>
      <c r="L55" s="40">
        <f>'WTAX-CBPA'!F42</f>
        <v>0</v>
      </c>
      <c r="M55" s="37">
        <f>'CBPA - DEDS'!R54</f>
        <v>0</v>
      </c>
      <c r="N55" s="37">
        <f>'CBPA - DEDS'!X54</f>
        <v>0</v>
      </c>
      <c r="O55" s="37">
        <f>'CBPA - DEDS'!Y54</f>
        <v>0</v>
      </c>
      <c r="P55" s="37">
        <f>'CBPA - DEDS'!AE54</f>
        <v>0</v>
      </c>
      <c r="Q55" s="38">
        <f t="shared" si="2"/>
        <v>0</v>
      </c>
      <c r="R55" s="49">
        <f t="shared" si="3"/>
        <v>0</v>
      </c>
      <c r="S55" s="76">
        <f t="shared" si="4"/>
        <v>0</v>
      </c>
      <c r="T55" s="77">
        <f t="shared" si="5"/>
        <v>0</v>
      </c>
      <c r="U55" s="33">
        <f t="shared" si="6"/>
        <v>35</v>
      </c>
      <c r="V55" s="36">
        <f>ROUND('CBPA - PAY'!I55*0.12,2)</f>
        <v>0</v>
      </c>
      <c r="W55" s="37">
        <f t="shared" si="8"/>
        <v>100</v>
      </c>
      <c r="X55" s="37">
        <f>MIN((I55*0.05)-'CBPA - DEDS'!Y54,2500)</f>
        <v>0</v>
      </c>
      <c r="Y55" s="41">
        <f t="shared" si="9"/>
        <v>200</v>
      </c>
    </row>
    <row r="56" spans="1:25" ht="18.75" customHeight="1" x14ac:dyDescent="0.25">
      <c r="A56" s="98"/>
      <c r="B56" s="33">
        <f t="shared" si="7"/>
        <v>36</v>
      </c>
      <c r="C56" s="72">
        <f>VLOOKUP(B56,'WTAX-CBPA'!B:N,2,0)</f>
        <v>0</v>
      </c>
      <c r="D56" s="72" t="e">
        <f>VLOOKUP(C56,'WTAX-CBPA'!C:O,2,0)</f>
        <v>#N/A</v>
      </c>
      <c r="E56" s="306">
        <f>VLOOKUP(B56,'WTAX-CBPA'!B:N,4,0)</f>
        <v>0</v>
      </c>
      <c r="F56" s="89"/>
      <c r="G56" s="91"/>
      <c r="H56" s="91"/>
      <c r="I56" s="37">
        <f t="shared" si="0"/>
        <v>0</v>
      </c>
      <c r="J56" s="332">
        <f>'WTAX-CBPA'!N43</f>
        <v>0</v>
      </c>
      <c r="K56" s="211">
        <f t="shared" si="1"/>
        <v>0</v>
      </c>
      <c r="L56" s="40">
        <f>'WTAX-CBPA'!F43</f>
        <v>0</v>
      </c>
      <c r="M56" s="37">
        <f>'CBPA - DEDS'!R55</f>
        <v>0</v>
      </c>
      <c r="N56" s="37">
        <f>'CBPA - DEDS'!X55</f>
        <v>0</v>
      </c>
      <c r="O56" s="37">
        <f>'CBPA - DEDS'!Y55</f>
        <v>0</v>
      </c>
      <c r="P56" s="37">
        <f>'CBPA - DEDS'!AE55</f>
        <v>0</v>
      </c>
      <c r="Q56" s="38">
        <f t="shared" si="2"/>
        <v>0</v>
      </c>
      <c r="R56" s="49">
        <f t="shared" si="3"/>
        <v>0</v>
      </c>
      <c r="S56" s="76">
        <f t="shared" si="4"/>
        <v>0</v>
      </c>
      <c r="T56" s="77">
        <f t="shared" si="5"/>
        <v>0</v>
      </c>
      <c r="U56" s="33">
        <f t="shared" si="6"/>
        <v>36</v>
      </c>
      <c r="V56" s="36">
        <f>ROUND('CBPA - PAY'!I56*0.12,2)</f>
        <v>0</v>
      </c>
      <c r="W56" s="37">
        <f t="shared" si="8"/>
        <v>100</v>
      </c>
      <c r="X56" s="37">
        <f>MIN((I56*0.05)-'CBPA - DEDS'!Y55,2500)</f>
        <v>0</v>
      </c>
      <c r="Y56" s="41">
        <f t="shared" si="9"/>
        <v>200</v>
      </c>
    </row>
    <row r="57" spans="1:25" ht="18.75" customHeight="1" x14ac:dyDescent="0.25">
      <c r="A57" s="98"/>
      <c r="B57" s="33">
        <f t="shared" si="7"/>
        <v>37</v>
      </c>
      <c r="C57" s="72">
        <f>VLOOKUP(B57,'WTAX-CBPA'!B:N,2,0)</f>
        <v>0</v>
      </c>
      <c r="D57" s="72" t="e">
        <f>VLOOKUP(C57,'WTAX-CBPA'!C:O,2,0)</f>
        <v>#N/A</v>
      </c>
      <c r="E57" s="306">
        <f>VLOOKUP(B57,'WTAX-CBPA'!B:N,4,0)</f>
        <v>0</v>
      </c>
      <c r="F57" s="86"/>
      <c r="G57" s="88"/>
      <c r="H57" s="88"/>
      <c r="I57" s="37">
        <f t="shared" si="0"/>
        <v>0</v>
      </c>
      <c r="J57" s="332">
        <f>'WTAX-CBPA'!N44</f>
        <v>0</v>
      </c>
      <c r="K57" s="211">
        <f t="shared" si="1"/>
        <v>0</v>
      </c>
      <c r="L57" s="40">
        <f>'WTAX-CBPA'!F44</f>
        <v>0</v>
      </c>
      <c r="M57" s="37">
        <f>'CBPA - DEDS'!R56</f>
        <v>0</v>
      </c>
      <c r="N57" s="37">
        <f>'CBPA - DEDS'!X56</f>
        <v>0</v>
      </c>
      <c r="O57" s="37">
        <f>'CBPA - DEDS'!Y56</f>
        <v>0</v>
      </c>
      <c r="P57" s="37">
        <f>'CBPA - DEDS'!AE56</f>
        <v>0</v>
      </c>
      <c r="Q57" s="38">
        <f t="shared" si="2"/>
        <v>0</v>
      </c>
      <c r="R57" s="49">
        <f t="shared" si="3"/>
        <v>0</v>
      </c>
      <c r="S57" s="76">
        <f t="shared" si="4"/>
        <v>0</v>
      </c>
      <c r="T57" s="77">
        <f t="shared" si="5"/>
        <v>0</v>
      </c>
      <c r="U57" s="33">
        <f t="shared" si="6"/>
        <v>37</v>
      </c>
      <c r="V57" s="36">
        <f>ROUND('CBPA - PAY'!I57*0.12,2)</f>
        <v>0</v>
      </c>
      <c r="W57" s="37">
        <f t="shared" si="8"/>
        <v>100</v>
      </c>
      <c r="X57" s="37">
        <f>MIN((I57*0.05)-'CBPA - DEDS'!Y56,2500)</f>
        <v>0</v>
      </c>
      <c r="Y57" s="41">
        <f t="shared" si="9"/>
        <v>200</v>
      </c>
    </row>
    <row r="58" spans="1:25" ht="18.75" customHeight="1" x14ac:dyDescent="0.25">
      <c r="A58" s="98"/>
      <c r="B58" s="33">
        <f t="shared" si="7"/>
        <v>38</v>
      </c>
      <c r="C58" s="72">
        <f>VLOOKUP(B58,'WTAX-CBPA'!B:N,2,0)</f>
        <v>0</v>
      </c>
      <c r="D58" s="72" t="e">
        <f>VLOOKUP(C58,'WTAX-CBPA'!C:O,2,0)</f>
        <v>#N/A</v>
      </c>
      <c r="E58" s="306">
        <f>VLOOKUP(B58,'WTAX-CBPA'!B:N,4,0)</f>
        <v>0</v>
      </c>
      <c r="F58" s="89"/>
      <c r="G58" s="91"/>
      <c r="H58" s="91"/>
      <c r="I58" s="37">
        <f t="shared" si="0"/>
        <v>0</v>
      </c>
      <c r="J58" s="332">
        <f>'WTAX-CBPA'!N45</f>
        <v>0</v>
      </c>
      <c r="K58" s="211">
        <f t="shared" si="1"/>
        <v>0</v>
      </c>
      <c r="L58" s="40">
        <f>'WTAX-CBPA'!F45</f>
        <v>0</v>
      </c>
      <c r="M58" s="37">
        <f>'CBPA - DEDS'!R57</f>
        <v>0</v>
      </c>
      <c r="N58" s="37">
        <f>'CBPA - DEDS'!X57</f>
        <v>0</v>
      </c>
      <c r="O58" s="37">
        <f>'CBPA - DEDS'!Y57</f>
        <v>0</v>
      </c>
      <c r="P58" s="37">
        <f>'CBPA - DEDS'!AE57</f>
        <v>0</v>
      </c>
      <c r="Q58" s="38">
        <f t="shared" si="2"/>
        <v>0</v>
      </c>
      <c r="R58" s="49">
        <f t="shared" si="3"/>
        <v>0</v>
      </c>
      <c r="S58" s="76">
        <f t="shared" si="4"/>
        <v>0</v>
      </c>
      <c r="T58" s="77">
        <f t="shared" si="5"/>
        <v>0</v>
      </c>
      <c r="U58" s="33">
        <f t="shared" si="6"/>
        <v>38</v>
      </c>
      <c r="V58" s="36">
        <f>ROUND('CBPA - PAY'!I58*0.12,2)</f>
        <v>0</v>
      </c>
      <c r="W58" s="37">
        <f t="shared" si="8"/>
        <v>100</v>
      </c>
      <c r="X58" s="37">
        <f>MIN((I58*0.05)-'CBPA - DEDS'!Y57,2500)</f>
        <v>0</v>
      </c>
      <c r="Y58" s="41">
        <f t="shared" si="9"/>
        <v>200</v>
      </c>
    </row>
    <row r="59" spans="1:25" ht="18.75" customHeight="1" x14ac:dyDescent="0.25">
      <c r="A59" s="98"/>
      <c r="B59" s="33">
        <f t="shared" si="7"/>
        <v>39</v>
      </c>
      <c r="C59" s="72">
        <f>VLOOKUP(B59,'WTAX-CBPA'!B:N,2,0)</f>
        <v>0</v>
      </c>
      <c r="D59" s="72" t="e">
        <f>VLOOKUP(C59,'WTAX-CBPA'!C:O,2,0)</f>
        <v>#N/A</v>
      </c>
      <c r="E59" s="306">
        <f>VLOOKUP(B59,'WTAX-CBPA'!B:N,4,0)</f>
        <v>0</v>
      </c>
      <c r="F59" s="86"/>
      <c r="G59" s="88"/>
      <c r="H59" s="88"/>
      <c r="I59" s="37">
        <f t="shared" si="0"/>
        <v>0</v>
      </c>
      <c r="J59" s="332">
        <f>'WTAX-CBPA'!N46</f>
        <v>0</v>
      </c>
      <c r="K59" s="211">
        <f t="shared" si="1"/>
        <v>0</v>
      </c>
      <c r="L59" s="40">
        <f>'WTAX-CBPA'!F46</f>
        <v>0</v>
      </c>
      <c r="M59" s="37">
        <f>'CBPA - DEDS'!R58</f>
        <v>0</v>
      </c>
      <c r="N59" s="37">
        <f>'CBPA - DEDS'!X58</f>
        <v>0</v>
      </c>
      <c r="O59" s="37">
        <f>'CBPA - DEDS'!Y58</f>
        <v>0</v>
      </c>
      <c r="P59" s="37">
        <f>'CBPA - DEDS'!AE58</f>
        <v>0</v>
      </c>
      <c r="Q59" s="38">
        <f t="shared" si="2"/>
        <v>0</v>
      </c>
      <c r="R59" s="49">
        <f t="shared" si="3"/>
        <v>0</v>
      </c>
      <c r="S59" s="76">
        <f t="shared" si="4"/>
        <v>0</v>
      </c>
      <c r="T59" s="77">
        <f t="shared" si="5"/>
        <v>0</v>
      </c>
      <c r="U59" s="33">
        <f t="shared" si="6"/>
        <v>39</v>
      </c>
      <c r="V59" s="36">
        <f>ROUND('CBPA - PAY'!I59*0.12,2)</f>
        <v>0</v>
      </c>
      <c r="W59" s="37">
        <f t="shared" si="8"/>
        <v>100</v>
      </c>
      <c r="X59" s="37">
        <f>MIN((I59*0.05)-'CBPA - DEDS'!Y58,2500)</f>
        <v>0</v>
      </c>
      <c r="Y59" s="41">
        <f t="shared" si="9"/>
        <v>200</v>
      </c>
    </row>
    <row r="60" spans="1:25" ht="18.75" customHeight="1" x14ac:dyDescent="0.25">
      <c r="A60" s="98"/>
      <c r="B60" s="33">
        <f t="shared" si="7"/>
        <v>40</v>
      </c>
      <c r="C60" s="72">
        <f>VLOOKUP(B60,'WTAX-CBPA'!B:N,2,0)</f>
        <v>0</v>
      </c>
      <c r="D60" s="72" t="e">
        <f>VLOOKUP(C60,'WTAX-CBPA'!C:O,2,0)</f>
        <v>#N/A</v>
      </c>
      <c r="E60" s="306">
        <f>VLOOKUP(B60,'WTAX-CBPA'!B:N,4,0)</f>
        <v>0</v>
      </c>
      <c r="F60" s="89"/>
      <c r="G60" s="91"/>
      <c r="H60" s="91"/>
      <c r="I60" s="37">
        <f t="shared" si="0"/>
        <v>0</v>
      </c>
      <c r="J60" s="332">
        <f>'WTAX-CBPA'!N47</f>
        <v>0</v>
      </c>
      <c r="K60" s="211">
        <f t="shared" si="1"/>
        <v>0</v>
      </c>
      <c r="L60" s="40">
        <f>'WTAX-CBPA'!F47</f>
        <v>0</v>
      </c>
      <c r="M60" s="37">
        <f>'CBPA - DEDS'!R59</f>
        <v>0</v>
      </c>
      <c r="N60" s="37">
        <f>'CBPA - DEDS'!X59</f>
        <v>0</v>
      </c>
      <c r="O60" s="37">
        <f>'CBPA - DEDS'!Y59</f>
        <v>0</v>
      </c>
      <c r="P60" s="37">
        <f>'CBPA - DEDS'!AE59</f>
        <v>0</v>
      </c>
      <c r="Q60" s="38">
        <f t="shared" si="2"/>
        <v>0</v>
      </c>
      <c r="R60" s="49">
        <f t="shared" si="3"/>
        <v>0</v>
      </c>
      <c r="S60" s="76">
        <f t="shared" si="4"/>
        <v>0</v>
      </c>
      <c r="T60" s="77">
        <f t="shared" si="5"/>
        <v>0</v>
      </c>
      <c r="U60" s="33">
        <f t="shared" si="6"/>
        <v>40</v>
      </c>
      <c r="V60" s="36">
        <f>ROUND('CBPA - PAY'!I60*0.12,2)</f>
        <v>0</v>
      </c>
      <c r="W60" s="37">
        <f t="shared" si="8"/>
        <v>100</v>
      </c>
      <c r="X60" s="37">
        <f>MIN((I60*0.05)-'CBPA - DEDS'!Y59,2500)</f>
        <v>0</v>
      </c>
      <c r="Y60" s="41">
        <f t="shared" si="9"/>
        <v>200</v>
      </c>
    </row>
    <row r="61" spans="1:25" ht="18.75" customHeight="1" x14ac:dyDescent="0.25">
      <c r="A61" s="98"/>
      <c r="B61" s="33">
        <f t="shared" si="7"/>
        <v>41</v>
      </c>
      <c r="C61" s="72">
        <f>VLOOKUP(B61,'WTAX-CBPA'!B:N,2,0)</f>
        <v>0</v>
      </c>
      <c r="D61" s="72" t="e">
        <f>VLOOKUP(C61,'WTAX-CBPA'!C:O,2,0)</f>
        <v>#N/A</v>
      </c>
      <c r="E61" s="306">
        <f>VLOOKUP(B61,'WTAX-CBPA'!B:N,4,0)</f>
        <v>0</v>
      </c>
      <c r="F61" s="86"/>
      <c r="G61" s="88"/>
      <c r="H61" s="88"/>
      <c r="I61" s="37">
        <f t="shared" si="0"/>
        <v>0</v>
      </c>
      <c r="J61" s="332">
        <f>'WTAX-CBPA'!N48</f>
        <v>0</v>
      </c>
      <c r="K61" s="211">
        <f t="shared" si="1"/>
        <v>0</v>
      </c>
      <c r="L61" s="40">
        <f>'WTAX-CBPA'!F48</f>
        <v>0</v>
      </c>
      <c r="M61" s="37">
        <f>'CBPA - DEDS'!R60</f>
        <v>0</v>
      </c>
      <c r="N61" s="37">
        <f>'CBPA - DEDS'!X60</f>
        <v>0</v>
      </c>
      <c r="O61" s="37">
        <f>'CBPA - DEDS'!Y60</f>
        <v>0</v>
      </c>
      <c r="P61" s="37">
        <f>'CBPA - DEDS'!AE60</f>
        <v>0</v>
      </c>
      <c r="Q61" s="38">
        <f t="shared" si="2"/>
        <v>0</v>
      </c>
      <c r="R61" s="49">
        <f t="shared" si="3"/>
        <v>0</v>
      </c>
      <c r="S61" s="76">
        <f t="shared" si="4"/>
        <v>0</v>
      </c>
      <c r="T61" s="77">
        <f t="shared" si="5"/>
        <v>0</v>
      </c>
      <c r="U61" s="33">
        <f t="shared" si="6"/>
        <v>41</v>
      </c>
      <c r="V61" s="36">
        <f>ROUND('CBPA - PAY'!I61*0.12,2)</f>
        <v>0</v>
      </c>
      <c r="W61" s="37">
        <f t="shared" si="8"/>
        <v>100</v>
      </c>
      <c r="X61" s="37">
        <f>MIN((I61*0.05)-'CBPA - DEDS'!Y60,2500)</f>
        <v>0</v>
      </c>
      <c r="Y61" s="41">
        <f t="shared" si="9"/>
        <v>200</v>
      </c>
    </row>
    <row r="62" spans="1:25" ht="18.75" customHeight="1" x14ac:dyDescent="0.25">
      <c r="A62" s="98"/>
      <c r="B62" s="33">
        <f t="shared" si="7"/>
        <v>42</v>
      </c>
      <c r="C62" s="72">
        <f>VLOOKUP(B62,'WTAX-CBPA'!B:N,2,0)</f>
        <v>0</v>
      </c>
      <c r="D62" s="72" t="e">
        <f>VLOOKUP(C62,'WTAX-CBPA'!C:O,2,0)</f>
        <v>#N/A</v>
      </c>
      <c r="E62" s="306">
        <f>VLOOKUP(B62,'WTAX-CBPA'!B:N,4,0)</f>
        <v>0</v>
      </c>
      <c r="F62" s="89"/>
      <c r="G62" s="91"/>
      <c r="H62" s="91"/>
      <c r="I62" s="37">
        <f t="shared" si="0"/>
        <v>0</v>
      </c>
      <c r="J62" s="332">
        <f>'WTAX-CBPA'!N49</f>
        <v>0</v>
      </c>
      <c r="K62" s="211">
        <f t="shared" si="1"/>
        <v>0</v>
      </c>
      <c r="L62" s="40">
        <f>'WTAX-CBPA'!F49</f>
        <v>0</v>
      </c>
      <c r="M62" s="37">
        <f>'CBPA - DEDS'!R61</f>
        <v>0</v>
      </c>
      <c r="N62" s="37">
        <f>'CBPA - DEDS'!X61</f>
        <v>0</v>
      </c>
      <c r="O62" s="37">
        <f>'CBPA - DEDS'!Y61</f>
        <v>0</v>
      </c>
      <c r="P62" s="37">
        <f>'CBPA - DEDS'!AE61</f>
        <v>0</v>
      </c>
      <c r="Q62" s="38">
        <f t="shared" si="2"/>
        <v>0</v>
      </c>
      <c r="R62" s="49">
        <f t="shared" si="3"/>
        <v>0</v>
      </c>
      <c r="S62" s="76">
        <f t="shared" si="4"/>
        <v>0</v>
      </c>
      <c r="T62" s="77">
        <f t="shared" si="5"/>
        <v>0</v>
      </c>
      <c r="U62" s="33">
        <f t="shared" si="6"/>
        <v>42</v>
      </c>
      <c r="V62" s="36">
        <f>ROUND('CBPA - PAY'!I62*0.12,2)</f>
        <v>0</v>
      </c>
      <c r="W62" s="37">
        <f t="shared" si="8"/>
        <v>100</v>
      </c>
      <c r="X62" s="37">
        <f>MIN((I62*0.05)-'CBPA - DEDS'!Y61,2500)</f>
        <v>0</v>
      </c>
      <c r="Y62" s="41">
        <f t="shared" si="9"/>
        <v>200</v>
      </c>
    </row>
    <row r="63" spans="1:25" s="601" customFormat="1" ht="18.75" customHeight="1" x14ac:dyDescent="0.25">
      <c r="A63" s="587"/>
      <c r="B63" s="600">
        <f t="shared" si="7"/>
        <v>43</v>
      </c>
      <c r="C63" s="589">
        <f>VLOOKUP(B63,'WTAX-CBPA'!B:N,2,0)</f>
        <v>0</v>
      </c>
      <c r="D63" s="589" t="e">
        <f>VLOOKUP(C63,'WTAX-CBPA'!C:O,2,0)</f>
        <v>#N/A</v>
      </c>
      <c r="E63" s="591">
        <f>VLOOKUP(B63,'WTAX-CBPA'!B:N,4,0)</f>
        <v>0</v>
      </c>
      <c r="F63" s="606"/>
      <c r="G63" s="607"/>
      <c r="H63" s="607"/>
      <c r="I63" s="593">
        <f t="shared" si="0"/>
        <v>0</v>
      </c>
      <c r="J63" s="593">
        <f>'WTAX-CBPA'!N50</f>
        <v>0</v>
      </c>
      <c r="K63" s="602">
        <f t="shared" si="1"/>
        <v>0</v>
      </c>
      <c r="L63" s="592">
        <f>'WTAX-CBPA'!F50</f>
        <v>0</v>
      </c>
      <c r="M63" s="593">
        <f>'CBPA - DEDS'!R62</f>
        <v>0</v>
      </c>
      <c r="N63" s="593">
        <f>'CBPA - DEDS'!X62</f>
        <v>0</v>
      </c>
      <c r="O63" s="593">
        <f>'CBPA - DEDS'!Y62</f>
        <v>0</v>
      </c>
      <c r="P63" s="593">
        <f>'CBPA - DEDS'!AE62</f>
        <v>0</v>
      </c>
      <c r="Q63" s="594">
        <f t="shared" si="2"/>
        <v>0</v>
      </c>
      <c r="R63" s="603">
        <f t="shared" si="3"/>
        <v>0</v>
      </c>
      <c r="S63" s="604">
        <f t="shared" si="4"/>
        <v>0</v>
      </c>
      <c r="T63" s="605">
        <f t="shared" si="5"/>
        <v>0</v>
      </c>
      <c r="U63" s="600">
        <f t="shared" si="6"/>
        <v>43</v>
      </c>
      <c r="V63" s="595">
        <f>ROUND('CBPA - PAY'!I63*0.12,2)</f>
        <v>0</v>
      </c>
      <c r="W63" s="593">
        <f t="shared" si="8"/>
        <v>100</v>
      </c>
      <c r="X63" s="593">
        <f>MIN((I63*0.05)-'CBPA - DEDS'!Y62,2500)</f>
        <v>0</v>
      </c>
      <c r="Y63" s="602">
        <f t="shared" si="9"/>
        <v>200</v>
      </c>
    </row>
    <row r="64" spans="1:25" ht="18.75" customHeight="1" x14ac:dyDescent="0.25">
      <c r="A64" s="98"/>
      <c r="B64" s="33">
        <f t="shared" si="7"/>
        <v>44</v>
      </c>
      <c r="C64" s="72">
        <f>VLOOKUP(B64,'WTAX-CBPA'!B:N,2,0)</f>
        <v>0</v>
      </c>
      <c r="D64" s="72" t="e">
        <f>VLOOKUP(C64,'WTAX-CBPA'!C:O,2,0)</f>
        <v>#N/A</v>
      </c>
      <c r="E64" s="306">
        <f>VLOOKUP(B64,'WTAX-CBPA'!B:N,4,0)</f>
        <v>0</v>
      </c>
      <c r="F64" s="86"/>
      <c r="G64" s="91"/>
      <c r="H64" s="91"/>
      <c r="I64" s="37">
        <f t="shared" si="0"/>
        <v>0</v>
      </c>
      <c r="J64" s="332">
        <f>'WTAX-CBPA'!N51</f>
        <v>0</v>
      </c>
      <c r="K64" s="211">
        <f t="shared" si="1"/>
        <v>0</v>
      </c>
      <c r="L64" s="40">
        <f>'WTAX-CBPA'!F51</f>
        <v>0</v>
      </c>
      <c r="M64" s="37">
        <f>'CBPA - DEDS'!R63</f>
        <v>0</v>
      </c>
      <c r="N64" s="37">
        <f>'CBPA - DEDS'!X63</f>
        <v>0</v>
      </c>
      <c r="O64" s="37">
        <f>'CBPA - DEDS'!Y63</f>
        <v>0</v>
      </c>
      <c r="P64" s="37">
        <f>'CBPA - DEDS'!AE63</f>
        <v>0</v>
      </c>
      <c r="Q64" s="38">
        <f t="shared" si="2"/>
        <v>0</v>
      </c>
      <c r="R64" s="49">
        <f t="shared" si="3"/>
        <v>0</v>
      </c>
      <c r="S64" s="76">
        <f t="shared" si="4"/>
        <v>0</v>
      </c>
      <c r="T64" s="77">
        <f t="shared" si="5"/>
        <v>0</v>
      </c>
      <c r="U64" s="33">
        <f t="shared" si="6"/>
        <v>44</v>
      </c>
      <c r="V64" s="36">
        <f>ROUND('CBPA - PAY'!I64*0.12,2)</f>
        <v>0</v>
      </c>
      <c r="W64" s="37">
        <f t="shared" si="8"/>
        <v>100</v>
      </c>
      <c r="X64" s="37">
        <f>MIN((I64*0.05)-'CBPA - DEDS'!Y63,2500)</f>
        <v>0</v>
      </c>
      <c r="Y64" s="41">
        <f t="shared" si="9"/>
        <v>200</v>
      </c>
    </row>
    <row r="65" spans="1:25" ht="18.75" customHeight="1" x14ac:dyDescent="0.25">
      <c r="A65" s="98"/>
      <c r="B65" s="33">
        <f t="shared" si="7"/>
        <v>45</v>
      </c>
      <c r="C65" s="72">
        <f>VLOOKUP(B65,'WTAX-CBPA'!B:N,2,0)</f>
        <v>0</v>
      </c>
      <c r="D65" s="72" t="e">
        <f>VLOOKUP(C65,'WTAX-CBPA'!C:O,2,0)</f>
        <v>#N/A</v>
      </c>
      <c r="E65" s="306">
        <f>VLOOKUP(B65,'WTAX-CBPA'!B:N,4,0)</f>
        <v>0</v>
      </c>
      <c r="F65" s="86"/>
      <c r="G65" s="88"/>
      <c r="H65" s="88"/>
      <c r="I65" s="37">
        <f t="shared" si="0"/>
        <v>0</v>
      </c>
      <c r="J65" s="332">
        <f>'WTAX-CBPA'!N52</f>
        <v>0</v>
      </c>
      <c r="K65" s="211">
        <f t="shared" si="1"/>
        <v>0</v>
      </c>
      <c r="L65" s="40">
        <f>'WTAX-CBPA'!F52</f>
        <v>0</v>
      </c>
      <c r="M65" s="37">
        <f>'CBPA - DEDS'!R64</f>
        <v>0</v>
      </c>
      <c r="N65" s="37">
        <f>'CBPA - DEDS'!X64</f>
        <v>0</v>
      </c>
      <c r="O65" s="37">
        <f>'CBPA - DEDS'!Y64</f>
        <v>0</v>
      </c>
      <c r="P65" s="37">
        <f>'CBPA - DEDS'!AE64</f>
        <v>0</v>
      </c>
      <c r="Q65" s="38">
        <f t="shared" si="2"/>
        <v>0</v>
      </c>
      <c r="R65" s="49">
        <f t="shared" si="3"/>
        <v>0</v>
      </c>
      <c r="S65" s="76">
        <f t="shared" si="4"/>
        <v>0</v>
      </c>
      <c r="T65" s="77">
        <f t="shared" si="5"/>
        <v>0</v>
      </c>
      <c r="U65" s="33">
        <f t="shared" si="6"/>
        <v>45</v>
      </c>
      <c r="V65" s="36">
        <f>ROUND('CBPA - PAY'!I65*0.12,2)</f>
        <v>0</v>
      </c>
      <c r="W65" s="37">
        <f t="shared" si="8"/>
        <v>100</v>
      </c>
      <c r="X65" s="37">
        <f>MIN((I65*0.05)-'CBPA - DEDS'!Y64,2500)</f>
        <v>0</v>
      </c>
      <c r="Y65" s="41">
        <f t="shared" si="9"/>
        <v>200</v>
      </c>
    </row>
    <row r="66" spans="1:25" ht="18.75" customHeight="1" x14ac:dyDescent="0.25">
      <c r="A66" s="98"/>
      <c r="B66" s="33">
        <f t="shared" si="7"/>
        <v>46</v>
      </c>
      <c r="C66" s="72">
        <f>VLOOKUP(B66,'WTAX-CBPA'!B:N,2,0)</f>
        <v>0</v>
      </c>
      <c r="D66" s="72" t="e">
        <f>VLOOKUP(C66,'WTAX-CBPA'!C:O,2,0)</f>
        <v>#N/A</v>
      </c>
      <c r="E66" s="306">
        <f>VLOOKUP(B66,'WTAX-CBPA'!B:N,4,0)</f>
        <v>0</v>
      </c>
      <c r="F66" s="89"/>
      <c r="G66" s="91"/>
      <c r="H66" s="91"/>
      <c r="I66" s="37">
        <f t="shared" si="0"/>
        <v>0</v>
      </c>
      <c r="J66" s="332">
        <f>'WTAX-CBPA'!N53</f>
        <v>0</v>
      </c>
      <c r="K66" s="211">
        <f t="shared" si="1"/>
        <v>0</v>
      </c>
      <c r="L66" s="40">
        <f>'WTAX-CBPA'!F53</f>
        <v>0</v>
      </c>
      <c r="M66" s="37">
        <f>'CBPA - DEDS'!R65</f>
        <v>0</v>
      </c>
      <c r="N66" s="37">
        <f>'CBPA - DEDS'!X65</f>
        <v>0</v>
      </c>
      <c r="O66" s="37">
        <f>'CBPA - DEDS'!Y65</f>
        <v>0</v>
      </c>
      <c r="P66" s="37">
        <f>'CBPA - DEDS'!AE65</f>
        <v>0</v>
      </c>
      <c r="Q66" s="38">
        <f t="shared" si="2"/>
        <v>0</v>
      </c>
      <c r="R66" s="49">
        <f t="shared" si="3"/>
        <v>0</v>
      </c>
      <c r="S66" s="76">
        <f t="shared" si="4"/>
        <v>0</v>
      </c>
      <c r="T66" s="77">
        <f t="shared" si="5"/>
        <v>0</v>
      </c>
      <c r="U66" s="33">
        <f t="shared" si="6"/>
        <v>46</v>
      </c>
      <c r="V66" s="36">
        <f>ROUND('CBPA - PAY'!I66*0.12,2)</f>
        <v>0</v>
      </c>
      <c r="W66" s="37">
        <f t="shared" si="8"/>
        <v>100</v>
      </c>
      <c r="X66" s="37">
        <f>MIN((I66*0.05)-'CBPA - DEDS'!Y65,2500)</f>
        <v>0</v>
      </c>
      <c r="Y66" s="41">
        <f t="shared" si="9"/>
        <v>200</v>
      </c>
    </row>
    <row r="67" spans="1:25" ht="18.75" customHeight="1" x14ac:dyDescent="0.25">
      <c r="A67" s="98"/>
      <c r="B67" s="33">
        <f t="shared" ref="B67:B90" si="10">+B42+1</f>
        <v>23</v>
      </c>
      <c r="C67" s="72">
        <f>VLOOKUP(B67,'WTAX-CBPA'!B:N,2,0)</f>
        <v>0</v>
      </c>
      <c r="D67" s="72" t="e">
        <f>VLOOKUP(C67,'WTAX-CBPA'!C:O,2,0)</f>
        <v>#N/A</v>
      </c>
      <c r="E67" s="306">
        <f>VLOOKUP(B67,'WTAX-CBPA'!B:N,4,0)</f>
        <v>0</v>
      </c>
      <c r="F67" s="89"/>
      <c r="G67" s="91"/>
      <c r="H67" s="91"/>
      <c r="I67" s="37">
        <f t="shared" ref="I67:I90" si="11">SUM(F67:H67)</f>
        <v>0</v>
      </c>
      <c r="J67" s="332">
        <f>'WTAX-CBPA'!N54</f>
        <v>0</v>
      </c>
      <c r="K67" s="211">
        <f t="shared" ref="K67:K90" si="12">ROUND(I67-J67,2)</f>
        <v>0</v>
      </c>
      <c r="L67" s="40">
        <f>'WTAX-CBPA'!F54</f>
        <v>0</v>
      </c>
      <c r="M67" s="37">
        <f>'CBPA - DEDS'!R42</f>
        <v>0</v>
      </c>
      <c r="N67" s="37">
        <f>'CBPA - DEDS'!X42</f>
        <v>0</v>
      </c>
      <c r="O67" s="37">
        <f>'CBPA - DEDS'!Y42</f>
        <v>0</v>
      </c>
      <c r="P67" s="37">
        <f>'CBPA - DEDS'!AE42</f>
        <v>0</v>
      </c>
      <c r="Q67" s="38">
        <f t="shared" ref="Q67:Q90" si="13">ROUND(SUM(L67:P67),2)</f>
        <v>0</v>
      </c>
      <c r="R67" s="49">
        <f t="shared" ref="R67:R90" si="14">K67-Q67</f>
        <v>0</v>
      </c>
      <c r="S67" s="76">
        <f t="shared" ref="S67:S90" si="15">ROUND(R67/2,0)</f>
        <v>0</v>
      </c>
      <c r="T67" s="77">
        <f t="shared" ref="T67:T90" si="16">R67-S67</f>
        <v>0</v>
      </c>
      <c r="U67" s="33">
        <f t="shared" ref="U67:U90" si="17">B67</f>
        <v>23</v>
      </c>
      <c r="V67" s="36">
        <f>ROUND('CBPA - PAY'!I67*0.12,2)</f>
        <v>0</v>
      </c>
      <c r="W67" s="37">
        <f t="shared" ref="W67:W90" si="18">W42</f>
        <v>100</v>
      </c>
      <c r="X67" s="37">
        <f>MIN((I67*0.05)-'CBPA - DEDS'!Y42,2500)</f>
        <v>0</v>
      </c>
      <c r="Y67" s="41">
        <f t="shared" ref="Y67:Y90" si="19">Y42</f>
        <v>200</v>
      </c>
    </row>
    <row r="68" spans="1:25" ht="18.75" customHeight="1" x14ac:dyDescent="0.25">
      <c r="A68" s="98"/>
      <c r="B68" s="33">
        <f t="shared" si="10"/>
        <v>24</v>
      </c>
      <c r="C68" s="72">
        <f>VLOOKUP(B68,'WTAX-CBPA'!B:N,2,0)</f>
        <v>0</v>
      </c>
      <c r="D68" s="72" t="e">
        <f>VLOOKUP(C68,'WTAX-CBPA'!C:O,2,0)</f>
        <v>#N/A</v>
      </c>
      <c r="E68" s="306">
        <f>VLOOKUP(B68,'WTAX-CBPA'!B:N,4,0)</f>
        <v>0</v>
      </c>
      <c r="F68" s="89"/>
      <c r="G68" s="91"/>
      <c r="H68" s="91"/>
      <c r="I68" s="37">
        <f t="shared" si="11"/>
        <v>0</v>
      </c>
      <c r="J68" s="332">
        <f>'WTAX-CBPA'!N55</f>
        <v>0</v>
      </c>
      <c r="K68" s="211">
        <f t="shared" si="12"/>
        <v>0</v>
      </c>
      <c r="L68" s="40">
        <f>'WTAX-CBPA'!F55</f>
        <v>0</v>
      </c>
      <c r="M68" s="37">
        <f>'CBPA - DEDS'!R43</f>
        <v>0</v>
      </c>
      <c r="N68" s="37">
        <f>'CBPA - DEDS'!X43</f>
        <v>0</v>
      </c>
      <c r="O68" s="37">
        <f>'CBPA - DEDS'!Y43</f>
        <v>0</v>
      </c>
      <c r="P68" s="37">
        <f>'CBPA - DEDS'!AE43</f>
        <v>0</v>
      </c>
      <c r="Q68" s="38">
        <f t="shared" si="13"/>
        <v>0</v>
      </c>
      <c r="R68" s="49">
        <f t="shared" si="14"/>
        <v>0</v>
      </c>
      <c r="S68" s="76">
        <f t="shared" si="15"/>
        <v>0</v>
      </c>
      <c r="T68" s="77">
        <f t="shared" si="16"/>
        <v>0</v>
      </c>
      <c r="U68" s="33">
        <f t="shared" si="17"/>
        <v>24</v>
      </c>
      <c r="V68" s="36">
        <f>ROUND('CBPA - PAY'!I68*0.12,2)</f>
        <v>0</v>
      </c>
      <c r="W68" s="37">
        <f t="shared" si="18"/>
        <v>100</v>
      </c>
      <c r="X68" s="37">
        <f>MIN((I68*0.05)-'CBPA - DEDS'!Y43,2500)</f>
        <v>0</v>
      </c>
      <c r="Y68" s="41">
        <f t="shared" si="19"/>
        <v>200</v>
      </c>
    </row>
    <row r="69" spans="1:25" ht="18.75" customHeight="1" x14ac:dyDescent="0.25">
      <c r="A69" s="98"/>
      <c r="B69" s="33">
        <f t="shared" si="10"/>
        <v>25</v>
      </c>
      <c r="C69" s="72">
        <f>VLOOKUP(B69,'WTAX-CBPA'!B:N,2,0)</f>
        <v>0</v>
      </c>
      <c r="D69" s="72" t="e">
        <f>VLOOKUP(C69,'WTAX-CBPA'!C:O,2,0)</f>
        <v>#N/A</v>
      </c>
      <c r="E69" s="306">
        <f>VLOOKUP(B69,'WTAX-CBPA'!B:N,4,0)</f>
        <v>0</v>
      </c>
      <c r="F69" s="89"/>
      <c r="G69" s="91"/>
      <c r="H69" s="91"/>
      <c r="I69" s="37">
        <f t="shared" si="11"/>
        <v>0</v>
      </c>
      <c r="J69" s="332">
        <f>'WTAX-CBPA'!N56</f>
        <v>0</v>
      </c>
      <c r="K69" s="211">
        <f t="shared" si="12"/>
        <v>0</v>
      </c>
      <c r="L69" s="40">
        <f>'WTAX-CBPA'!F56</f>
        <v>0</v>
      </c>
      <c r="M69" s="37">
        <f>'CBPA - DEDS'!R44</f>
        <v>0</v>
      </c>
      <c r="N69" s="37">
        <f>'CBPA - DEDS'!X44</f>
        <v>0</v>
      </c>
      <c r="O69" s="37">
        <f>'CBPA - DEDS'!Y44</f>
        <v>0</v>
      </c>
      <c r="P69" s="37">
        <f>'CBPA - DEDS'!AE44</f>
        <v>0</v>
      </c>
      <c r="Q69" s="38">
        <f t="shared" si="13"/>
        <v>0</v>
      </c>
      <c r="R69" s="49">
        <f t="shared" si="14"/>
        <v>0</v>
      </c>
      <c r="S69" s="76">
        <f t="shared" si="15"/>
        <v>0</v>
      </c>
      <c r="T69" s="77">
        <f t="shared" si="16"/>
        <v>0</v>
      </c>
      <c r="U69" s="33">
        <f t="shared" si="17"/>
        <v>25</v>
      </c>
      <c r="V69" s="36">
        <f>ROUND('CBPA - PAY'!I69*0.12,2)</f>
        <v>0</v>
      </c>
      <c r="W69" s="37">
        <f t="shared" si="18"/>
        <v>100</v>
      </c>
      <c r="X69" s="37">
        <f>MIN((I69*0.05)-'CBPA - DEDS'!Y44,2500)</f>
        <v>0</v>
      </c>
      <c r="Y69" s="41">
        <f t="shared" si="19"/>
        <v>200</v>
      </c>
    </row>
    <row r="70" spans="1:25" ht="18.75" customHeight="1" x14ac:dyDescent="0.25">
      <c r="A70" s="98"/>
      <c r="B70" s="33">
        <f t="shared" si="10"/>
        <v>26</v>
      </c>
      <c r="C70" s="72">
        <f>VLOOKUP(B70,'WTAX-CBPA'!B:N,2,0)</f>
        <v>0</v>
      </c>
      <c r="D70" s="72" t="e">
        <f>VLOOKUP(C70,'WTAX-CBPA'!C:O,2,0)</f>
        <v>#N/A</v>
      </c>
      <c r="E70" s="306">
        <f>VLOOKUP(B70,'WTAX-CBPA'!B:N,4,0)</f>
        <v>0</v>
      </c>
      <c r="F70" s="89"/>
      <c r="G70" s="91"/>
      <c r="H70" s="91"/>
      <c r="I70" s="37">
        <f t="shared" si="11"/>
        <v>0</v>
      </c>
      <c r="J70" s="332">
        <f>'WTAX-CBPA'!N57</f>
        <v>0</v>
      </c>
      <c r="K70" s="211">
        <f t="shared" si="12"/>
        <v>0</v>
      </c>
      <c r="L70" s="40">
        <f>'WTAX-CBPA'!F57</f>
        <v>0</v>
      </c>
      <c r="M70" s="37">
        <f>'CBPA - DEDS'!R45</f>
        <v>0</v>
      </c>
      <c r="N70" s="37">
        <f>'CBPA - DEDS'!X45</f>
        <v>0</v>
      </c>
      <c r="O70" s="37">
        <f>'CBPA - DEDS'!Y45</f>
        <v>0</v>
      </c>
      <c r="P70" s="37">
        <f>'CBPA - DEDS'!AE45</f>
        <v>0</v>
      </c>
      <c r="Q70" s="38">
        <f t="shared" si="13"/>
        <v>0</v>
      </c>
      <c r="R70" s="49">
        <f t="shared" si="14"/>
        <v>0</v>
      </c>
      <c r="S70" s="76">
        <f t="shared" si="15"/>
        <v>0</v>
      </c>
      <c r="T70" s="77">
        <f t="shared" si="16"/>
        <v>0</v>
      </c>
      <c r="U70" s="33">
        <f t="shared" si="17"/>
        <v>26</v>
      </c>
      <c r="V70" s="36">
        <f>ROUND('CBPA - PAY'!I70*0.12,2)</f>
        <v>0</v>
      </c>
      <c r="W70" s="37">
        <f t="shared" si="18"/>
        <v>100</v>
      </c>
      <c r="X70" s="37">
        <f>MIN((I70*0.05)-'CBPA - DEDS'!Y45,2500)</f>
        <v>0</v>
      </c>
      <c r="Y70" s="41">
        <f t="shared" si="19"/>
        <v>200</v>
      </c>
    </row>
    <row r="71" spans="1:25" ht="18.75" customHeight="1" x14ac:dyDescent="0.25">
      <c r="A71" s="98"/>
      <c r="B71" s="33">
        <f t="shared" si="10"/>
        <v>27</v>
      </c>
      <c r="C71" s="72">
        <f>VLOOKUP(B71,'WTAX-CBPA'!B:N,2,0)</f>
        <v>0</v>
      </c>
      <c r="D71" s="72" t="e">
        <f>VLOOKUP(C71,'WTAX-CBPA'!C:O,2,0)</f>
        <v>#N/A</v>
      </c>
      <c r="E71" s="306">
        <f>VLOOKUP(B71,'WTAX-CBPA'!B:N,4,0)</f>
        <v>0</v>
      </c>
      <c r="F71" s="89"/>
      <c r="G71" s="91"/>
      <c r="H71" s="91"/>
      <c r="I71" s="37">
        <f t="shared" si="11"/>
        <v>0</v>
      </c>
      <c r="J71" s="332">
        <f>'WTAX-CBPA'!N58</f>
        <v>0</v>
      </c>
      <c r="K71" s="211">
        <f t="shared" si="12"/>
        <v>0</v>
      </c>
      <c r="L71" s="40">
        <f>'WTAX-CBPA'!F58</f>
        <v>0</v>
      </c>
      <c r="M71" s="37">
        <f>'CBPA - DEDS'!R46</f>
        <v>0</v>
      </c>
      <c r="N71" s="37">
        <f>'CBPA - DEDS'!X46</f>
        <v>0</v>
      </c>
      <c r="O71" s="37">
        <f>'CBPA - DEDS'!Y46</f>
        <v>0</v>
      </c>
      <c r="P71" s="37">
        <f>'CBPA - DEDS'!AE46</f>
        <v>0</v>
      </c>
      <c r="Q71" s="38">
        <f t="shared" si="13"/>
        <v>0</v>
      </c>
      <c r="R71" s="49">
        <f t="shared" si="14"/>
        <v>0</v>
      </c>
      <c r="S71" s="76">
        <f t="shared" si="15"/>
        <v>0</v>
      </c>
      <c r="T71" s="77">
        <f t="shared" si="16"/>
        <v>0</v>
      </c>
      <c r="U71" s="33">
        <f t="shared" si="17"/>
        <v>27</v>
      </c>
      <c r="V71" s="36">
        <f>ROUND('CBPA - PAY'!I71*0.12,2)</f>
        <v>0</v>
      </c>
      <c r="W71" s="37">
        <f t="shared" si="18"/>
        <v>100</v>
      </c>
      <c r="X71" s="37">
        <f>MIN((I71*0.05)-'CBPA - DEDS'!Y46,2500)</f>
        <v>0</v>
      </c>
      <c r="Y71" s="41">
        <f t="shared" si="19"/>
        <v>200</v>
      </c>
    </row>
    <row r="72" spans="1:25" ht="18.75" customHeight="1" x14ac:dyDescent="0.25">
      <c r="A72" s="98"/>
      <c r="B72" s="33">
        <f t="shared" si="10"/>
        <v>28</v>
      </c>
      <c r="C72" s="72">
        <f>VLOOKUP(B72,'WTAX-CBPA'!B:N,2,0)</f>
        <v>0</v>
      </c>
      <c r="D72" s="72" t="e">
        <f>VLOOKUP(C72,'WTAX-CBPA'!C:O,2,0)</f>
        <v>#N/A</v>
      </c>
      <c r="E72" s="306">
        <f>VLOOKUP(B72,'WTAX-CBPA'!B:N,4,0)</f>
        <v>0</v>
      </c>
      <c r="F72" s="89"/>
      <c r="G72" s="91"/>
      <c r="H72" s="91"/>
      <c r="I72" s="37">
        <f t="shared" si="11"/>
        <v>0</v>
      </c>
      <c r="J72" s="332">
        <f>'WTAX-CBPA'!N59</f>
        <v>0</v>
      </c>
      <c r="K72" s="211">
        <f t="shared" si="12"/>
        <v>0</v>
      </c>
      <c r="L72" s="40">
        <f>'WTAX-CBPA'!F59</f>
        <v>0</v>
      </c>
      <c r="M72" s="37">
        <f>'CBPA - DEDS'!R47</f>
        <v>0</v>
      </c>
      <c r="N72" s="37">
        <f>'CBPA - DEDS'!X47</f>
        <v>0</v>
      </c>
      <c r="O72" s="37">
        <f>'CBPA - DEDS'!Y47</f>
        <v>0</v>
      </c>
      <c r="P72" s="37">
        <f>'CBPA - DEDS'!AE47</f>
        <v>0</v>
      </c>
      <c r="Q72" s="38">
        <f t="shared" si="13"/>
        <v>0</v>
      </c>
      <c r="R72" s="49">
        <f t="shared" si="14"/>
        <v>0</v>
      </c>
      <c r="S72" s="76">
        <f t="shared" si="15"/>
        <v>0</v>
      </c>
      <c r="T72" s="77">
        <f t="shared" si="16"/>
        <v>0</v>
      </c>
      <c r="U72" s="33">
        <f t="shared" si="17"/>
        <v>28</v>
      </c>
      <c r="V72" s="36">
        <f>ROUND('CBPA - PAY'!I72*0.12,2)</f>
        <v>0</v>
      </c>
      <c r="W72" s="37">
        <f t="shared" si="18"/>
        <v>100</v>
      </c>
      <c r="X72" s="37">
        <f>MIN((I72*0.05)-'CBPA - DEDS'!Y47,2500)</f>
        <v>0</v>
      </c>
      <c r="Y72" s="41">
        <f t="shared" si="19"/>
        <v>200</v>
      </c>
    </row>
    <row r="73" spans="1:25" ht="18.75" customHeight="1" x14ac:dyDescent="0.25">
      <c r="A73" s="98"/>
      <c r="B73" s="33">
        <f t="shared" si="10"/>
        <v>29</v>
      </c>
      <c r="C73" s="72">
        <f>VLOOKUP(B73,'WTAX-CBPA'!B:N,2,0)</f>
        <v>0</v>
      </c>
      <c r="D73" s="72" t="e">
        <f>VLOOKUP(C73,'WTAX-CBPA'!C:O,2,0)</f>
        <v>#N/A</v>
      </c>
      <c r="E73" s="306">
        <f>VLOOKUP(B73,'WTAX-CBPA'!B:N,4,0)</f>
        <v>0</v>
      </c>
      <c r="F73" s="89"/>
      <c r="G73" s="91"/>
      <c r="H73" s="91"/>
      <c r="I73" s="37">
        <f t="shared" si="11"/>
        <v>0</v>
      </c>
      <c r="J73" s="332">
        <f>'WTAX-CBPA'!N60</f>
        <v>0</v>
      </c>
      <c r="K73" s="211">
        <f t="shared" si="12"/>
        <v>0</v>
      </c>
      <c r="L73" s="40">
        <f>'WTAX-CBPA'!F60</f>
        <v>0</v>
      </c>
      <c r="M73" s="37">
        <f>'CBPA - DEDS'!R48</f>
        <v>0</v>
      </c>
      <c r="N73" s="37">
        <f>'CBPA - DEDS'!X48</f>
        <v>0</v>
      </c>
      <c r="O73" s="37">
        <f>'CBPA - DEDS'!Y48</f>
        <v>0</v>
      </c>
      <c r="P73" s="37">
        <f>'CBPA - DEDS'!AE48</f>
        <v>0</v>
      </c>
      <c r="Q73" s="38">
        <f t="shared" si="13"/>
        <v>0</v>
      </c>
      <c r="R73" s="49">
        <f t="shared" si="14"/>
        <v>0</v>
      </c>
      <c r="S73" s="76">
        <f t="shared" si="15"/>
        <v>0</v>
      </c>
      <c r="T73" s="77">
        <f t="shared" si="16"/>
        <v>0</v>
      </c>
      <c r="U73" s="33">
        <f t="shared" si="17"/>
        <v>29</v>
      </c>
      <c r="V73" s="36">
        <f>ROUND('CBPA - PAY'!I73*0.12,2)</f>
        <v>0</v>
      </c>
      <c r="W73" s="37">
        <f t="shared" si="18"/>
        <v>100</v>
      </c>
      <c r="X73" s="37">
        <f>MIN((I73*0.05)-'CBPA - DEDS'!Y48,2500)</f>
        <v>0</v>
      </c>
      <c r="Y73" s="41">
        <f t="shared" si="19"/>
        <v>200</v>
      </c>
    </row>
    <row r="74" spans="1:25" ht="18.75" customHeight="1" x14ac:dyDescent="0.25">
      <c r="A74" s="98"/>
      <c r="B74" s="33">
        <f t="shared" si="10"/>
        <v>30</v>
      </c>
      <c r="C74" s="72">
        <f>VLOOKUP(B74,'WTAX-CBPA'!B:N,2,0)</f>
        <v>0</v>
      </c>
      <c r="D74" s="72" t="e">
        <f>VLOOKUP(C74,'WTAX-CBPA'!C:O,2,0)</f>
        <v>#N/A</v>
      </c>
      <c r="E74" s="306">
        <f>VLOOKUP(B74,'WTAX-CBPA'!B:N,4,0)</f>
        <v>0</v>
      </c>
      <c r="F74" s="89"/>
      <c r="G74" s="91"/>
      <c r="H74" s="91"/>
      <c r="I74" s="37">
        <f t="shared" si="11"/>
        <v>0</v>
      </c>
      <c r="J74" s="332">
        <f>'WTAX-CBPA'!N61</f>
        <v>0</v>
      </c>
      <c r="K74" s="211">
        <f t="shared" si="12"/>
        <v>0</v>
      </c>
      <c r="L74" s="40">
        <f>'WTAX-CBPA'!F61</f>
        <v>0</v>
      </c>
      <c r="M74" s="37">
        <f>'CBPA - DEDS'!R49</f>
        <v>0</v>
      </c>
      <c r="N74" s="37">
        <f>'CBPA - DEDS'!X49</f>
        <v>0</v>
      </c>
      <c r="O74" s="37">
        <f>'CBPA - DEDS'!Y49</f>
        <v>0</v>
      </c>
      <c r="P74" s="37">
        <f>'CBPA - DEDS'!AE49</f>
        <v>0</v>
      </c>
      <c r="Q74" s="38">
        <f t="shared" si="13"/>
        <v>0</v>
      </c>
      <c r="R74" s="49">
        <f t="shared" si="14"/>
        <v>0</v>
      </c>
      <c r="S74" s="76">
        <f t="shared" si="15"/>
        <v>0</v>
      </c>
      <c r="T74" s="77">
        <f t="shared" si="16"/>
        <v>0</v>
      </c>
      <c r="U74" s="33">
        <f t="shared" si="17"/>
        <v>30</v>
      </c>
      <c r="V74" s="36">
        <f>ROUND('CBPA - PAY'!I74*0.12,2)</f>
        <v>0</v>
      </c>
      <c r="W74" s="37">
        <f t="shared" si="18"/>
        <v>100</v>
      </c>
      <c r="X74" s="37">
        <f>MIN((I74*0.05)-'CBPA - DEDS'!Y49,2500)</f>
        <v>0</v>
      </c>
      <c r="Y74" s="41">
        <f t="shared" si="19"/>
        <v>200</v>
      </c>
    </row>
    <row r="75" spans="1:25" ht="18.75" customHeight="1" x14ac:dyDescent="0.25">
      <c r="A75" s="98"/>
      <c r="B75" s="33">
        <f t="shared" si="10"/>
        <v>31</v>
      </c>
      <c r="C75" s="72">
        <f>VLOOKUP(B75,'WTAX-CBPA'!B:N,2,0)</f>
        <v>0</v>
      </c>
      <c r="D75" s="72" t="e">
        <f>VLOOKUP(C75,'WTAX-CBPA'!C:O,2,0)</f>
        <v>#N/A</v>
      </c>
      <c r="E75" s="306">
        <f>VLOOKUP(B75,'WTAX-CBPA'!B:N,4,0)</f>
        <v>0</v>
      </c>
      <c r="F75" s="89"/>
      <c r="G75" s="91"/>
      <c r="H75" s="91"/>
      <c r="I75" s="37">
        <f t="shared" si="11"/>
        <v>0</v>
      </c>
      <c r="J75" s="332">
        <f>'WTAX-CBPA'!N62</f>
        <v>0</v>
      </c>
      <c r="K75" s="211">
        <f t="shared" si="12"/>
        <v>0</v>
      </c>
      <c r="L75" s="40">
        <f>'WTAX-CBPA'!F62</f>
        <v>0</v>
      </c>
      <c r="M75" s="37">
        <f>'CBPA - DEDS'!R50</f>
        <v>0</v>
      </c>
      <c r="N75" s="37">
        <f>'CBPA - DEDS'!X50</f>
        <v>0</v>
      </c>
      <c r="O75" s="37">
        <f>'CBPA - DEDS'!Y50</f>
        <v>0</v>
      </c>
      <c r="P75" s="37">
        <f>'CBPA - DEDS'!AE50</f>
        <v>0</v>
      </c>
      <c r="Q75" s="38">
        <f t="shared" si="13"/>
        <v>0</v>
      </c>
      <c r="R75" s="49">
        <f t="shared" si="14"/>
        <v>0</v>
      </c>
      <c r="S75" s="76">
        <f t="shared" si="15"/>
        <v>0</v>
      </c>
      <c r="T75" s="77">
        <f t="shared" si="16"/>
        <v>0</v>
      </c>
      <c r="U75" s="33">
        <f t="shared" si="17"/>
        <v>31</v>
      </c>
      <c r="V75" s="36">
        <f>ROUND('CBPA - PAY'!I75*0.12,2)</f>
        <v>0</v>
      </c>
      <c r="W75" s="37">
        <f t="shared" si="18"/>
        <v>100</v>
      </c>
      <c r="X75" s="37">
        <f>MIN((I75*0.05)-'CBPA - DEDS'!Y50,2500)</f>
        <v>0</v>
      </c>
      <c r="Y75" s="41">
        <f t="shared" si="19"/>
        <v>200</v>
      </c>
    </row>
    <row r="76" spans="1:25" ht="18.75" customHeight="1" x14ac:dyDescent="0.25">
      <c r="A76" s="98"/>
      <c r="B76" s="33">
        <f t="shared" si="10"/>
        <v>32</v>
      </c>
      <c r="C76" s="72">
        <f>VLOOKUP(B76,'WTAX-CBPA'!B:N,2,0)</f>
        <v>0</v>
      </c>
      <c r="D76" s="72" t="e">
        <f>VLOOKUP(C76,'WTAX-CBPA'!C:O,2,0)</f>
        <v>#N/A</v>
      </c>
      <c r="E76" s="306">
        <f>VLOOKUP(B76,'WTAX-CBPA'!B:N,4,0)</f>
        <v>0</v>
      </c>
      <c r="F76" s="89"/>
      <c r="G76" s="91"/>
      <c r="H76" s="91"/>
      <c r="I76" s="37">
        <f t="shared" si="11"/>
        <v>0</v>
      </c>
      <c r="J76" s="332">
        <f>'WTAX-CBPA'!N63</f>
        <v>0</v>
      </c>
      <c r="K76" s="211">
        <f t="shared" si="12"/>
        <v>0</v>
      </c>
      <c r="L76" s="40">
        <f>'WTAX-CBPA'!F63</f>
        <v>0</v>
      </c>
      <c r="M76" s="37">
        <f>'CBPA - DEDS'!R51</f>
        <v>0</v>
      </c>
      <c r="N76" s="37">
        <f>'CBPA - DEDS'!X51</f>
        <v>0</v>
      </c>
      <c r="O76" s="37">
        <f>'CBPA - DEDS'!Y51</f>
        <v>0</v>
      </c>
      <c r="P76" s="37">
        <f>'CBPA - DEDS'!AE51</f>
        <v>0</v>
      </c>
      <c r="Q76" s="38">
        <f t="shared" si="13"/>
        <v>0</v>
      </c>
      <c r="R76" s="49">
        <f t="shared" si="14"/>
        <v>0</v>
      </c>
      <c r="S76" s="76">
        <f t="shared" si="15"/>
        <v>0</v>
      </c>
      <c r="T76" s="77">
        <f t="shared" si="16"/>
        <v>0</v>
      </c>
      <c r="U76" s="33">
        <f t="shared" si="17"/>
        <v>32</v>
      </c>
      <c r="V76" s="36">
        <f>ROUND('CBPA - PAY'!I76*0.12,2)</f>
        <v>0</v>
      </c>
      <c r="W76" s="37">
        <f t="shared" si="18"/>
        <v>100</v>
      </c>
      <c r="X76" s="37">
        <f>MIN((I76*0.05)-'CBPA - DEDS'!Y51,2500)</f>
        <v>0</v>
      </c>
      <c r="Y76" s="41">
        <f t="shared" si="19"/>
        <v>200</v>
      </c>
    </row>
    <row r="77" spans="1:25" ht="18.75" customHeight="1" x14ac:dyDescent="0.25">
      <c r="A77" s="98"/>
      <c r="B77" s="33">
        <f t="shared" si="10"/>
        <v>33</v>
      </c>
      <c r="C77" s="72">
        <f>VLOOKUP(B77,'WTAX-CBPA'!B:N,2,0)</f>
        <v>0</v>
      </c>
      <c r="D77" s="72" t="e">
        <f>VLOOKUP(C77,'WTAX-CBPA'!C:O,2,0)</f>
        <v>#N/A</v>
      </c>
      <c r="E77" s="306">
        <f>VLOOKUP(B77,'WTAX-CBPA'!B:N,4,0)</f>
        <v>0</v>
      </c>
      <c r="F77" s="89"/>
      <c r="G77" s="91"/>
      <c r="H77" s="91"/>
      <c r="I77" s="37">
        <f t="shared" si="11"/>
        <v>0</v>
      </c>
      <c r="J77" s="332">
        <f>'WTAX-CBPA'!N64</f>
        <v>0</v>
      </c>
      <c r="K77" s="211">
        <f t="shared" si="12"/>
        <v>0</v>
      </c>
      <c r="L77" s="40">
        <f>'WTAX-CBPA'!F64</f>
        <v>0</v>
      </c>
      <c r="M77" s="37">
        <f>'CBPA - DEDS'!R52</f>
        <v>0</v>
      </c>
      <c r="N77" s="37">
        <f>'CBPA - DEDS'!X52</f>
        <v>0</v>
      </c>
      <c r="O77" s="37">
        <f>'CBPA - DEDS'!Y52</f>
        <v>0</v>
      </c>
      <c r="P77" s="37">
        <f>'CBPA - DEDS'!AE52</f>
        <v>0</v>
      </c>
      <c r="Q77" s="38">
        <f t="shared" si="13"/>
        <v>0</v>
      </c>
      <c r="R77" s="49">
        <f t="shared" si="14"/>
        <v>0</v>
      </c>
      <c r="S77" s="76">
        <f t="shared" si="15"/>
        <v>0</v>
      </c>
      <c r="T77" s="77">
        <f t="shared" si="16"/>
        <v>0</v>
      </c>
      <c r="U77" s="33">
        <f t="shared" si="17"/>
        <v>33</v>
      </c>
      <c r="V77" s="36">
        <f>ROUND('CBPA - PAY'!I77*0.12,2)</f>
        <v>0</v>
      </c>
      <c r="W77" s="37">
        <f t="shared" si="18"/>
        <v>100</v>
      </c>
      <c r="X77" s="37">
        <f>MIN((I77*0.05)-'CBPA - DEDS'!Y52,2500)</f>
        <v>0</v>
      </c>
      <c r="Y77" s="41">
        <f t="shared" si="19"/>
        <v>200</v>
      </c>
    </row>
    <row r="78" spans="1:25" ht="18.75" customHeight="1" x14ac:dyDescent="0.25">
      <c r="A78" s="98"/>
      <c r="B78" s="33">
        <f t="shared" si="10"/>
        <v>34</v>
      </c>
      <c r="C78" s="72">
        <f>VLOOKUP(B78,'WTAX-CBPA'!B:N,2,0)</f>
        <v>0</v>
      </c>
      <c r="D78" s="72" t="e">
        <f>VLOOKUP(C78,'WTAX-CBPA'!C:O,2,0)</f>
        <v>#N/A</v>
      </c>
      <c r="E78" s="306">
        <f>VLOOKUP(B78,'WTAX-CBPA'!B:N,4,0)</f>
        <v>0</v>
      </c>
      <c r="F78" s="89"/>
      <c r="G78" s="91"/>
      <c r="H78" s="91"/>
      <c r="I78" s="37">
        <f t="shared" si="11"/>
        <v>0</v>
      </c>
      <c r="J78" s="332">
        <f>'WTAX-CBPA'!N65</f>
        <v>0</v>
      </c>
      <c r="K78" s="211">
        <f t="shared" si="12"/>
        <v>0</v>
      </c>
      <c r="L78" s="40">
        <f>'WTAX-CBPA'!F65</f>
        <v>0</v>
      </c>
      <c r="M78" s="37">
        <f>'CBPA - DEDS'!R53</f>
        <v>0</v>
      </c>
      <c r="N78" s="37">
        <f>'CBPA - DEDS'!X53</f>
        <v>0</v>
      </c>
      <c r="O78" s="37">
        <f>'CBPA - DEDS'!Y53</f>
        <v>0</v>
      </c>
      <c r="P78" s="37">
        <f>'CBPA - DEDS'!AE53</f>
        <v>0</v>
      </c>
      <c r="Q78" s="38">
        <f t="shared" si="13"/>
        <v>0</v>
      </c>
      <c r="R78" s="49">
        <f t="shared" si="14"/>
        <v>0</v>
      </c>
      <c r="S78" s="76">
        <f t="shared" si="15"/>
        <v>0</v>
      </c>
      <c r="T78" s="77">
        <f t="shared" si="16"/>
        <v>0</v>
      </c>
      <c r="U78" s="33">
        <f t="shared" si="17"/>
        <v>34</v>
      </c>
      <c r="V78" s="36">
        <f>ROUND('CBPA - PAY'!I78*0.12,2)</f>
        <v>0</v>
      </c>
      <c r="W78" s="37">
        <f t="shared" si="18"/>
        <v>100</v>
      </c>
      <c r="X78" s="37">
        <f>MIN((I78*0.05)-'CBPA - DEDS'!Y53,2500)</f>
        <v>0</v>
      </c>
      <c r="Y78" s="41">
        <f t="shared" si="19"/>
        <v>200</v>
      </c>
    </row>
    <row r="79" spans="1:25" ht="18.75" customHeight="1" x14ac:dyDescent="0.25">
      <c r="A79" s="98"/>
      <c r="B79" s="33">
        <f t="shared" si="10"/>
        <v>35</v>
      </c>
      <c r="C79" s="72">
        <f>VLOOKUP(B79,'WTAX-CBPA'!B:N,2,0)</f>
        <v>0</v>
      </c>
      <c r="D79" s="72" t="e">
        <f>VLOOKUP(C79,'WTAX-CBPA'!C:O,2,0)</f>
        <v>#N/A</v>
      </c>
      <c r="E79" s="306">
        <f>VLOOKUP(B79,'WTAX-CBPA'!B:N,4,0)</f>
        <v>0</v>
      </c>
      <c r="F79" s="89"/>
      <c r="G79" s="91"/>
      <c r="H79" s="91"/>
      <c r="I79" s="37">
        <f t="shared" si="11"/>
        <v>0</v>
      </c>
      <c r="J79" s="332">
        <f>'WTAX-CBPA'!N66</f>
        <v>0</v>
      </c>
      <c r="K79" s="211">
        <f t="shared" si="12"/>
        <v>0</v>
      </c>
      <c r="L79" s="40">
        <f>'WTAX-CBPA'!F66</f>
        <v>0</v>
      </c>
      <c r="M79" s="37">
        <f>'CBPA - DEDS'!R54</f>
        <v>0</v>
      </c>
      <c r="N79" s="37">
        <f>'CBPA - DEDS'!X54</f>
        <v>0</v>
      </c>
      <c r="O79" s="37">
        <f>'CBPA - DEDS'!Y54</f>
        <v>0</v>
      </c>
      <c r="P79" s="37">
        <f>'CBPA - DEDS'!AE54</f>
        <v>0</v>
      </c>
      <c r="Q79" s="38">
        <f t="shared" si="13"/>
        <v>0</v>
      </c>
      <c r="R79" s="49">
        <f t="shared" si="14"/>
        <v>0</v>
      </c>
      <c r="S79" s="76">
        <f t="shared" si="15"/>
        <v>0</v>
      </c>
      <c r="T79" s="77">
        <f t="shared" si="16"/>
        <v>0</v>
      </c>
      <c r="U79" s="33">
        <f t="shared" si="17"/>
        <v>35</v>
      </c>
      <c r="V79" s="36">
        <f>ROUND('CBPA - PAY'!I79*0.12,2)</f>
        <v>0</v>
      </c>
      <c r="W79" s="37">
        <f t="shared" si="18"/>
        <v>100</v>
      </c>
      <c r="X79" s="37">
        <f>MIN((I79*0.05)-'CBPA - DEDS'!Y54,2500)</f>
        <v>0</v>
      </c>
      <c r="Y79" s="41">
        <f t="shared" si="19"/>
        <v>200</v>
      </c>
    </row>
    <row r="80" spans="1:25" ht="18.75" customHeight="1" x14ac:dyDescent="0.25">
      <c r="A80" s="98"/>
      <c r="B80" s="33">
        <f t="shared" si="10"/>
        <v>36</v>
      </c>
      <c r="C80" s="72">
        <f>VLOOKUP(B80,'WTAX-CBPA'!B:N,2,0)</f>
        <v>0</v>
      </c>
      <c r="D80" s="72" t="e">
        <f>VLOOKUP(C80,'WTAX-CBPA'!C:O,2,0)</f>
        <v>#N/A</v>
      </c>
      <c r="E80" s="306">
        <f>VLOOKUP(B80,'WTAX-CBPA'!B:N,4,0)</f>
        <v>0</v>
      </c>
      <c r="F80" s="89"/>
      <c r="G80" s="91"/>
      <c r="H80" s="91"/>
      <c r="I80" s="37">
        <f t="shared" si="11"/>
        <v>0</v>
      </c>
      <c r="J80" s="332">
        <f>'WTAX-CBPA'!N67</f>
        <v>0</v>
      </c>
      <c r="K80" s="211">
        <f t="shared" si="12"/>
        <v>0</v>
      </c>
      <c r="L80" s="40">
        <f>'WTAX-CBPA'!F67</f>
        <v>0</v>
      </c>
      <c r="M80" s="37">
        <f>'CBPA - DEDS'!R55</f>
        <v>0</v>
      </c>
      <c r="N80" s="37">
        <f>'CBPA - DEDS'!X55</f>
        <v>0</v>
      </c>
      <c r="O80" s="37">
        <f>'CBPA - DEDS'!Y55</f>
        <v>0</v>
      </c>
      <c r="P80" s="37">
        <f>'CBPA - DEDS'!AE55</f>
        <v>0</v>
      </c>
      <c r="Q80" s="38">
        <f t="shared" si="13"/>
        <v>0</v>
      </c>
      <c r="R80" s="49">
        <f t="shared" si="14"/>
        <v>0</v>
      </c>
      <c r="S80" s="76">
        <f t="shared" si="15"/>
        <v>0</v>
      </c>
      <c r="T80" s="77">
        <f t="shared" si="16"/>
        <v>0</v>
      </c>
      <c r="U80" s="33">
        <f t="shared" si="17"/>
        <v>36</v>
      </c>
      <c r="V80" s="36">
        <f>ROUND('CBPA - PAY'!I80*0.12,2)</f>
        <v>0</v>
      </c>
      <c r="W80" s="37">
        <f t="shared" si="18"/>
        <v>100</v>
      </c>
      <c r="X80" s="37">
        <f>MIN((I80*0.05)-'CBPA - DEDS'!Y55,2500)</f>
        <v>0</v>
      </c>
      <c r="Y80" s="41">
        <f t="shared" si="19"/>
        <v>200</v>
      </c>
    </row>
    <row r="81" spans="1:25" ht="18.75" customHeight="1" x14ac:dyDescent="0.25">
      <c r="A81" s="98"/>
      <c r="B81" s="33">
        <f t="shared" si="10"/>
        <v>37</v>
      </c>
      <c r="C81" s="72">
        <f>VLOOKUP(B81,'WTAX-CBPA'!B:N,2,0)</f>
        <v>0</v>
      </c>
      <c r="D81" s="72" t="e">
        <f>VLOOKUP(C81,'WTAX-CBPA'!C:O,2,0)</f>
        <v>#N/A</v>
      </c>
      <c r="E81" s="306">
        <f>VLOOKUP(B81,'WTAX-CBPA'!B:N,4,0)</f>
        <v>0</v>
      </c>
      <c r="F81" s="89"/>
      <c r="G81" s="91"/>
      <c r="H81" s="91"/>
      <c r="I81" s="37">
        <f t="shared" si="11"/>
        <v>0</v>
      </c>
      <c r="J81" s="332">
        <f>'WTAX-CBPA'!N68</f>
        <v>0</v>
      </c>
      <c r="K81" s="211">
        <f t="shared" si="12"/>
        <v>0</v>
      </c>
      <c r="L81" s="40">
        <f>'WTAX-CBPA'!F68</f>
        <v>0</v>
      </c>
      <c r="M81" s="37">
        <f>'CBPA - DEDS'!R56</f>
        <v>0</v>
      </c>
      <c r="N81" s="37">
        <f>'CBPA - DEDS'!X56</f>
        <v>0</v>
      </c>
      <c r="O81" s="37">
        <f>'CBPA - DEDS'!Y56</f>
        <v>0</v>
      </c>
      <c r="P81" s="37">
        <f>'CBPA - DEDS'!AE56</f>
        <v>0</v>
      </c>
      <c r="Q81" s="38">
        <f t="shared" si="13"/>
        <v>0</v>
      </c>
      <c r="R81" s="49">
        <f t="shared" si="14"/>
        <v>0</v>
      </c>
      <c r="S81" s="76">
        <f t="shared" si="15"/>
        <v>0</v>
      </c>
      <c r="T81" s="77">
        <f t="shared" si="16"/>
        <v>0</v>
      </c>
      <c r="U81" s="33">
        <f t="shared" si="17"/>
        <v>37</v>
      </c>
      <c r="V81" s="36">
        <f>ROUND('CBPA - PAY'!I81*0.12,2)</f>
        <v>0</v>
      </c>
      <c r="W81" s="37">
        <f t="shared" si="18"/>
        <v>100</v>
      </c>
      <c r="X81" s="37">
        <f>MIN((I81*0.05)-'CBPA - DEDS'!Y56,2500)</f>
        <v>0</v>
      </c>
      <c r="Y81" s="41">
        <f t="shared" si="19"/>
        <v>200</v>
      </c>
    </row>
    <row r="82" spans="1:25" ht="18.75" customHeight="1" x14ac:dyDescent="0.25">
      <c r="A82" s="98"/>
      <c r="B82" s="33">
        <f t="shared" si="10"/>
        <v>38</v>
      </c>
      <c r="C82" s="72">
        <f>VLOOKUP(B82,'WTAX-CBPA'!B:N,2,0)</f>
        <v>0</v>
      </c>
      <c r="D82" s="72" t="e">
        <f>VLOOKUP(C82,'WTAX-CBPA'!C:O,2,0)</f>
        <v>#N/A</v>
      </c>
      <c r="E82" s="306">
        <f>VLOOKUP(B82,'WTAX-CBPA'!B:N,4,0)</f>
        <v>0</v>
      </c>
      <c r="F82" s="89"/>
      <c r="G82" s="91"/>
      <c r="H82" s="91"/>
      <c r="I82" s="37">
        <f t="shared" si="11"/>
        <v>0</v>
      </c>
      <c r="J82" s="332">
        <f>'WTAX-CBPA'!N69</f>
        <v>0</v>
      </c>
      <c r="K82" s="211">
        <f t="shared" si="12"/>
        <v>0</v>
      </c>
      <c r="L82" s="40">
        <f>'WTAX-CBPA'!F69</f>
        <v>0</v>
      </c>
      <c r="M82" s="37">
        <f>'CBPA - DEDS'!R57</f>
        <v>0</v>
      </c>
      <c r="N82" s="37">
        <f>'CBPA - DEDS'!X57</f>
        <v>0</v>
      </c>
      <c r="O82" s="37">
        <f>'CBPA - DEDS'!Y57</f>
        <v>0</v>
      </c>
      <c r="P82" s="37">
        <f>'CBPA - DEDS'!AE57</f>
        <v>0</v>
      </c>
      <c r="Q82" s="38">
        <f t="shared" si="13"/>
        <v>0</v>
      </c>
      <c r="R82" s="49">
        <f t="shared" si="14"/>
        <v>0</v>
      </c>
      <c r="S82" s="76">
        <f t="shared" si="15"/>
        <v>0</v>
      </c>
      <c r="T82" s="77">
        <f t="shared" si="16"/>
        <v>0</v>
      </c>
      <c r="U82" s="33">
        <f t="shared" si="17"/>
        <v>38</v>
      </c>
      <c r="V82" s="36">
        <f>ROUND('CBPA - PAY'!I82*0.12,2)</f>
        <v>0</v>
      </c>
      <c r="W82" s="37">
        <f t="shared" si="18"/>
        <v>100</v>
      </c>
      <c r="X82" s="37">
        <f>MIN((I82*0.05)-'CBPA - DEDS'!Y57,2500)</f>
        <v>0</v>
      </c>
      <c r="Y82" s="41">
        <f t="shared" si="19"/>
        <v>200</v>
      </c>
    </row>
    <row r="83" spans="1:25" ht="18.75" customHeight="1" x14ac:dyDescent="0.25">
      <c r="A83" s="98"/>
      <c r="B83" s="33">
        <f t="shared" si="10"/>
        <v>39</v>
      </c>
      <c r="C83" s="72">
        <f>VLOOKUP(B83,'WTAX-CBPA'!B:N,2,0)</f>
        <v>0</v>
      </c>
      <c r="D83" s="72" t="e">
        <f>VLOOKUP(C83,'WTAX-CBPA'!C:O,2,0)</f>
        <v>#N/A</v>
      </c>
      <c r="E83" s="306">
        <f>VLOOKUP(B83,'WTAX-CBPA'!B:N,4,0)</f>
        <v>0</v>
      </c>
      <c r="F83" s="89"/>
      <c r="G83" s="91"/>
      <c r="H83" s="91"/>
      <c r="I83" s="37">
        <f t="shared" si="11"/>
        <v>0</v>
      </c>
      <c r="J83" s="332">
        <f>'WTAX-CBPA'!N70</f>
        <v>0</v>
      </c>
      <c r="K83" s="211">
        <f t="shared" si="12"/>
        <v>0</v>
      </c>
      <c r="L83" s="40">
        <f>'WTAX-CBPA'!F70</f>
        <v>0</v>
      </c>
      <c r="M83" s="37">
        <f>'CBPA - DEDS'!R58</f>
        <v>0</v>
      </c>
      <c r="N83" s="37">
        <f>'CBPA - DEDS'!X58</f>
        <v>0</v>
      </c>
      <c r="O83" s="37">
        <f>'CBPA - DEDS'!Y58</f>
        <v>0</v>
      </c>
      <c r="P83" s="37">
        <f>'CBPA - DEDS'!AE58</f>
        <v>0</v>
      </c>
      <c r="Q83" s="38">
        <f t="shared" si="13"/>
        <v>0</v>
      </c>
      <c r="R83" s="49">
        <f t="shared" si="14"/>
        <v>0</v>
      </c>
      <c r="S83" s="76">
        <f t="shared" si="15"/>
        <v>0</v>
      </c>
      <c r="T83" s="77">
        <f t="shared" si="16"/>
        <v>0</v>
      </c>
      <c r="U83" s="33">
        <f t="shared" si="17"/>
        <v>39</v>
      </c>
      <c r="V83" s="36">
        <f>ROUND('CBPA - PAY'!I83*0.12,2)</f>
        <v>0</v>
      </c>
      <c r="W83" s="37">
        <f t="shared" si="18"/>
        <v>100</v>
      </c>
      <c r="X83" s="37">
        <f>MIN((I83*0.05)-'CBPA - DEDS'!Y58,2500)</f>
        <v>0</v>
      </c>
      <c r="Y83" s="41">
        <f t="shared" si="19"/>
        <v>200</v>
      </c>
    </row>
    <row r="84" spans="1:25" ht="18.75" customHeight="1" x14ac:dyDescent="0.25">
      <c r="A84" s="98"/>
      <c r="B84" s="33">
        <f t="shared" si="10"/>
        <v>40</v>
      </c>
      <c r="C84" s="72">
        <f>VLOOKUP(B84,'WTAX-CBPA'!B:N,2,0)</f>
        <v>0</v>
      </c>
      <c r="D84" s="72" t="e">
        <f>VLOOKUP(C84,'WTAX-CBPA'!C:O,2,0)</f>
        <v>#N/A</v>
      </c>
      <c r="E84" s="306">
        <f>VLOOKUP(B84,'WTAX-CBPA'!B:N,4,0)</f>
        <v>0</v>
      </c>
      <c r="F84" s="89"/>
      <c r="G84" s="91"/>
      <c r="H84" s="91"/>
      <c r="I84" s="37">
        <f t="shared" si="11"/>
        <v>0</v>
      </c>
      <c r="J84" s="332">
        <f>'WTAX-CBPA'!N71</f>
        <v>0</v>
      </c>
      <c r="K84" s="211">
        <f t="shared" si="12"/>
        <v>0</v>
      </c>
      <c r="L84" s="40">
        <f>'WTAX-CBPA'!F71</f>
        <v>0</v>
      </c>
      <c r="M84" s="37">
        <f>'CBPA - DEDS'!R59</f>
        <v>0</v>
      </c>
      <c r="N84" s="37">
        <f>'CBPA - DEDS'!X59</f>
        <v>0</v>
      </c>
      <c r="O84" s="37">
        <f>'CBPA - DEDS'!Y59</f>
        <v>0</v>
      </c>
      <c r="P84" s="37">
        <f>'CBPA - DEDS'!AE59</f>
        <v>0</v>
      </c>
      <c r="Q84" s="38">
        <f t="shared" si="13"/>
        <v>0</v>
      </c>
      <c r="R84" s="49">
        <f t="shared" si="14"/>
        <v>0</v>
      </c>
      <c r="S84" s="76">
        <f t="shared" si="15"/>
        <v>0</v>
      </c>
      <c r="T84" s="77">
        <f t="shared" si="16"/>
        <v>0</v>
      </c>
      <c r="U84" s="33">
        <f t="shared" si="17"/>
        <v>40</v>
      </c>
      <c r="V84" s="36">
        <f>ROUND('CBPA - PAY'!I84*0.12,2)</f>
        <v>0</v>
      </c>
      <c r="W84" s="37">
        <f t="shared" si="18"/>
        <v>100</v>
      </c>
      <c r="X84" s="37">
        <f>MIN((I84*0.05)-'CBPA - DEDS'!Y59,2500)</f>
        <v>0</v>
      </c>
      <c r="Y84" s="41">
        <f t="shared" si="19"/>
        <v>200</v>
      </c>
    </row>
    <row r="85" spans="1:25" ht="18.75" customHeight="1" x14ac:dyDescent="0.25">
      <c r="A85" s="98"/>
      <c r="B85" s="33">
        <f t="shared" si="10"/>
        <v>41</v>
      </c>
      <c r="C85" s="72">
        <f>VLOOKUP(B85,'WTAX-CBPA'!B:N,2,0)</f>
        <v>0</v>
      </c>
      <c r="D85" s="72" t="e">
        <f>VLOOKUP(C85,'WTAX-CBPA'!C:O,2,0)</f>
        <v>#N/A</v>
      </c>
      <c r="E85" s="306">
        <f>VLOOKUP(B85,'WTAX-CBPA'!B:N,4,0)</f>
        <v>0</v>
      </c>
      <c r="F85" s="89"/>
      <c r="G85" s="91"/>
      <c r="H85" s="91"/>
      <c r="I85" s="37">
        <f t="shared" si="11"/>
        <v>0</v>
      </c>
      <c r="J85" s="332">
        <f>'WTAX-CBPA'!N72</f>
        <v>0</v>
      </c>
      <c r="K85" s="211">
        <f t="shared" si="12"/>
        <v>0</v>
      </c>
      <c r="L85" s="40">
        <f>'WTAX-CBPA'!F72</f>
        <v>0</v>
      </c>
      <c r="M85" s="37">
        <f>'CBPA - DEDS'!R60</f>
        <v>0</v>
      </c>
      <c r="N85" s="37">
        <f>'CBPA - DEDS'!X60</f>
        <v>0</v>
      </c>
      <c r="O85" s="37">
        <f>'CBPA - DEDS'!Y60</f>
        <v>0</v>
      </c>
      <c r="P85" s="37">
        <f>'CBPA - DEDS'!AE60</f>
        <v>0</v>
      </c>
      <c r="Q85" s="38">
        <f t="shared" si="13"/>
        <v>0</v>
      </c>
      <c r="R85" s="49">
        <f t="shared" si="14"/>
        <v>0</v>
      </c>
      <c r="S85" s="76">
        <f t="shared" si="15"/>
        <v>0</v>
      </c>
      <c r="T85" s="77">
        <f t="shared" si="16"/>
        <v>0</v>
      </c>
      <c r="U85" s="33">
        <f t="shared" si="17"/>
        <v>41</v>
      </c>
      <c r="V85" s="36">
        <f>ROUND('CBPA - PAY'!I85*0.12,2)</f>
        <v>0</v>
      </c>
      <c r="W85" s="37">
        <f t="shared" si="18"/>
        <v>100</v>
      </c>
      <c r="X85" s="37">
        <f>MIN((I85*0.05)-'CBPA - DEDS'!Y60,2500)</f>
        <v>0</v>
      </c>
      <c r="Y85" s="41">
        <f t="shared" si="19"/>
        <v>200</v>
      </c>
    </row>
    <row r="86" spans="1:25" ht="18.75" customHeight="1" x14ac:dyDescent="0.25">
      <c r="A86" s="98"/>
      <c r="B86" s="33">
        <f t="shared" si="10"/>
        <v>42</v>
      </c>
      <c r="C86" s="72">
        <f>VLOOKUP(B86,'WTAX-CBPA'!B:N,2,0)</f>
        <v>0</v>
      </c>
      <c r="D86" s="72" t="e">
        <f>VLOOKUP(C86,'WTAX-CBPA'!C:O,2,0)</f>
        <v>#N/A</v>
      </c>
      <c r="E86" s="306">
        <f>VLOOKUP(B86,'WTAX-CBPA'!B:N,4,0)</f>
        <v>0</v>
      </c>
      <c r="F86" s="89"/>
      <c r="G86" s="91"/>
      <c r="H86" s="91"/>
      <c r="I86" s="37">
        <f t="shared" si="11"/>
        <v>0</v>
      </c>
      <c r="J86" s="332">
        <f>'WTAX-CBPA'!N73</f>
        <v>0</v>
      </c>
      <c r="K86" s="211">
        <f t="shared" si="12"/>
        <v>0</v>
      </c>
      <c r="L86" s="40">
        <f>'WTAX-CBPA'!F73</f>
        <v>0</v>
      </c>
      <c r="M86" s="37">
        <f>'CBPA - DEDS'!R61</f>
        <v>0</v>
      </c>
      <c r="N86" s="37">
        <f>'CBPA - DEDS'!X61</f>
        <v>0</v>
      </c>
      <c r="O86" s="37">
        <f>'CBPA - DEDS'!Y61</f>
        <v>0</v>
      </c>
      <c r="P86" s="37">
        <f>'CBPA - DEDS'!AE61</f>
        <v>0</v>
      </c>
      <c r="Q86" s="38">
        <f t="shared" si="13"/>
        <v>0</v>
      </c>
      <c r="R86" s="49">
        <f t="shared" si="14"/>
        <v>0</v>
      </c>
      <c r="S86" s="76">
        <f t="shared" si="15"/>
        <v>0</v>
      </c>
      <c r="T86" s="77">
        <f t="shared" si="16"/>
        <v>0</v>
      </c>
      <c r="U86" s="33">
        <f t="shared" si="17"/>
        <v>42</v>
      </c>
      <c r="V86" s="36">
        <f>ROUND('CBPA - PAY'!I86*0.12,2)</f>
        <v>0</v>
      </c>
      <c r="W86" s="37">
        <f t="shared" si="18"/>
        <v>100</v>
      </c>
      <c r="X86" s="37">
        <f>MIN((I86*0.05)-'CBPA - DEDS'!Y61,2500)</f>
        <v>0</v>
      </c>
      <c r="Y86" s="41">
        <f t="shared" si="19"/>
        <v>200</v>
      </c>
    </row>
    <row r="87" spans="1:25" ht="18.75" customHeight="1" x14ac:dyDescent="0.25">
      <c r="A87" s="98"/>
      <c r="B87" s="33">
        <f t="shared" si="10"/>
        <v>43</v>
      </c>
      <c r="C87" s="72">
        <f>VLOOKUP(B87,'WTAX-CBPA'!B:N,2,0)</f>
        <v>0</v>
      </c>
      <c r="D87" s="72" t="e">
        <f>VLOOKUP(C87,'WTAX-CBPA'!C:O,2,0)</f>
        <v>#N/A</v>
      </c>
      <c r="E87" s="306">
        <f>VLOOKUP(B87,'WTAX-CBPA'!B:N,4,0)</f>
        <v>0</v>
      </c>
      <c r="F87" s="89"/>
      <c r="G87" s="91"/>
      <c r="H87" s="91"/>
      <c r="I87" s="37">
        <f t="shared" si="11"/>
        <v>0</v>
      </c>
      <c r="J87" s="332">
        <f>'WTAX-CBPA'!N74</f>
        <v>0</v>
      </c>
      <c r="K87" s="211">
        <f t="shared" si="12"/>
        <v>0</v>
      </c>
      <c r="L87" s="40">
        <f>'WTAX-CBPA'!F74</f>
        <v>0</v>
      </c>
      <c r="M87" s="37">
        <f>'CBPA - DEDS'!R62</f>
        <v>0</v>
      </c>
      <c r="N87" s="37">
        <f>'CBPA - DEDS'!X62</f>
        <v>0</v>
      </c>
      <c r="O87" s="37">
        <f>'CBPA - DEDS'!Y62</f>
        <v>0</v>
      </c>
      <c r="P87" s="37">
        <f>'CBPA - DEDS'!AE62</f>
        <v>0</v>
      </c>
      <c r="Q87" s="38">
        <f t="shared" si="13"/>
        <v>0</v>
      </c>
      <c r="R87" s="49">
        <f t="shared" si="14"/>
        <v>0</v>
      </c>
      <c r="S87" s="76">
        <f t="shared" si="15"/>
        <v>0</v>
      </c>
      <c r="T87" s="77">
        <f t="shared" si="16"/>
        <v>0</v>
      </c>
      <c r="U87" s="33">
        <f t="shared" si="17"/>
        <v>43</v>
      </c>
      <c r="V87" s="36">
        <f>ROUND('CBPA - PAY'!I87*0.12,2)</f>
        <v>0</v>
      </c>
      <c r="W87" s="37">
        <f t="shared" si="18"/>
        <v>100</v>
      </c>
      <c r="X87" s="37">
        <f>MIN((I87*0.05)-'CBPA - DEDS'!Y62,2500)</f>
        <v>0</v>
      </c>
      <c r="Y87" s="41">
        <f t="shared" si="19"/>
        <v>200</v>
      </c>
    </row>
    <row r="88" spans="1:25" ht="18.75" customHeight="1" x14ac:dyDescent="0.25">
      <c r="A88" s="98"/>
      <c r="B88" s="33">
        <f t="shared" si="10"/>
        <v>44</v>
      </c>
      <c r="C88" s="72">
        <f>VLOOKUP(B88,'WTAX-CBPA'!B:N,2,0)</f>
        <v>0</v>
      </c>
      <c r="D88" s="72" t="e">
        <f>VLOOKUP(C88,'WTAX-CBPA'!C:O,2,0)</f>
        <v>#N/A</v>
      </c>
      <c r="E88" s="306">
        <f>VLOOKUP(B88,'WTAX-CBPA'!B:N,4,0)</f>
        <v>0</v>
      </c>
      <c r="F88" s="89"/>
      <c r="G88" s="91"/>
      <c r="H88" s="91"/>
      <c r="I88" s="37">
        <f t="shared" si="11"/>
        <v>0</v>
      </c>
      <c r="J88" s="332">
        <f>'WTAX-CBPA'!N75</f>
        <v>0</v>
      </c>
      <c r="K88" s="211">
        <f t="shared" si="12"/>
        <v>0</v>
      </c>
      <c r="L88" s="40">
        <f>'WTAX-CBPA'!F75</f>
        <v>0</v>
      </c>
      <c r="M88" s="37">
        <f>'CBPA - DEDS'!R63</f>
        <v>0</v>
      </c>
      <c r="N88" s="37">
        <f>'CBPA - DEDS'!X63</f>
        <v>0</v>
      </c>
      <c r="O88" s="37">
        <f>'CBPA - DEDS'!Y63</f>
        <v>0</v>
      </c>
      <c r="P88" s="37">
        <f>'CBPA - DEDS'!AE63</f>
        <v>0</v>
      </c>
      <c r="Q88" s="38">
        <f t="shared" si="13"/>
        <v>0</v>
      </c>
      <c r="R88" s="49">
        <f t="shared" si="14"/>
        <v>0</v>
      </c>
      <c r="S88" s="76">
        <f t="shared" si="15"/>
        <v>0</v>
      </c>
      <c r="T88" s="77">
        <f t="shared" si="16"/>
        <v>0</v>
      </c>
      <c r="U88" s="33">
        <f t="shared" si="17"/>
        <v>44</v>
      </c>
      <c r="V88" s="36">
        <f>ROUND('CBPA - PAY'!I88*0.12,2)</f>
        <v>0</v>
      </c>
      <c r="W88" s="37">
        <f t="shared" si="18"/>
        <v>100</v>
      </c>
      <c r="X88" s="37">
        <f>MIN((I88*0.05)-'CBPA - DEDS'!Y63,2500)</f>
        <v>0</v>
      </c>
      <c r="Y88" s="41">
        <f t="shared" si="19"/>
        <v>200</v>
      </c>
    </row>
    <row r="89" spans="1:25" ht="18.75" customHeight="1" x14ac:dyDescent="0.25">
      <c r="A89" s="98"/>
      <c r="B89" s="33">
        <f t="shared" si="10"/>
        <v>45</v>
      </c>
      <c r="C89" s="72">
        <f>VLOOKUP(B89,'WTAX-CBPA'!B:N,2,0)</f>
        <v>0</v>
      </c>
      <c r="D89" s="72" t="e">
        <f>VLOOKUP(C89,'WTAX-CBPA'!C:O,2,0)</f>
        <v>#N/A</v>
      </c>
      <c r="E89" s="306">
        <f>VLOOKUP(B89,'WTAX-CBPA'!B:N,4,0)</f>
        <v>0</v>
      </c>
      <c r="F89" s="89"/>
      <c r="G89" s="91"/>
      <c r="H89" s="91"/>
      <c r="I89" s="37">
        <f t="shared" si="11"/>
        <v>0</v>
      </c>
      <c r="J89" s="332">
        <f>'WTAX-CBPA'!N76</f>
        <v>0</v>
      </c>
      <c r="K89" s="211">
        <f t="shared" si="12"/>
        <v>0</v>
      </c>
      <c r="L89" s="40">
        <f>'WTAX-CBPA'!F76</f>
        <v>0</v>
      </c>
      <c r="M89" s="37">
        <f>'CBPA - DEDS'!R64</f>
        <v>0</v>
      </c>
      <c r="N89" s="37">
        <f>'CBPA - DEDS'!X64</f>
        <v>0</v>
      </c>
      <c r="O89" s="37">
        <f>'CBPA - DEDS'!Y64</f>
        <v>0</v>
      </c>
      <c r="P89" s="37">
        <f>'CBPA - DEDS'!AE64</f>
        <v>0</v>
      </c>
      <c r="Q89" s="38">
        <f t="shared" si="13"/>
        <v>0</v>
      </c>
      <c r="R89" s="49">
        <f t="shared" si="14"/>
        <v>0</v>
      </c>
      <c r="S89" s="76">
        <f t="shared" si="15"/>
        <v>0</v>
      </c>
      <c r="T89" s="77">
        <f t="shared" si="16"/>
        <v>0</v>
      </c>
      <c r="U89" s="33">
        <f t="shared" si="17"/>
        <v>45</v>
      </c>
      <c r="V89" s="36">
        <f>ROUND('CBPA - PAY'!I89*0.12,2)</f>
        <v>0</v>
      </c>
      <c r="W89" s="37">
        <f t="shared" si="18"/>
        <v>100</v>
      </c>
      <c r="X89" s="37">
        <f>MIN((I89*0.05)-'CBPA - DEDS'!Y64,2500)</f>
        <v>0</v>
      </c>
      <c r="Y89" s="41">
        <f t="shared" si="19"/>
        <v>200</v>
      </c>
    </row>
    <row r="90" spans="1:25" ht="18.75" customHeight="1" x14ac:dyDescent="0.25">
      <c r="A90" s="98"/>
      <c r="B90" s="33">
        <f t="shared" si="10"/>
        <v>46</v>
      </c>
      <c r="C90" s="72">
        <f>VLOOKUP(B90,'WTAX-CBPA'!B:N,2,0)</f>
        <v>0</v>
      </c>
      <c r="D90" s="72" t="e">
        <f>VLOOKUP(C90,'WTAX-CBPA'!C:O,2,0)</f>
        <v>#N/A</v>
      </c>
      <c r="E90" s="306">
        <f>VLOOKUP(B90,'WTAX-CBPA'!B:N,4,0)</f>
        <v>0</v>
      </c>
      <c r="F90" s="89"/>
      <c r="G90" s="91"/>
      <c r="H90" s="91"/>
      <c r="I90" s="37">
        <f t="shared" si="11"/>
        <v>0</v>
      </c>
      <c r="J90" s="332">
        <f>'WTAX-CBPA'!N77</f>
        <v>0</v>
      </c>
      <c r="K90" s="211">
        <f t="shared" si="12"/>
        <v>0</v>
      </c>
      <c r="L90" s="40">
        <f>'WTAX-CBPA'!F77</f>
        <v>0</v>
      </c>
      <c r="M90" s="37">
        <f>'CBPA - DEDS'!R65</f>
        <v>0</v>
      </c>
      <c r="N90" s="37">
        <f>'CBPA - DEDS'!X65</f>
        <v>0</v>
      </c>
      <c r="O90" s="37">
        <f>'CBPA - DEDS'!Y65</f>
        <v>0</v>
      </c>
      <c r="P90" s="37">
        <f>'CBPA - DEDS'!AE65</f>
        <v>0</v>
      </c>
      <c r="Q90" s="38">
        <f t="shared" si="13"/>
        <v>0</v>
      </c>
      <c r="R90" s="49">
        <f t="shared" si="14"/>
        <v>0</v>
      </c>
      <c r="S90" s="76">
        <f t="shared" si="15"/>
        <v>0</v>
      </c>
      <c r="T90" s="77">
        <f t="shared" si="16"/>
        <v>0</v>
      </c>
      <c r="U90" s="33">
        <f t="shared" si="17"/>
        <v>46</v>
      </c>
      <c r="V90" s="36">
        <f>ROUND('CBPA - PAY'!I90*0.12,2)</f>
        <v>0</v>
      </c>
      <c r="W90" s="37">
        <f t="shared" si="18"/>
        <v>100</v>
      </c>
      <c r="X90" s="37">
        <f>MIN((I90*0.05)-'CBPA - DEDS'!Y65,2500)</f>
        <v>0</v>
      </c>
      <c r="Y90" s="41">
        <f t="shared" si="19"/>
        <v>200</v>
      </c>
    </row>
    <row r="91" spans="1:25" ht="18.75" customHeight="1" x14ac:dyDescent="0.25">
      <c r="A91" s="98"/>
      <c r="B91" s="33">
        <f>+B66+1</f>
        <v>47</v>
      </c>
      <c r="C91" s="72">
        <f>VLOOKUP(B91,'WTAX-CBPA'!B:N,2,0)</f>
        <v>0</v>
      </c>
      <c r="D91" s="72" t="e">
        <f>VLOOKUP(C91,'WTAX-CBPA'!C:O,2,0)</f>
        <v>#N/A</v>
      </c>
      <c r="E91" s="306">
        <f>VLOOKUP(B91,'WTAX-CBPA'!B:N,4,0)</f>
        <v>0</v>
      </c>
      <c r="F91" s="89"/>
      <c r="G91" s="91"/>
      <c r="H91" s="91"/>
      <c r="I91" s="37">
        <f t="shared" si="0"/>
        <v>0</v>
      </c>
      <c r="J91" s="332">
        <f>'WTAX-CBPA'!N78</f>
        <v>0</v>
      </c>
      <c r="K91" s="211">
        <f t="shared" si="1"/>
        <v>0</v>
      </c>
      <c r="L91" s="40">
        <f>'WTAX-CBPA'!F78</f>
        <v>0</v>
      </c>
      <c r="M91" s="37">
        <f>'CBPA - DEDS'!R90</f>
        <v>0</v>
      </c>
      <c r="N91" s="37">
        <f>'CBPA - DEDS'!X90</f>
        <v>0</v>
      </c>
      <c r="O91" s="37">
        <f>'CBPA - DEDS'!Y90</f>
        <v>0</v>
      </c>
      <c r="P91" s="37">
        <f>'CBPA - DEDS'!AE90</f>
        <v>0</v>
      </c>
      <c r="Q91" s="38">
        <f t="shared" si="2"/>
        <v>0</v>
      </c>
      <c r="R91" s="49">
        <f t="shared" si="3"/>
        <v>0</v>
      </c>
      <c r="S91" s="76">
        <f t="shared" si="4"/>
        <v>0</v>
      </c>
      <c r="T91" s="77">
        <f t="shared" si="5"/>
        <v>0</v>
      </c>
      <c r="U91" s="33">
        <f t="shared" si="6"/>
        <v>47</v>
      </c>
      <c r="V91" s="36">
        <f>ROUND('CBPA - PAY'!I91*0.12,2)</f>
        <v>0</v>
      </c>
      <c r="W91" s="37">
        <f>W66</f>
        <v>100</v>
      </c>
      <c r="X91" s="37">
        <f>MIN((I91*0.05)-'CBPA - DEDS'!Y90,2500)</f>
        <v>0</v>
      </c>
      <c r="Y91" s="41">
        <f>Y66</f>
        <v>200</v>
      </c>
    </row>
    <row r="92" spans="1:25" ht="18.75" customHeight="1" x14ac:dyDescent="0.25">
      <c r="A92" s="98"/>
      <c r="B92" s="63"/>
      <c r="C92" s="64"/>
      <c r="D92" s="64"/>
      <c r="E92" s="63"/>
      <c r="F92" s="89"/>
      <c r="G92" s="91"/>
      <c r="H92" s="91"/>
      <c r="I92" s="66"/>
      <c r="J92" s="333"/>
      <c r="K92" s="212"/>
      <c r="L92" s="68"/>
      <c r="M92" s="66"/>
      <c r="N92" s="66"/>
      <c r="O92" s="66"/>
      <c r="P92" s="66"/>
      <c r="Q92" s="69"/>
      <c r="R92" s="70"/>
      <c r="S92" s="68"/>
      <c r="T92" s="71"/>
      <c r="U92" s="63"/>
      <c r="V92" s="65"/>
      <c r="W92" s="66"/>
      <c r="X92" s="66"/>
      <c r="Y92" s="71"/>
    </row>
    <row r="93" spans="1:25" ht="18.75" customHeight="1" thickBot="1" x14ac:dyDescent="0.3">
      <c r="A93" s="98"/>
      <c r="B93" s="64"/>
      <c r="C93" s="64"/>
      <c r="D93" s="64"/>
      <c r="E93" s="63"/>
      <c r="F93" s="92">
        <f>SUM(F21:F92)</f>
        <v>0</v>
      </c>
      <c r="G93" s="93"/>
      <c r="H93" s="93">
        <f t="shared" ref="H93:T93" si="20">SUM(H21:H92)</f>
        <v>0</v>
      </c>
      <c r="I93" s="79">
        <f t="shared" si="20"/>
        <v>0</v>
      </c>
      <c r="J93" s="334">
        <f t="shared" si="20"/>
        <v>0</v>
      </c>
      <c r="K93" s="213">
        <f t="shared" si="20"/>
        <v>0</v>
      </c>
      <c r="L93" s="155">
        <f t="shared" si="20"/>
        <v>0</v>
      </c>
      <c r="M93" s="152">
        <f t="shared" si="20"/>
        <v>0</v>
      </c>
      <c r="N93" s="152">
        <f t="shared" si="20"/>
        <v>0</v>
      </c>
      <c r="O93" s="152">
        <f t="shared" si="20"/>
        <v>0</v>
      </c>
      <c r="P93" s="152">
        <f t="shared" si="20"/>
        <v>0</v>
      </c>
      <c r="Q93" s="153">
        <f t="shared" si="20"/>
        <v>0</v>
      </c>
      <c r="R93" s="154">
        <f t="shared" si="20"/>
        <v>0</v>
      </c>
      <c r="S93" s="155">
        <f t="shared" si="20"/>
        <v>0</v>
      </c>
      <c r="T93" s="156">
        <f t="shared" si="20"/>
        <v>0</v>
      </c>
      <c r="U93" s="63"/>
      <c r="V93" s="157">
        <f>SUM(V21:V92)</f>
        <v>0</v>
      </c>
      <c r="W93" s="152">
        <f>SUM(W21:W92)</f>
        <v>7100</v>
      </c>
      <c r="X93" s="152">
        <f>SUM(X21:X92)</f>
        <v>0</v>
      </c>
      <c r="Y93" s="156">
        <f>SUM(Y21:Y92)</f>
        <v>14200</v>
      </c>
    </row>
    <row r="94" spans="1:25" ht="21" customHeight="1" thickBot="1" x14ac:dyDescent="0.3">
      <c r="A94" s="98"/>
      <c r="B94" s="1" t="s">
        <v>21</v>
      </c>
      <c r="C94" s="854" t="s">
        <v>104</v>
      </c>
      <c r="D94" s="855"/>
      <c r="E94" s="855"/>
      <c r="F94" s="855"/>
      <c r="G94" s="855"/>
      <c r="H94" s="167"/>
      <c r="I94" s="167"/>
      <c r="J94" s="167"/>
      <c r="K94" s="158"/>
      <c r="L94" s="158"/>
      <c r="M94" s="158"/>
      <c r="N94" s="159"/>
      <c r="O94" s="1" t="s">
        <v>23</v>
      </c>
      <c r="P94" s="170" t="s">
        <v>89</v>
      </c>
      <c r="Q94" s="158"/>
      <c r="R94" s="158"/>
      <c r="S94" s="875"/>
      <c r="T94" s="875"/>
      <c r="U94" s="875"/>
      <c r="V94" s="875"/>
      <c r="W94" s="875"/>
      <c r="X94" s="875"/>
      <c r="Y94" s="876"/>
    </row>
    <row r="95" spans="1:25" ht="30.75" customHeight="1" x14ac:dyDescent="0.25">
      <c r="A95" s="98"/>
      <c r="B95" s="17" t="s">
        <v>22</v>
      </c>
      <c r="D95" s="8"/>
      <c r="E95" s="50"/>
      <c r="F95" s="8"/>
      <c r="G95" s="8"/>
      <c r="H95" s="8"/>
      <c r="I95" s="160"/>
      <c r="J95" s="160"/>
      <c r="K95" s="160"/>
      <c r="L95" s="160"/>
      <c r="M95" s="160"/>
      <c r="N95" s="147"/>
      <c r="O95" s="870" t="e" cm="1">
        <f t="array" aca="1" ref="O95" ca="1">PesosInWords2Caps(W95)</f>
        <v>#NAME?</v>
      </c>
      <c r="P95" s="871"/>
      <c r="Q95" s="871"/>
      <c r="R95" s="871"/>
      <c r="S95" s="871"/>
      <c r="T95" s="871"/>
      <c r="U95" s="871"/>
      <c r="V95" s="871"/>
      <c r="W95" s="868">
        <f>S93</f>
        <v>0</v>
      </c>
      <c r="X95" s="868"/>
      <c r="Y95" s="869"/>
    </row>
    <row r="96" spans="1:25" ht="21.75" customHeight="1" x14ac:dyDescent="0.25">
      <c r="A96" s="98"/>
      <c r="B96" s="17"/>
      <c r="C96" s="8"/>
      <c r="D96" s="8"/>
      <c r="E96" s="50"/>
      <c r="F96" s="8"/>
      <c r="G96" s="8"/>
      <c r="H96" s="8"/>
      <c r="I96" s="8"/>
      <c r="J96" s="8"/>
      <c r="K96" s="8"/>
      <c r="L96" s="8"/>
      <c r="M96" s="8"/>
      <c r="N96" s="18"/>
      <c r="O96" s="25"/>
      <c r="P96" s="8"/>
      <c r="Q96" s="8"/>
      <c r="R96" s="8"/>
      <c r="S96" s="9"/>
      <c r="T96" s="9"/>
      <c r="U96" s="6"/>
      <c r="V96" s="9"/>
      <c r="W96" s="9"/>
      <c r="X96" s="9"/>
      <c r="Y96" s="19"/>
    </row>
    <row r="97" spans="1:26" ht="21.75" customHeight="1" x14ac:dyDescent="0.25">
      <c r="A97" s="98"/>
      <c r="B97" s="17"/>
      <c r="N97" s="56"/>
      <c r="O97" s="149"/>
      <c r="P97" s="50"/>
      <c r="U97" s="6"/>
      <c r="Y97" s="19"/>
    </row>
    <row r="98" spans="1:26" ht="16.5" customHeight="1" x14ac:dyDescent="0.25">
      <c r="A98" s="98"/>
      <c r="B98" s="17"/>
      <c r="C98" s="820" t="s">
        <v>47</v>
      </c>
      <c r="D98" s="820"/>
      <c r="E98" s="325"/>
      <c r="F98" s="342">
        <f ca="1">NOW()</f>
        <v>46275.505203009256</v>
      </c>
      <c r="G98" s="164"/>
      <c r="H98" s="820" t="s">
        <v>95</v>
      </c>
      <c r="I98" s="820"/>
      <c r="J98" s="820"/>
      <c r="K98" s="820"/>
      <c r="L98" s="8"/>
      <c r="M98" s="342">
        <f ca="1">NOW()</f>
        <v>46275.505203009256</v>
      </c>
      <c r="N98" s="165"/>
      <c r="O98" s="161"/>
      <c r="P98" s="51"/>
      <c r="Q98" s="820" t="s">
        <v>97</v>
      </c>
      <c r="R98" s="820"/>
      <c r="S98" s="820"/>
      <c r="U98" s="6"/>
      <c r="V98" s="839"/>
      <c r="W98" s="839"/>
      <c r="X98" s="839"/>
      <c r="Y98" s="19"/>
    </row>
    <row r="99" spans="1:26" ht="15.75" x14ac:dyDescent="0.25">
      <c r="A99" s="98"/>
      <c r="B99" s="17"/>
      <c r="C99" s="827" t="s">
        <v>93</v>
      </c>
      <c r="D99" s="827"/>
      <c r="E99" s="6"/>
      <c r="F99" s="171" t="s">
        <v>29</v>
      </c>
      <c r="G99" s="9"/>
      <c r="H99" s="827" t="s">
        <v>94</v>
      </c>
      <c r="I99" s="827"/>
      <c r="J99" s="827"/>
      <c r="K99" s="827"/>
      <c r="L99" s="9"/>
      <c r="M99" s="171" t="s">
        <v>29</v>
      </c>
      <c r="N99" s="172"/>
      <c r="O99" s="161"/>
      <c r="P99" s="51"/>
      <c r="Q99" s="827" t="s">
        <v>96</v>
      </c>
      <c r="R99" s="827"/>
      <c r="S99" s="827"/>
      <c r="T99" s="9"/>
      <c r="U99" s="6"/>
      <c r="V99" s="840" t="s">
        <v>29</v>
      </c>
      <c r="W99" s="840"/>
      <c r="X99" s="840"/>
      <c r="Y99" s="19"/>
    </row>
    <row r="100" spans="1:26" ht="16.5" thickBot="1" x14ac:dyDescent="0.3">
      <c r="A100" s="98"/>
      <c r="B100" s="20"/>
      <c r="C100" s="21"/>
      <c r="D100" s="21"/>
      <c r="E100" s="326"/>
      <c r="F100" s="21"/>
      <c r="G100" s="21"/>
      <c r="H100" s="21"/>
      <c r="I100" s="21"/>
      <c r="J100" s="21"/>
      <c r="K100" s="29"/>
      <c r="L100" s="29"/>
      <c r="M100" s="29"/>
      <c r="N100" s="168"/>
      <c r="O100" s="162"/>
      <c r="P100" s="22"/>
      <c r="Q100" s="30"/>
      <c r="R100" s="30"/>
      <c r="S100" s="30"/>
      <c r="T100" s="10"/>
      <c r="U100" s="54"/>
      <c r="V100" s="10"/>
      <c r="W100" s="10"/>
      <c r="X100" s="10"/>
      <c r="Y100" s="23"/>
      <c r="Z100" s="842"/>
    </row>
    <row r="101" spans="1:26" ht="21" customHeight="1" thickBot="1" x14ac:dyDescent="0.3">
      <c r="A101" s="98"/>
      <c r="B101" s="1" t="s">
        <v>24</v>
      </c>
      <c r="C101" s="818" t="s">
        <v>105</v>
      </c>
      <c r="D101" s="818" t="s">
        <v>100</v>
      </c>
      <c r="E101" s="818"/>
      <c r="F101" s="818"/>
      <c r="G101" s="818"/>
      <c r="H101" s="818"/>
      <c r="I101" s="818"/>
      <c r="J101" s="818"/>
      <c r="K101" s="818"/>
      <c r="L101" s="828">
        <f>S93</f>
        <v>0</v>
      </c>
      <c r="M101" s="828"/>
      <c r="N101" s="829"/>
      <c r="O101" s="1" t="s">
        <v>25</v>
      </c>
      <c r="P101" s="835" t="s">
        <v>35</v>
      </c>
      <c r="Q101" s="835"/>
      <c r="R101" s="835"/>
      <c r="S101" s="835"/>
      <c r="T101" s="836"/>
      <c r="U101" s="1" t="s">
        <v>27</v>
      </c>
      <c r="V101" s="148"/>
      <c r="W101" s="148"/>
      <c r="X101" s="148"/>
      <c r="Y101" s="24"/>
      <c r="Z101" s="843"/>
    </row>
    <row r="102" spans="1:26" ht="30.75" customHeight="1" x14ac:dyDescent="0.25">
      <c r="A102" s="98"/>
      <c r="B102" s="17" t="s">
        <v>26</v>
      </c>
      <c r="C102" s="819"/>
      <c r="D102" s="819"/>
      <c r="E102" s="819"/>
      <c r="F102" s="819"/>
      <c r="G102" s="819"/>
      <c r="H102" s="819"/>
      <c r="I102" s="819"/>
      <c r="J102" s="819"/>
      <c r="K102" s="819"/>
      <c r="L102" s="830"/>
      <c r="M102" s="830"/>
      <c r="N102" s="831"/>
      <c r="O102" s="25"/>
      <c r="P102" s="837"/>
      <c r="Q102" s="837"/>
      <c r="R102" s="837"/>
      <c r="S102" s="837"/>
      <c r="T102" s="838"/>
      <c r="U102" s="149"/>
      <c r="V102" s="61" t="s">
        <v>90</v>
      </c>
      <c r="W102" s="820" t="str">
        <f>'GEN.AD - PAY'!$W$172</f>
        <v>01-101101-2026-01-0003</v>
      </c>
      <c r="X102" s="820"/>
      <c r="Y102" s="822"/>
      <c r="Z102" s="843"/>
    </row>
    <row r="103" spans="1:26" ht="24.95" customHeight="1" x14ac:dyDescent="0.25">
      <c r="A103" s="98"/>
      <c r="B103" s="17"/>
      <c r="C103" s="8" t="s">
        <v>28</v>
      </c>
      <c r="D103" s="8"/>
      <c r="E103" s="50"/>
      <c r="F103" s="8"/>
      <c r="G103" s="8"/>
      <c r="H103" s="8"/>
      <c r="I103" s="8"/>
      <c r="J103" s="8"/>
      <c r="K103" s="8"/>
      <c r="L103" s="8"/>
      <c r="M103" s="8"/>
      <c r="N103" s="18"/>
      <c r="O103" s="25"/>
      <c r="P103" s="8"/>
      <c r="T103" s="26"/>
      <c r="U103" s="150"/>
      <c r="V103" s="61" t="s">
        <v>91</v>
      </c>
      <c r="W103" s="918">
        <f>'GEN.AD - PAY'!$W$173</f>
        <v>46038</v>
      </c>
      <c r="X103" s="918"/>
      <c r="Y103" s="919"/>
      <c r="Z103" s="843"/>
    </row>
    <row r="104" spans="1:26" ht="24.95" customHeight="1" x14ac:dyDescent="0.25">
      <c r="A104" s="98"/>
      <c r="B104" s="17"/>
      <c r="E104" s="820" t="s">
        <v>102</v>
      </c>
      <c r="F104" s="820"/>
      <c r="G104" s="820"/>
      <c r="H104" s="820"/>
      <c r="I104" s="820"/>
      <c r="K104" s="821"/>
      <c r="L104" s="821"/>
      <c r="M104" s="8"/>
      <c r="N104" s="18"/>
      <c r="O104" s="25"/>
      <c r="P104" s="820" t="s">
        <v>99</v>
      </c>
      <c r="Q104" s="820"/>
      <c r="R104" s="820"/>
      <c r="S104" s="820"/>
      <c r="T104" s="26"/>
      <c r="U104" s="149"/>
      <c r="V104" s="61" t="s">
        <v>92</v>
      </c>
      <c r="W104" s="820" t="str">
        <f>'GEN.AD - PAY'!$W$174</f>
        <v>01-2026-01-0019</v>
      </c>
      <c r="X104" s="820"/>
      <c r="Y104" s="822"/>
      <c r="Z104" s="843"/>
    </row>
    <row r="105" spans="1:26" ht="24.95" customHeight="1" x14ac:dyDescent="0.25">
      <c r="A105" s="98"/>
      <c r="B105" s="17"/>
      <c r="E105" s="881" t="s">
        <v>101</v>
      </c>
      <c r="F105" s="881"/>
      <c r="G105" s="881"/>
      <c r="H105" s="881"/>
      <c r="I105" s="881"/>
      <c r="J105" s="9"/>
      <c r="K105" s="889" t="s">
        <v>29</v>
      </c>
      <c r="L105" s="889"/>
      <c r="M105" s="27"/>
      <c r="N105" s="165"/>
      <c r="O105" s="161"/>
      <c r="P105" s="827" t="s">
        <v>98</v>
      </c>
      <c r="Q105" s="827"/>
      <c r="R105" s="827"/>
      <c r="S105" s="827"/>
      <c r="T105" s="26"/>
      <c r="U105" s="150"/>
      <c r="V105" s="61" t="s">
        <v>91</v>
      </c>
      <c r="W105" s="918">
        <f>'GEN.AD - PAY'!$W$175</f>
        <v>46038</v>
      </c>
      <c r="X105" s="918"/>
      <c r="Y105" s="919"/>
      <c r="Z105" s="28"/>
    </row>
    <row r="106" spans="1:26" ht="16.5" thickBot="1" x14ac:dyDescent="0.3">
      <c r="A106" s="98"/>
      <c r="B106" s="20"/>
      <c r="C106" s="29"/>
      <c r="D106" s="29"/>
      <c r="E106" s="880"/>
      <c r="F106" s="880"/>
      <c r="G106" s="880"/>
      <c r="H106" s="880"/>
      <c r="I106" s="29"/>
      <c r="J106" s="29"/>
      <c r="K106" s="30"/>
      <c r="L106" s="30"/>
      <c r="M106" s="30"/>
      <c r="N106" s="168"/>
      <c r="O106" s="162"/>
      <c r="P106" s="30"/>
      <c r="Q106" s="30"/>
      <c r="R106" s="30"/>
      <c r="S106" s="30"/>
      <c r="T106" s="23"/>
      <c r="U106" s="151"/>
      <c r="V106" s="10"/>
      <c r="W106" s="10"/>
      <c r="X106" s="10"/>
      <c r="Y106" s="23"/>
    </row>
    <row r="108" spans="1:26" x14ac:dyDescent="0.25">
      <c r="C108" s="32"/>
    </row>
    <row r="109" spans="1:26" x14ac:dyDescent="0.25">
      <c r="C109" s="32"/>
    </row>
    <row r="110" spans="1:26" x14ac:dyDescent="0.25">
      <c r="C110" s="32"/>
    </row>
    <row r="111" spans="1:26" x14ac:dyDescent="0.25">
      <c r="C111" s="32"/>
    </row>
    <row r="112" spans="1:26" x14ac:dyDescent="0.25">
      <c r="C112" s="32"/>
    </row>
  </sheetData>
  <mergeCells count="68">
    <mergeCell ref="B8:Y8"/>
    <mergeCell ref="V18:V19"/>
    <mergeCell ref="W18:W19"/>
    <mergeCell ref="X2:Y2"/>
    <mergeCell ref="B3:Y3"/>
    <mergeCell ref="B4:Y4"/>
    <mergeCell ref="B5:Y5"/>
    <mergeCell ref="B6:Y6"/>
    <mergeCell ref="B9:Y9"/>
    <mergeCell ref="B10:Y10"/>
    <mergeCell ref="B11:Y11"/>
    <mergeCell ref="D12:D14"/>
    <mergeCell ref="B13:C13"/>
    <mergeCell ref="W13:Y13"/>
    <mergeCell ref="B15:Y15"/>
    <mergeCell ref="B17:B19"/>
    <mergeCell ref="S17:S19"/>
    <mergeCell ref="T17:T19"/>
    <mergeCell ref="C17:C19"/>
    <mergeCell ref="D17:D19"/>
    <mergeCell ref="E17:E19"/>
    <mergeCell ref="F17:K17"/>
    <mergeCell ref="L17:Q17"/>
    <mergeCell ref="J18:J19"/>
    <mergeCell ref="K18:K19"/>
    <mergeCell ref="R17:R19"/>
    <mergeCell ref="F18:F19"/>
    <mergeCell ref="G18:G19"/>
    <mergeCell ref="C94:G94"/>
    <mergeCell ref="O95:V95"/>
    <mergeCell ref="W95:Y95"/>
    <mergeCell ref="N18:N19"/>
    <mergeCell ref="O18:O19"/>
    <mergeCell ref="P18:P19"/>
    <mergeCell ref="Q18:Q19"/>
    <mergeCell ref="U17:U19"/>
    <mergeCell ref="V17:Y17"/>
    <mergeCell ref="S94:Y94"/>
    <mergeCell ref="X18:X19"/>
    <mergeCell ref="Y18:Y19"/>
    <mergeCell ref="L18:L19"/>
    <mergeCell ref="M18:M19"/>
    <mergeCell ref="H18:H19"/>
    <mergeCell ref="I18:I19"/>
    <mergeCell ref="C98:D98"/>
    <mergeCell ref="H98:K98"/>
    <mergeCell ref="Q98:S98"/>
    <mergeCell ref="V98:X98"/>
    <mergeCell ref="C99:D99"/>
    <mergeCell ref="H99:K99"/>
    <mergeCell ref="Q99:S99"/>
    <mergeCell ref="V99:X99"/>
    <mergeCell ref="E106:H106"/>
    <mergeCell ref="Z100:Z104"/>
    <mergeCell ref="C101:C102"/>
    <mergeCell ref="D101:K102"/>
    <mergeCell ref="L101:N102"/>
    <mergeCell ref="P101:T102"/>
    <mergeCell ref="W102:Y102"/>
    <mergeCell ref="W103:Y103"/>
    <mergeCell ref="E104:I104"/>
    <mergeCell ref="K104:L104"/>
    <mergeCell ref="P104:S104"/>
    <mergeCell ref="W104:Y104"/>
    <mergeCell ref="E105:I105"/>
    <mergeCell ref="K105:L105"/>
    <mergeCell ref="P105:S105"/>
    <mergeCell ref="W105:Y105"/>
  </mergeCells>
  <conditionalFormatting sqref="S21:T91">
    <cfRule type="cellIs" dxfId="9" priority="1" stopIfTrue="1" operator="equal">
      <formula>2500</formula>
    </cfRule>
  </conditionalFormatting>
  <printOptions horizontalCentered="1"/>
  <pageMargins left="0.39370078740157483" right="0.39370078740157483" top="0.39370078740157483" bottom="0.19685039370078741" header="0" footer="0"/>
  <pageSetup paperSize="14" scale="51" fitToHeight="0" orientation="landscape" r:id="rId1"/>
  <headerFooter alignWithMargins="0">
    <oddHeader>&amp;R
&amp;16Sheet &amp;"Times New Roman,Bold"&amp;U&amp;P&amp;"Times New Roman,Regular"&amp;U of &amp;"Times New Roman,Bold"&amp;U&amp;N&amp;"Times New Roman,Regular"&amp;U Sheet/s</oddHeader>
  </headerFooter>
  <rowBreaks count="1" manualBreakCount="1">
    <brk id="59" min="1" max="24" man="1"/>
  </row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tabColor rgb="FF0070C0"/>
    <pageSetUpPr fitToPage="1"/>
  </sheetPr>
  <dimension ref="A1:AG98"/>
  <sheetViews>
    <sheetView showWhiteSpace="0" topLeftCell="A16" zoomScaleNormal="100" zoomScaleSheetLayoutView="100" workbookViewId="0">
      <pane xSplit="7" ySplit="3" topLeftCell="U19" activePane="bottomRight" state="frozen"/>
      <selection activeCell="W62" sqref="W62:Y65"/>
      <selection pane="topRight" activeCell="W62" sqref="W62:Y65"/>
      <selection pane="bottomLeft" activeCell="W62" sqref="W62:Y65"/>
      <selection pane="bottomRight" activeCell="W62" sqref="W62:Y65"/>
    </sheetView>
  </sheetViews>
  <sheetFormatPr defaultRowHeight="30.75" x14ac:dyDescent="0.25"/>
  <cols>
    <col min="1" max="1" width="9.375" style="31" customWidth="1"/>
    <col min="2" max="2" width="6.75" style="4" customWidth="1"/>
    <col min="3" max="3" width="24.625" style="4" customWidth="1"/>
    <col min="4" max="4" width="12.875" style="4" customWidth="1"/>
    <col min="5" max="5" width="9.625" style="57" customWidth="1"/>
    <col min="6" max="6" width="11.5" style="4" customWidth="1"/>
    <col min="7" max="7" width="12" style="4" customWidth="1"/>
    <col min="8" max="12" width="10.625" style="4" customWidth="1"/>
    <col min="13" max="13" width="12.25" style="4" customWidth="1"/>
    <col min="14" max="17" width="10.625" style="4" customWidth="1"/>
    <col min="18" max="18" width="11.75" style="4" customWidth="1"/>
    <col min="19" max="19" width="11.25" style="4" customWidth="1"/>
    <col min="20" max="20" width="10.625" style="4" customWidth="1"/>
    <col min="21" max="21" width="10.75" style="4" customWidth="1"/>
    <col min="22" max="23" width="9.875" style="4" customWidth="1"/>
    <col min="24" max="24" width="11.125" style="4" customWidth="1"/>
    <col min="25" max="25" width="10.875" style="4" customWidth="1"/>
    <col min="26" max="26" width="12.375" style="4" customWidth="1"/>
    <col min="27" max="27" width="12" style="4" customWidth="1"/>
    <col min="28" max="28" width="11.25" style="4" customWidth="1"/>
    <col min="29" max="30" width="9.875" style="4" customWidth="1"/>
    <col min="31" max="31" width="11.5" style="4" customWidth="1"/>
    <col min="32" max="32" width="13.875" style="4" customWidth="1"/>
    <col min="33" max="33" width="10.375" style="4" bestFit="1" customWidth="1"/>
    <col min="34" max="16384" width="9" style="4"/>
  </cols>
  <sheetData>
    <row r="1" spans="1:33" ht="23.25" customHeight="1" x14ac:dyDescent="0.25">
      <c r="A1" s="98">
        <v>94</v>
      </c>
      <c r="F1" s="5"/>
      <c r="X1" s="5"/>
      <c r="Y1" s="5"/>
      <c r="AE1" s="5"/>
      <c r="AF1" s="3"/>
    </row>
    <row r="2" spans="1:33" ht="23.25" x14ac:dyDescent="0.25">
      <c r="A2" s="98"/>
      <c r="F2" s="5"/>
      <c r="X2" s="5"/>
      <c r="Y2" s="5"/>
      <c r="AE2" s="864" t="s">
        <v>40</v>
      </c>
      <c r="AF2" s="864"/>
    </row>
    <row r="3" spans="1:33" ht="15.75" customHeight="1" x14ac:dyDescent="0.25">
      <c r="A3" s="98"/>
      <c r="B3" s="877" t="s">
        <v>42</v>
      </c>
      <c r="C3" s="877"/>
      <c r="D3" s="877"/>
      <c r="E3" s="877"/>
      <c r="F3" s="877"/>
      <c r="G3" s="877"/>
      <c r="H3" s="877"/>
      <c r="I3" s="877"/>
      <c r="J3" s="877"/>
      <c r="K3" s="877"/>
      <c r="L3" s="877"/>
      <c r="M3" s="877"/>
      <c r="N3" s="877"/>
      <c r="O3" s="877"/>
      <c r="P3" s="877"/>
      <c r="Q3" s="877"/>
      <c r="R3" s="877"/>
      <c r="S3" s="877"/>
      <c r="T3" s="877"/>
      <c r="U3" s="877"/>
      <c r="V3" s="877"/>
      <c r="W3" s="877"/>
      <c r="X3" s="877"/>
      <c r="Y3" s="877"/>
      <c r="Z3" s="877"/>
      <c r="AA3" s="877"/>
      <c r="AB3" s="877"/>
      <c r="AC3" s="877"/>
      <c r="AD3" s="877"/>
      <c r="AE3" s="877"/>
      <c r="AF3" s="877"/>
    </row>
    <row r="4" spans="1:33" ht="15.75" customHeight="1" x14ac:dyDescent="0.25">
      <c r="A4" s="98"/>
      <c r="B4" s="878" t="s">
        <v>43</v>
      </c>
      <c r="C4" s="878"/>
      <c r="D4" s="878"/>
      <c r="E4" s="878"/>
      <c r="F4" s="878"/>
      <c r="G4" s="878"/>
      <c r="H4" s="878"/>
      <c r="I4" s="878"/>
      <c r="J4" s="878"/>
      <c r="K4" s="878"/>
      <c r="L4" s="878"/>
      <c r="M4" s="878"/>
      <c r="N4" s="878"/>
      <c r="O4" s="878"/>
      <c r="P4" s="878"/>
      <c r="Q4" s="878"/>
      <c r="R4" s="878"/>
      <c r="S4" s="878"/>
      <c r="T4" s="878"/>
      <c r="U4" s="878"/>
      <c r="V4" s="878"/>
      <c r="W4" s="878"/>
      <c r="X4" s="878"/>
      <c r="Y4" s="878"/>
      <c r="Z4" s="878"/>
      <c r="AA4" s="878"/>
      <c r="AB4" s="878"/>
      <c r="AC4" s="878"/>
      <c r="AD4" s="878"/>
      <c r="AE4" s="878"/>
      <c r="AF4" s="878"/>
    </row>
    <row r="5" spans="1:33" ht="15.75" customHeight="1" x14ac:dyDescent="0.25">
      <c r="A5" s="98"/>
      <c r="B5" s="878" t="s">
        <v>44</v>
      </c>
      <c r="C5" s="878"/>
      <c r="D5" s="878"/>
      <c r="E5" s="878"/>
      <c r="F5" s="878"/>
      <c r="G5" s="878"/>
      <c r="H5" s="878"/>
      <c r="I5" s="878"/>
      <c r="J5" s="878"/>
      <c r="K5" s="878"/>
      <c r="L5" s="878"/>
      <c r="M5" s="878"/>
      <c r="N5" s="878"/>
      <c r="O5" s="878"/>
      <c r="P5" s="878"/>
      <c r="Q5" s="878"/>
      <c r="R5" s="878"/>
      <c r="S5" s="878"/>
      <c r="T5" s="878"/>
      <c r="U5" s="878"/>
      <c r="V5" s="878"/>
      <c r="W5" s="878"/>
      <c r="X5" s="878"/>
      <c r="Y5" s="878"/>
      <c r="Z5" s="878"/>
      <c r="AA5" s="878"/>
      <c r="AB5" s="878"/>
      <c r="AC5" s="878"/>
      <c r="AD5" s="878"/>
      <c r="AE5" s="878"/>
      <c r="AF5" s="878"/>
    </row>
    <row r="6" spans="1:33" ht="15.75" customHeight="1" x14ac:dyDescent="0.25">
      <c r="A6" s="98"/>
      <c r="B6" s="877" t="s">
        <v>45</v>
      </c>
      <c r="C6" s="877"/>
      <c r="D6" s="877"/>
      <c r="E6" s="877"/>
      <c r="F6" s="877"/>
      <c r="G6" s="877"/>
      <c r="H6" s="877"/>
      <c r="I6" s="877"/>
      <c r="J6" s="877"/>
      <c r="K6" s="877"/>
      <c r="L6" s="877"/>
      <c r="M6" s="877"/>
      <c r="N6" s="877"/>
      <c r="O6" s="877"/>
      <c r="P6" s="877"/>
      <c r="Q6" s="877"/>
      <c r="R6" s="877"/>
      <c r="S6" s="877"/>
      <c r="T6" s="877"/>
      <c r="U6" s="877"/>
      <c r="V6" s="877"/>
      <c r="W6" s="877"/>
      <c r="X6" s="877"/>
      <c r="Y6" s="877"/>
      <c r="Z6" s="877"/>
      <c r="AA6" s="877"/>
      <c r="AB6" s="877"/>
      <c r="AC6" s="877"/>
      <c r="AD6" s="877"/>
      <c r="AE6" s="877"/>
      <c r="AF6" s="877"/>
    </row>
    <row r="7" spans="1:33" ht="15.75" customHeight="1" x14ac:dyDescent="0.25">
      <c r="A7" s="98"/>
      <c r="F7" s="2"/>
      <c r="X7" s="2"/>
      <c r="Y7" s="2"/>
      <c r="AE7" s="2"/>
      <c r="AF7" s="2"/>
    </row>
    <row r="8" spans="1:33" ht="22.5" x14ac:dyDescent="0.25">
      <c r="A8" s="98"/>
      <c r="B8" s="882" t="s">
        <v>64</v>
      </c>
      <c r="C8" s="882"/>
      <c r="D8" s="882"/>
      <c r="E8" s="882"/>
      <c r="F8" s="882"/>
      <c r="G8" s="882"/>
      <c r="H8" s="882"/>
      <c r="I8" s="882"/>
      <c r="J8" s="882"/>
      <c r="K8" s="882"/>
      <c r="L8" s="882"/>
      <c r="M8" s="882"/>
      <c r="N8" s="882"/>
      <c r="O8" s="882"/>
      <c r="P8" s="882"/>
      <c r="Q8" s="882"/>
      <c r="R8" s="882"/>
      <c r="S8" s="882"/>
      <c r="T8" s="882"/>
      <c r="U8" s="882"/>
      <c r="V8" s="882"/>
      <c r="W8" s="882"/>
      <c r="X8" s="882"/>
      <c r="Y8" s="882"/>
      <c r="Z8" s="882"/>
      <c r="AA8" s="882"/>
      <c r="AB8" s="882"/>
      <c r="AC8" s="882"/>
      <c r="AD8" s="882"/>
      <c r="AE8" s="882"/>
      <c r="AF8" s="882"/>
    </row>
    <row r="9" spans="1:33" ht="20.25" x14ac:dyDescent="0.25">
      <c r="A9" s="98"/>
      <c r="B9" s="867" t="str">
        <f>'CBPA - PAY'!B9</f>
        <v>Regular Employees - COLLEGE OF BUSINESS AND PUBLIC ADMINISTRATION</v>
      </c>
      <c r="C9" s="867"/>
      <c r="D9" s="867"/>
      <c r="E9" s="867"/>
      <c r="F9" s="867"/>
      <c r="G9" s="867"/>
      <c r="H9" s="867"/>
      <c r="I9" s="867"/>
      <c r="J9" s="867"/>
      <c r="K9" s="867"/>
      <c r="L9" s="867"/>
      <c r="M9" s="867"/>
      <c r="N9" s="867"/>
      <c r="O9" s="867"/>
      <c r="P9" s="867"/>
      <c r="Q9" s="867"/>
      <c r="R9" s="867"/>
      <c r="S9" s="867"/>
      <c r="T9" s="867"/>
      <c r="U9" s="867"/>
      <c r="V9" s="867"/>
      <c r="W9" s="867"/>
      <c r="X9" s="867"/>
      <c r="Y9" s="867"/>
      <c r="Z9" s="867"/>
      <c r="AA9" s="867"/>
      <c r="AB9" s="867"/>
      <c r="AC9" s="867"/>
      <c r="AD9" s="867"/>
      <c r="AE9" s="867"/>
      <c r="AF9" s="867"/>
    </row>
    <row r="10" spans="1:33" ht="20.25" x14ac:dyDescent="0.25">
      <c r="A10" s="98"/>
      <c r="B10" s="879" t="str">
        <f>'CBPA - PAY'!B10</f>
        <v>For the period JANUARY 1-31, 2026</v>
      </c>
      <c r="C10" s="879"/>
      <c r="D10" s="879"/>
      <c r="E10" s="879"/>
      <c r="F10" s="879"/>
      <c r="G10" s="879"/>
      <c r="H10" s="879"/>
      <c r="I10" s="879"/>
      <c r="J10" s="879"/>
      <c r="K10" s="879"/>
      <c r="L10" s="879"/>
      <c r="M10" s="879"/>
      <c r="N10" s="879"/>
      <c r="O10" s="879"/>
      <c r="P10" s="879"/>
      <c r="Q10" s="879"/>
      <c r="R10" s="879"/>
      <c r="S10" s="879"/>
      <c r="T10" s="879"/>
      <c r="U10" s="879"/>
      <c r="V10" s="879"/>
      <c r="W10" s="879"/>
      <c r="X10" s="879"/>
      <c r="Y10" s="879"/>
      <c r="Z10" s="879"/>
      <c r="AA10" s="879"/>
      <c r="AB10" s="879"/>
      <c r="AC10" s="879"/>
      <c r="AD10" s="879"/>
      <c r="AE10" s="879"/>
      <c r="AF10" s="879"/>
    </row>
    <row r="11" spans="1:33" ht="15.75" x14ac:dyDescent="0.25">
      <c r="A11" s="98"/>
      <c r="B11" s="9"/>
      <c r="C11" s="6"/>
      <c r="D11" s="866" t="str">
        <f>+'CBPA - PAY'!D12</f>
        <v>01</v>
      </c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</row>
    <row r="12" spans="1:33" s="8" customFormat="1" ht="24.95" customHeight="1" x14ac:dyDescent="0.25">
      <c r="A12" s="98"/>
      <c r="B12" s="865" t="s">
        <v>88</v>
      </c>
      <c r="C12" s="865"/>
      <c r="D12" s="867"/>
      <c r="E12" s="178"/>
      <c r="F12" s="169"/>
      <c r="G12" s="169"/>
      <c r="H12" s="169"/>
      <c r="I12" s="169"/>
      <c r="J12" s="169"/>
      <c r="K12" s="169"/>
      <c r="L12" s="169"/>
      <c r="M12" s="169"/>
      <c r="N12" s="169"/>
      <c r="O12" s="169"/>
      <c r="P12" s="169"/>
      <c r="Q12" s="169"/>
      <c r="R12" s="9"/>
      <c r="S12" s="9"/>
      <c r="T12" s="9"/>
      <c r="U12" s="9"/>
      <c r="AA12" s="7"/>
      <c r="AB12" s="169" t="s">
        <v>103</v>
      </c>
      <c r="AC12" s="169"/>
      <c r="AD12" s="832" t="str">
        <f>'CBPA - PAY'!W13</f>
        <v>2026-01-018</v>
      </c>
      <c r="AE12" s="832"/>
      <c r="AF12" s="832"/>
    </row>
    <row r="13" spans="1:33" s="8" customFormat="1" ht="24.95" customHeight="1" x14ac:dyDescent="0.25">
      <c r="A13" s="98"/>
      <c r="B13" s="9"/>
      <c r="C13" s="9"/>
      <c r="D13" s="867"/>
      <c r="E13" s="6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AB13" s="169"/>
      <c r="AC13" s="169"/>
      <c r="AD13" s="9"/>
      <c r="AE13" s="9"/>
      <c r="AF13" s="9"/>
    </row>
    <row r="14" spans="1:33" s="8" customFormat="1" ht="15.75" customHeight="1" x14ac:dyDescent="0.25">
      <c r="A14" s="98"/>
      <c r="B14" s="872"/>
      <c r="C14" s="872"/>
      <c r="D14" s="872"/>
      <c r="E14" s="872"/>
      <c r="F14" s="872"/>
      <c r="G14" s="872"/>
      <c r="H14" s="872"/>
      <c r="I14" s="872"/>
      <c r="J14" s="872"/>
      <c r="K14" s="872"/>
      <c r="L14" s="872"/>
      <c r="M14" s="872"/>
      <c r="N14" s="872"/>
      <c r="O14" s="872"/>
      <c r="P14" s="872"/>
      <c r="Q14" s="872"/>
      <c r="R14" s="872"/>
      <c r="S14" s="872"/>
      <c r="T14" s="872"/>
      <c r="U14" s="872"/>
      <c r="V14" s="872"/>
      <c r="W14" s="872"/>
      <c r="X14" s="872"/>
      <c r="Y14" s="872"/>
      <c r="Z14" s="872"/>
    </row>
    <row r="15" spans="1:33" ht="9" customHeight="1" thickBot="1" x14ac:dyDescent="0.3">
      <c r="A15" s="98"/>
      <c r="B15" s="9"/>
      <c r="C15" s="10"/>
      <c r="D15" s="10"/>
      <c r="E15" s="54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9"/>
      <c r="T15" s="9"/>
      <c r="U15" s="9"/>
      <c r="V15" s="9"/>
      <c r="W15" s="9"/>
      <c r="X15" s="10"/>
      <c r="Y15" s="10"/>
      <c r="Z15" s="9"/>
      <c r="AA15" s="9"/>
      <c r="AB15" s="9"/>
      <c r="AC15" s="9"/>
      <c r="AD15" s="9"/>
      <c r="AE15" s="10"/>
      <c r="AF15" s="10"/>
    </row>
    <row r="16" spans="1:33" ht="16.5" customHeight="1" thickBot="1" x14ac:dyDescent="0.3">
      <c r="A16" s="98"/>
      <c r="B16" s="802" t="s">
        <v>6</v>
      </c>
      <c r="C16" s="777" t="s">
        <v>1</v>
      </c>
      <c r="D16" s="777" t="s">
        <v>2</v>
      </c>
      <c r="E16" s="802" t="s">
        <v>14</v>
      </c>
      <c r="F16" s="904" t="s">
        <v>54</v>
      </c>
      <c r="G16" s="841" t="s">
        <v>66</v>
      </c>
      <c r="H16" s="833"/>
      <c r="I16" s="833"/>
      <c r="J16" s="833"/>
      <c r="K16" s="833"/>
      <c r="L16" s="833"/>
      <c r="M16" s="833"/>
      <c r="N16" s="833"/>
      <c r="O16" s="833"/>
      <c r="P16" s="833"/>
      <c r="Q16" s="833"/>
      <c r="R16" s="834"/>
      <c r="S16" s="841" t="s">
        <v>63</v>
      </c>
      <c r="T16" s="833"/>
      <c r="U16" s="833"/>
      <c r="V16" s="833"/>
      <c r="W16" s="833"/>
      <c r="X16" s="834"/>
      <c r="Y16" s="904" t="s">
        <v>57</v>
      </c>
      <c r="Z16" s="841" t="s">
        <v>80</v>
      </c>
      <c r="AA16" s="833"/>
      <c r="AB16" s="833"/>
      <c r="AC16" s="833"/>
      <c r="AD16" s="833"/>
      <c r="AE16" s="834"/>
      <c r="AF16" s="802" t="s">
        <v>87</v>
      </c>
      <c r="AG16" s="11"/>
    </row>
    <row r="17" spans="1:33" ht="19.5" customHeight="1" x14ac:dyDescent="0.25">
      <c r="A17" s="98"/>
      <c r="B17" s="803"/>
      <c r="C17" s="778"/>
      <c r="D17" s="778"/>
      <c r="E17" s="803"/>
      <c r="F17" s="905"/>
      <c r="G17" s="911" t="s">
        <v>65</v>
      </c>
      <c r="H17" s="894" t="s">
        <v>110</v>
      </c>
      <c r="I17" s="887" t="s">
        <v>67</v>
      </c>
      <c r="J17" s="892" t="s">
        <v>68</v>
      </c>
      <c r="K17" s="896" t="s">
        <v>69</v>
      </c>
      <c r="L17" s="896" t="s">
        <v>70</v>
      </c>
      <c r="M17" s="896" t="s">
        <v>71</v>
      </c>
      <c r="N17" s="896" t="s">
        <v>72</v>
      </c>
      <c r="O17" s="894" t="s">
        <v>73</v>
      </c>
      <c r="P17" s="894" t="s">
        <v>111</v>
      </c>
      <c r="Q17" s="894" t="s">
        <v>78</v>
      </c>
      <c r="R17" s="909" t="s">
        <v>74</v>
      </c>
      <c r="S17" s="844" t="s">
        <v>75</v>
      </c>
      <c r="T17" s="913" t="s">
        <v>76</v>
      </c>
      <c r="U17" s="896" t="s">
        <v>71</v>
      </c>
      <c r="V17" s="896" t="s">
        <v>77</v>
      </c>
      <c r="W17" s="907" t="s">
        <v>141</v>
      </c>
      <c r="X17" s="902" t="s">
        <v>79</v>
      </c>
      <c r="Y17" s="905"/>
      <c r="Z17" s="898" t="s">
        <v>81</v>
      </c>
      <c r="AA17" s="900" t="s">
        <v>82</v>
      </c>
      <c r="AB17" s="896" t="s">
        <v>83</v>
      </c>
      <c r="AC17" s="892" t="s">
        <v>84</v>
      </c>
      <c r="AD17" s="907" t="s">
        <v>86</v>
      </c>
      <c r="AE17" s="915" t="s">
        <v>85</v>
      </c>
      <c r="AF17" s="803"/>
      <c r="AG17" s="11"/>
    </row>
    <row r="18" spans="1:33" ht="26.25" customHeight="1" thickBot="1" x14ac:dyDescent="0.3">
      <c r="A18" s="98"/>
      <c r="B18" s="803"/>
      <c r="C18" s="778"/>
      <c r="D18" s="778"/>
      <c r="E18" s="803"/>
      <c r="F18" s="906"/>
      <c r="G18" s="912"/>
      <c r="H18" s="895"/>
      <c r="I18" s="888"/>
      <c r="J18" s="893"/>
      <c r="K18" s="897"/>
      <c r="L18" s="897"/>
      <c r="M18" s="897"/>
      <c r="N18" s="897"/>
      <c r="O18" s="895"/>
      <c r="P18" s="895"/>
      <c r="Q18" s="895"/>
      <c r="R18" s="910"/>
      <c r="S18" s="845"/>
      <c r="T18" s="914"/>
      <c r="U18" s="897"/>
      <c r="V18" s="897"/>
      <c r="W18" s="908"/>
      <c r="X18" s="903"/>
      <c r="Y18" s="906"/>
      <c r="Z18" s="899"/>
      <c r="AA18" s="901"/>
      <c r="AB18" s="897"/>
      <c r="AC18" s="893"/>
      <c r="AD18" s="908"/>
      <c r="AE18" s="916"/>
      <c r="AF18" s="804"/>
      <c r="AG18" s="11"/>
    </row>
    <row r="19" spans="1:33" ht="18.75" customHeight="1" x14ac:dyDescent="0.25">
      <c r="A19" s="98"/>
      <c r="B19" s="12"/>
      <c r="C19" s="12"/>
      <c r="D19" s="12"/>
      <c r="E19" s="55"/>
      <c r="F19" s="12"/>
      <c r="G19" s="46"/>
      <c r="H19" s="173"/>
      <c r="I19" s="173"/>
      <c r="J19" s="173"/>
      <c r="K19" s="173"/>
      <c r="L19" s="173"/>
      <c r="M19" s="173"/>
      <c r="N19" s="173"/>
      <c r="O19" s="173"/>
      <c r="P19" s="173"/>
      <c r="Q19" s="173"/>
      <c r="R19" s="43"/>
      <c r="S19" s="174"/>
      <c r="T19" s="175"/>
      <c r="U19" s="173"/>
      <c r="V19" s="173"/>
      <c r="W19" s="173"/>
      <c r="X19" s="176"/>
      <c r="Y19" s="12"/>
      <c r="Z19" s="174"/>
      <c r="AA19" s="175"/>
      <c r="AB19" s="173"/>
      <c r="AC19" s="173"/>
      <c r="AD19" s="173"/>
      <c r="AE19" s="177"/>
      <c r="AF19" s="43"/>
    </row>
    <row r="20" spans="1:33" ht="18.75" customHeight="1" x14ac:dyDescent="0.25">
      <c r="A20" s="98"/>
      <c r="B20" s="33">
        <v>1</v>
      </c>
      <c r="C20" s="72">
        <f>'CBPA - PAY'!C21</f>
        <v>0</v>
      </c>
      <c r="D20" s="72" t="e">
        <f>'CBPA - PAY'!D21</f>
        <v>#N/A</v>
      </c>
      <c r="E20" s="306">
        <f>'CBPA - PAY'!E21</f>
        <v>0</v>
      </c>
      <c r="F20" s="49">
        <f>'CBPA - PAY'!L21</f>
        <v>0</v>
      </c>
      <c r="G20" s="36">
        <f>ROUND('CBPA - PAY'!I21*0.09,2)</f>
        <v>0</v>
      </c>
      <c r="H20" s="88"/>
      <c r="I20" s="88"/>
      <c r="J20" s="88"/>
      <c r="K20" s="88"/>
      <c r="L20" s="88"/>
      <c r="M20" s="88"/>
      <c r="N20" s="88"/>
      <c r="O20" s="88"/>
      <c r="P20" s="88"/>
      <c r="Q20" s="88"/>
      <c r="R20" s="41">
        <f t="shared" ref="R20:R90" si="0">SUM(G20:Q20)</f>
        <v>0</v>
      </c>
      <c r="S20" s="86"/>
      <c r="T20" s="87"/>
      <c r="U20" s="88"/>
      <c r="V20" s="88"/>
      <c r="W20" s="88"/>
      <c r="X20" s="38">
        <f>SUM(S20:W20)</f>
        <v>0</v>
      </c>
      <c r="Y20" s="49">
        <f>MIN(ROUNDDOWN('CBPA - PAY'!I21*0.05/2,2),2500)</f>
        <v>0</v>
      </c>
      <c r="Z20" s="86"/>
      <c r="AA20" s="87"/>
      <c r="AB20" s="88"/>
      <c r="AC20" s="88"/>
      <c r="AD20" s="88"/>
      <c r="AE20" s="35">
        <f t="shared" ref="AE20:AE90" si="1">SUM(Z20:AD20)</f>
        <v>0</v>
      </c>
      <c r="AF20" s="62">
        <f>SUM(F20,R20,X20,Y20,AE20)</f>
        <v>0</v>
      </c>
    </row>
    <row r="21" spans="1:33" ht="18.75" customHeight="1" x14ac:dyDescent="0.25">
      <c r="A21" s="98"/>
      <c r="B21" s="33">
        <f>+B20+1</f>
        <v>2</v>
      </c>
      <c r="C21" s="72">
        <f>'CBPA - PAY'!C22</f>
        <v>0</v>
      </c>
      <c r="D21" s="72" t="e">
        <f>'CBPA - PAY'!D22</f>
        <v>#N/A</v>
      </c>
      <c r="E21" s="306">
        <f>'CBPA - PAY'!E22</f>
        <v>0</v>
      </c>
      <c r="F21" s="49">
        <f>'CBPA - PAY'!L22</f>
        <v>0</v>
      </c>
      <c r="G21" s="36">
        <f>ROUND('CBPA - PAY'!I22*0.09,2)</f>
        <v>0</v>
      </c>
      <c r="H21" s="88"/>
      <c r="I21" s="88"/>
      <c r="J21" s="88"/>
      <c r="K21" s="88"/>
      <c r="L21" s="88"/>
      <c r="M21" s="88"/>
      <c r="N21" s="88"/>
      <c r="O21" s="88"/>
      <c r="P21" s="88"/>
      <c r="Q21" s="88"/>
      <c r="R21" s="41">
        <f t="shared" si="0"/>
        <v>0</v>
      </c>
      <c r="S21" s="86"/>
      <c r="T21" s="87"/>
      <c r="U21" s="88"/>
      <c r="V21" s="88"/>
      <c r="W21" s="88"/>
      <c r="X21" s="38">
        <f t="shared" ref="X21:X90" si="2">SUM(S21:W21)</f>
        <v>0</v>
      </c>
      <c r="Y21" s="49">
        <f>MIN(ROUNDDOWN('CBPA - PAY'!I22*0.05/2,2),2500)</f>
        <v>0</v>
      </c>
      <c r="Z21" s="86"/>
      <c r="AA21" s="87"/>
      <c r="AB21" s="88"/>
      <c r="AC21" s="88"/>
      <c r="AD21" s="88"/>
      <c r="AE21" s="35">
        <f t="shared" si="1"/>
        <v>0</v>
      </c>
      <c r="AF21" s="62">
        <f t="shared" ref="AF21:AF91" si="3">SUM(F21,R21,X21,Y21,AE21)</f>
        <v>0</v>
      </c>
    </row>
    <row r="22" spans="1:33" ht="18.75" customHeight="1" x14ac:dyDescent="0.25">
      <c r="A22" s="98"/>
      <c r="B22" s="33">
        <f t="shared" ref="B22:B65" si="4">+B21+1</f>
        <v>3</v>
      </c>
      <c r="C22" s="72">
        <f>'CBPA - PAY'!C23</f>
        <v>0</v>
      </c>
      <c r="D22" s="72" t="e">
        <f>'CBPA - PAY'!D23</f>
        <v>#N/A</v>
      </c>
      <c r="E22" s="306">
        <f>'CBPA - PAY'!E23</f>
        <v>0</v>
      </c>
      <c r="F22" s="49">
        <f>'CBPA - PAY'!L23</f>
        <v>0</v>
      </c>
      <c r="G22" s="36">
        <f>ROUND('CBPA - PAY'!I23*0.09,2)</f>
        <v>0</v>
      </c>
      <c r="H22" s="88"/>
      <c r="I22" s="88"/>
      <c r="J22" s="88"/>
      <c r="K22" s="88"/>
      <c r="L22" s="88"/>
      <c r="M22" s="88"/>
      <c r="N22" s="88"/>
      <c r="O22" s="88"/>
      <c r="P22" s="88"/>
      <c r="Q22" s="88"/>
      <c r="R22" s="41">
        <f t="shared" si="0"/>
        <v>0</v>
      </c>
      <c r="S22" s="86"/>
      <c r="T22" s="87"/>
      <c r="U22" s="88"/>
      <c r="V22" s="88"/>
      <c r="W22" s="88"/>
      <c r="X22" s="38">
        <f t="shared" si="2"/>
        <v>0</v>
      </c>
      <c r="Y22" s="49">
        <f>MIN(ROUNDDOWN('CBPA - PAY'!I23*0.05/2,2),2500)</f>
        <v>0</v>
      </c>
      <c r="Z22" s="86"/>
      <c r="AA22" s="87"/>
      <c r="AB22" s="88"/>
      <c r="AC22" s="88"/>
      <c r="AD22" s="88"/>
      <c r="AE22" s="35">
        <f t="shared" si="1"/>
        <v>0</v>
      </c>
      <c r="AF22" s="62">
        <f t="shared" si="3"/>
        <v>0</v>
      </c>
      <c r="AG22" s="75"/>
    </row>
    <row r="23" spans="1:33" ht="18.75" customHeight="1" x14ac:dyDescent="0.25">
      <c r="A23" s="98"/>
      <c r="B23" s="33">
        <f t="shared" si="4"/>
        <v>4</v>
      </c>
      <c r="C23" s="72">
        <f>'CBPA - PAY'!C24</f>
        <v>0</v>
      </c>
      <c r="D23" s="72" t="e">
        <f>'CBPA - PAY'!D24</f>
        <v>#N/A</v>
      </c>
      <c r="E23" s="306">
        <f>'CBPA - PAY'!E24</f>
        <v>0</v>
      </c>
      <c r="F23" s="49">
        <f>'CBPA - PAY'!L24</f>
        <v>0</v>
      </c>
      <c r="G23" s="36">
        <f>ROUND('CBPA - PAY'!I24*0.09,2)</f>
        <v>0</v>
      </c>
      <c r="H23" s="88"/>
      <c r="I23" s="88"/>
      <c r="J23" s="88"/>
      <c r="K23" s="88"/>
      <c r="L23" s="88"/>
      <c r="M23" s="88"/>
      <c r="N23" s="88"/>
      <c r="O23" s="88"/>
      <c r="P23" s="88"/>
      <c r="Q23" s="88"/>
      <c r="R23" s="41">
        <f t="shared" si="0"/>
        <v>0</v>
      </c>
      <c r="S23" s="86"/>
      <c r="T23" s="87"/>
      <c r="U23" s="88"/>
      <c r="V23" s="88"/>
      <c r="W23" s="88"/>
      <c r="X23" s="38">
        <f t="shared" si="2"/>
        <v>0</v>
      </c>
      <c r="Y23" s="49">
        <f>MIN(ROUNDDOWN('CBPA - PAY'!I24*0.05/2,2),2500)</f>
        <v>0</v>
      </c>
      <c r="Z23" s="86"/>
      <c r="AA23" s="87"/>
      <c r="AB23" s="88"/>
      <c r="AC23" s="88"/>
      <c r="AD23" s="88"/>
      <c r="AE23" s="35">
        <f t="shared" si="1"/>
        <v>0</v>
      </c>
      <c r="AF23" s="62">
        <f t="shared" si="3"/>
        <v>0</v>
      </c>
    </row>
    <row r="24" spans="1:33" ht="18.75" customHeight="1" x14ac:dyDescent="0.25">
      <c r="A24" s="98"/>
      <c r="B24" s="33">
        <f t="shared" si="4"/>
        <v>5</v>
      </c>
      <c r="C24" s="72">
        <f>'CBPA - PAY'!C25</f>
        <v>0</v>
      </c>
      <c r="D24" s="72" t="e">
        <f>'CBPA - PAY'!D25</f>
        <v>#N/A</v>
      </c>
      <c r="E24" s="306">
        <f>'CBPA - PAY'!E25</f>
        <v>0</v>
      </c>
      <c r="F24" s="49">
        <f>'CBPA - PAY'!L25</f>
        <v>0</v>
      </c>
      <c r="G24" s="36">
        <f>ROUND('CBPA - PAY'!I25*0.09,2)</f>
        <v>0</v>
      </c>
      <c r="H24" s="88"/>
      <c r="I24" s="88"/>
      <c r="J24" s="88"/>
      <c r="K24" s="88"/>
      <c r="L24" s="88"/>
      <c r="M24" s="88"/>
      <c r="N24" s="88"/>
      <c r="O24" s="88"/>
      <c r="P24" s="88"/>
      <c r="Q24" s="88"/>
      <c r="R24" s="41">
        <f t="shared" si="0"/>
        <v>0</v>
      </c>
      <c r="S24" s="86"/>
      <c r="T24" s="87"/>
      <c r="U24" s="88"/>
      <c r="V24" s="88"/>
      <c r="W24" s="88"/>
      <c r="X24" s="38">
        <f t="shared" si="2"/>
        <v>0</v>
      </c>
      <c r="Y24" s="49">
        <f>MIN(ROUNDDOWN('CBPA - PAY'!I25*0.05/2,2),2500)</f>
        <v>0</v>
      </c>
      <c r="Z24" s="86"/>
      <c r="AA24" s="87"/>
      <c r="AB24" s="88"/>
      <c r="AC24" s="88"/>
      <c r="AD24" s="88"/>
      <c r="AE24" s="35">
        <f t="shared" si="1"/>
        <v>0</v>
      </c>
      <c r="AF24" s="62">
        <f t="shared" si="3"/>
        <v>0</v>
      </c>
    </row>
    <row r="25" spans="1:33" ht="18.75" customHeight="1" x14ac:dyDescent="0.25">
      <c r="A25" s="98"/>
      <c r="B25" s="33">
        <f t="shared" si="4"/>
        <v>6</v>
      </c>
      <c r="C25" s="72">
        <f>'CBPA - PAY'!C26</f>
        <v>0</v>
      </c>
      <c r="D25" s="72" t="e">
        <f>'CBPA - PAY'!D26</f>
        <v>#N/A</v>
      </c>
      <c r="E25" s="306">
        <f>'CBPA - PAY'!E26</f>
        <v>0</v>
      </c>
      <c r="F25" s="49">
        <f>'CBPA - PAY'!L26</f>
        <v>0</v>
      </c>
      <c r="G25" s="36">
        <f>ROUND('CBPA - PAY'!I26*0.09,2)</f>
        <v>0</v>
      </c>
      <c r="H25" s="88"/>
      <c r="I25" s="88"/>
      <c r="J25" s="88"/>
      <c r="K25" s="88"/>
      <c r="L25" s="88"/>
      <c r="M25" s="88"/>
      <c r="N25" s="88"/>
      <c r="O25" s="88"/>
      <c r="P25" s="88"/>
      <c r="Q25" s="88"/>
      <c r="R25" s="41">
        <f t="shared" si="0"/>
        <v>0</v>
      </c>
      <c r="S25" s="86"/>
      <c r="T25" s="87"/>
      <c r="U25" s="88"/>
      <c r="V25" s="88"/>
      <c r="W25" s="88"/>
      <c r="X25" s="38">
        <f t="shared" si="2"/>
        <v>0</v>
      </c>
      <c r="Y25" s="49">
        <f>MIN(ROUNDDOWN('CBPA - PAY'!I26*0.05/2,2),2500)</f>
        <v>0</v>
      </c>
      <c r="Z25" s="86"/>
      <c r="AA25" s="87"/>
      <c r="AB25" s="88"/>
      <c r="AC25" s="88"/>
      <c r="AD25" s="88"/>
      <c r="AE25" s="35">
        <f t="shared" si="1"/>
        <v>0</v>
      </c>
      <c r="AF25" s="62">
        <f t="shared" si="3"/>
        <v>0</v>
      </c>
    </row>
    <row r="26" spans="1:33" ht="18.75" customHeight="1" x14ac:dyDescent="0.25">
      <c r="A26" s="98"/>
      <c r="B26" s="33">
        <f t="shared" si="4"/>
        <v>7</v>
      </c>
      <c r="C26" s="72">
        <f>'CBPA - PAY'!C27</f>
        <v>0</v>
      </c>
      <c r="D26" s="72" t="e">
        <f>'CBPA - PAY'!D27</f>
        <v>#N/A</v>
      </c>
      <c r="E26" s="306">
        <f>'CBPA - PAY'!E27</f>
        <v>0</v>
      </c>
      <c r="F26" s="49">
        <f>'CBPA - PAY'!L27</f>
        <v>0</v>
      </c>
      <c r="G26" s="36">
        <f>ROUND('CBPA - PAY'!I27*0.09,2)</f>
        <v>0</v>
      </c>
      <c r="H26" s="88"/>
      <c r="I26" s="88"/>
      <c r="J26" s="88"/>
      <c r="K26" s="88"/>
      <c r="L26" s="88"/>
      <c r="M26" s="88"/>
      <c r="N26" s="88"/>
      <c r="O26" s="88"/>
      <c r="P26" s="88"/>
      <c r="Q26" s="88"/>
      <c r="R26" s="41">
        <f t="shared" si="0"/>
        <v>0</v>
      </c>
      <c r="S26" s="86"/>
      <c r="T26" s="87"/>
      <c r="U26" s="88"/>
      <c r="V26" s="88"/>
      <c r="W26" s="88"/>
      <c r="X26" s="38">
        <f t="shared" si="2"/>
        <v>0</v>
      </c>
      <c r="Y26" s="49">
        <f>MIN(ROUNDDOWN('CBPA - PAY'!I27*0.05/2,2),2500)</f>
        <v>0</v>
      </c>
      <c r="Z26" s="86"/>
      <c r="AA26" s="87"/>
      <c r="AB26" s="88"/>
      <c r="AC26" s="88"/>
      <c r="AD26" s="88"/>
      <c r="AE26" s="35">
        <f t="shared" si="1"/>
        <v>0</v>
      </c>
      <c r="AF26" s="62">
        <f t="shared" si="3"/>
        <v>0</v>
      </c>
    </row>
    <row r="27" spans="1:33" ht="18.75" customHeight="1" x14ac:dyDescent="0.25">
      <c r="A27" s="98"/>
      <c r="B27" s="33">
        <f t="shared" si="4"/>
        <v>8</v>
      </c>
      <c r="C27" s="72">
        <f>'CBPA - PAY'!C28</f>
        <v>0</v>
      </c>
      <c r="D27" s="72" t="e">
        <f>'CBPA - PAY'!D28</f>
        <v>#N/A</v>
      </c>
      <c r="E27" s="306">
        <f>'CBPA - PAY'!E28</f>
        <v>0</v>
      </c>
      <c r="F27" s="49">
        <f>'CBPA - PAY'!L28</f>
        <v>0</v>
      </c>
      <c r="G27" s="36">
        <f>ROUND('CBPA - PAY'!I28*0.09,2)</f>
        <v>0</v>
      </c>
      <c r="H27" s="88"/>
      <c r="I27" s="88"/>
      <c r="J27" s="88"/>
      <c r="K27" s="88"/>
      <c r="L27" s="88"/>
      <c r="M27" s="88"/>
      <c r="N27" s="88"/>
      <c r="O27" s="88"/>
      <c r="P27" s="88"/>
      <c r="Q27" s="88"/>
      <c r="R27" s="41">
        <f t="shared" si="0"/>
        <v>0</v>
      </c>
      <c r="S27" s="86"/>
      <c r="T27" s="87"/>
      <c r="U27" s="88"/>
      <c r="V27" s="88"/>
      <c r="W27" s="88"/>
      <c r="X27" s="38">
        <f t="shared" si="2"/>
        <v>0</v>
      </c>
      <c r="Y27" s="49">
        <f>MIN(ROUNDDOWN('CBPA - PAY'!I28*0.05/2,2),2500)</f>
        <v>0</v>
      </c>
      <c r="Z27" s="86"/>
      <c r="AA27" s="87"/>
      <c r="AB27" s="88"/>
      <c r="AC27" s="88"/>
      <c r="AD27" s="88"/>
      <c r="AE27" s="35">
        <f t="shared" si="1"/>
        <v>0</v>
      </c>
      <c r="AF27" s="62">
        <f t="shared" si="3"/>
        <v>0</v>
      </c>
    </row>
    <row r="28" spans="1:33" ht="18.75" customHeight="1" x14ac:dyDescent="0.25">
      <c r="A28" s="98"/>
      <c r="B28" s="33">
        <f t="shared" si="4"/>
        <v>9</v>
      </c>
      <c r="C28" s="72">
        <f>'CBPA - PAY'!C29</f>
        <v>0</v>
      </c>
      <c r="D28" s="72" t="e">
        <f>'CBPA - PAY'!D29</f>
        <v>#N/A</v>
      </c>
      <c r="E28" s="306">
        <f>'CBPA - PAY'!E29</f>
        <v>0</v>
      </c>
      <c r="F28" s="49">
        <f>'CBPA - PAY'!L29</f>
        <v>0</v>
      </c>
      <c r="G28" s="36">
        <f>ROUND('CBPA - PAY'!I29*0.09,2)</f>
        <v>0</v>
      </c>
      <c r="H28" s="91"/>
      <c r="I28" s="91"/>
      <c r="J28" s="91"/>
      <c r="K28" s="91"/>
      <c r="L28" s="91"/>
      <c r="M28" s="91"/>
      <c r="N28" s="91"/>
      <c r="O28" s="91"/>
      <c r="P28" s="91"/>
      <c r="Q28" s="91"/>
      <c r="R28" s="41">
        <f t="shared" si="0"/>
        <v>0</v>
      </c>
      <c r="S28" s="86"/>
      <c r="T28" s="90"/>
      <c r="U28" s="91"/>
      <c r="V28" s="91"/>
      <c r="W28" s="91"/>
      <c r="X28" s="38">
        <f t="shared" si="2"/>
        <v>0</v>
      </c>
      <c r="Y28" s="49">
        <f>MIN(ROUNDDOWN('CBPA - PAY'!I29*0.05/2,2),2500)</f>
        <v>0</v>
      </c>
      <c r="Z28" s="89"/>
      <c r="AA28" s="90"/>
      <c r="AB28" s="88"/>
      <c r="AC28" s="91"/>
      <c r="AD28" s="91"/>
      <c r="AE28" s="35">
        <f t="shared" si="1"/>
        <v>0</v>
      </c>
      <c r="AF28" s="62">
        <f t="shared" si="3"/>
        <v>0</v>
      </c>
    </row>
    <row r="29" spans="1:33" ht="18.75" customHeight="1" x14ac:dyDescent="0.25">
      <c r="A29" s="98"/>
      <c r="B29" s="33">
        <f t="shared" si="4"/>
        <v>10</v>
      </c>
      <c r="C29" s="72">
        <f>'CBPA - PAY'!C30</f>
        <v>0</v>
      </c>
      <c r="D29" s="72" t="e">
        <f>'CBPA - PAY'!D30</f>
        <v>#N/A</v>
      </c>
      <c r="E29" s="306">
        <f>'CBPA - PAY'!E30</f>
        <v>0</v>
      </c>
      <c r="F29" s="49">
        <f>'CBPA - PAY'!L30</f>
        <v>0</v>
      </c>
      <c r="G29" s="36">
        <f>ROUND('CBPA - PAY'!I30*0.09,2)</f>
        <v>0</v>
      </c>
      <c r="H29" s="91"/>
      <c r="I29" s="91"/>
      <c r="J29" s="91"/>
      <c r="K29" s="91"/>
      <c r="L29" s="91"/>
      <c r="M29" s="91"/>
      <c r="N29" s="91"/>
      <c r="O29" s="91"/>
      <c r="P29" s="91"/>
      <c r="Q29" s="91"/>
      <c r="R29" s="41">
        <f t="shared" si="0"/>
        <v>0</v>
      </c>
      <c r="S29" s="86"/>
      <c r="T29" s="90"/>
      <c r="U29" s="91"/>
      <c r="V29" s="91"/>
      <c r="W29" s="91"/>
      <c r="X29" s="38">
        <f t="shared" si="2"/>
        <v>0</v>
      </c>
      <c r="Y29" s="49">
        <f>MIN(ROUNDDOWN('CBPA - PAY'!I30*0.05/2,2),2500)</f>
        <v>0</v>
      </c>
      <c r="Z29" s="89"/>
      <c r="AA29" s="90"/>
      <c r="AB29" s="88"/>
      <c r="AC29" s="91"/>
      <c r="AD29" s="91"/>
      <c r="AE29" s="35">
        <f t="shared" si="1"/>
        <v>0</v>
      </c>
      <c r="AF29" s="62">
        <f t="shared" si="3"/>
        <v>0</v>
      </c>
    </row>
    <row r="30" spans="1:33" ht="18.75" customHeight="1" x14ac:dyDescent="0.25">
      <c r="A30" s="98"/>
      <c r="B30" s="33">
        <f t="shared" si="4"/>
        <v>11</v>
      </c>
      <c r="C30" s="72">
        <f>'CBPA - PAY'!C31</f>
        <v>0</v>
      </c>
      <c r="D30" s="72" t="e">
        <f>'CBPA - PAY'!D31</f>
        <v>#N/A</v>
      </c>
      <c r="E30" s="306">
        <f>'CBPA - PAY'!E31</f>
        <v>0</v>
      </c>
      <c r="F30" s="49">
        <f>'CBPA - PAY'!L31</f>
        <v>0</v>
      </c>
      <c r="G30" s="36">
        <f>ROUND('CBPA - PAY'!I31*0.09,2)</f>
        <v>0</v>
      </c>
      <c r="H30" s="91"/>
      <c r="I30" s="91"/>
      <c r="J30" s="91"/>
      <c r="K30" s="91"/>
      <c r="L30" s="91"/>
      <c r="M30" s="91"/>
      <c r="N30" s="91"/>
      <c r="O30" s="91"/>
      <c r="P30" s="91"/>
      <c r="Q30" s="91"/>
      <c r="R30" s="41">
        <f t="shared" si="0"/>
        <v>0</v>
      </c>
      <c r="S30" s="86"/>
      <c r="T30" s="90"/>
      <c r="U30" s="91"/>
      <c r="V30" s="91"/>
      <c r="W30" s="91"/>
      <c r="X30" s="38">
        <f t="shared" si="2"/>
        <v>0</v>
      </c>
      <c r="Y30" s="49">
        <f>MIN(ROUNDDOWN('CBPA - PAY'!I31*0.05/2,2),2500)</f>
        <v>0</v>
      </c>
      <c r="Z30" s="89"/>
      <c r="AA30" s="90"/>
      <c r="AB30" s="88"/>
      <c r="AC30" s="91"/>
      <c r="AD30" s="91"/>
      <c r="AE30" s="35">
        <f t="shared" si="1"/>
        <v>0</v>
      </c>
      <c r="AF30" s="62">
        <f t="shared" si="3"/>
        <v>0</v>
      </c>
    </row>
    <row r="31" spans="1:33" ht="18.75" customHeight="1" x14ac:dyDescent="0.25">
      <c r="A31" s="98"/>
      <c r="B31" s="33">
        <f t="shared" si="4"/>
        <v>12</v>
      </c>
      <c r="C31" s="72">
        <f>'CBPA - PAY'!C32</f>
        <v>0</v>
      </c>
      <c r="D31" s="72" t="e">
        <f>'CBPA - PAY'!D32</f>
        <v>#N/A</v>
      </c>
      <c r="E31" s="306">
        <f>'CBPA - PAY'!E32</f>
        <v>0</v>
      </c>
      <c r="F31" s="49">
        <f>'CBPA - PAY'!L32</f>
        <v>0</v>
      </c>
      <c r="G31" s="36">
        <f>ROUND('CBPA - PAY'!I32*0.09,2)</f>
        <v>0</v>
      </c>
      <c r="H31" s="91"/>
      <c r="I31" s="91"/>
      <c r="J31" s="91"/>
      <c r="K31" s="91"/>
      <c r="L31" s="91"/>
      <c r="M31" s="91"/>
      <c r="N31" s="91"/>
      <c r="O31" s="91"/>
      <c r="P31" s="91"/>
      <c r="Q31" s="91"/>
      <c r="R31" s="41">
        <f t="shared" si="0"/>
        <v>0</v>
      </c>
      <c r="S31" s="86"/>
      <c r="T31" s="90"/>
      <c r="U31" s="91"/>
      <c r="V31" s="91"/>
      <c r="W31" s="91"/>
      <c r="X31" s="38">
        <f t="shared" si="2"/>
        <v>0</v>
      </c>
      <c r="Y31" s="49">
        <f>MIN(ROUNDDOWN('CBPA - PAY'!I32*0.05/2,2),2500)</f>
        <v>0</v>
      </c>
      <c r="Z31" s="89"/>
      <c r="AA31" s="90"/>
      <c r="AB31" s="88"/>
      <c r="AC31" s="91"/>
      <c r="AD31" s="91"/>
      <c r="AE31" s="35">
        <f t="shared" si="1"/>
        <v>0</v>
      </c>
      <c r="AF31" s="62">
        <f t="shared" si="3"/>
        <v>0</v>
      </c>
    </row>
    <row r="32" spans="1:33" ht="18.75" customHeight="1" x14ac:dyDescent="0.25">
      <c r="A32" s="98"/>
      <c r="B32" s="33">
        <f t="shared" si="4"/>
        <v>13</v>
      </c>
      <c r="C32" s="72">
        <f>'CBPA - PAY'!C33</f>
        <v>0</v>
      </c>
      <c r="D32" s="72" t="e">
        <f>'CBPA - PAY'!D33</f>
        <v>#N/A</v>
      </c>
      <c r="E32" s="306">
        <f>'CBPA - PAY'!E33</f>
        <v>0</v>
      </c>
      <c r="F32" s="49">
        <f>'CBPA - PAY'!L33</f>
        <v>0</v>
      </c>
      <c r="G32" s="36">
        <f>ROUND('CBPA - PAY'!I33*0.09,2)</f>
        <v>0</v>
      </c>
      <c r="H32" s="91"/>
      <c r="I32" s="91"/>
      <c r="J32" s="91"/>
      <c r="K32" s="91"/>
      <c r="L32" s="91"/>
      <c r="M32" s="91"/>
      <c r="N32" s="91"/>
      <c r="O32" s="91"/>
      <c r="P32" s="91"/>
      <c r="Q32" s="91"/>
      <c r="R32" s="41">
        <f t="shared" si="0"/>
        <v>0</v>
      </c>
      <c r="S32" s="86"/>
      <c r="T32" s="90"/>
      <c r="U32" s="91"/>
      <c r="V32" s="91"/>
      <c r="W32" s="91"/>
      <c r="X32" s="38">
        <f t="shared" si="2"/>
        <v>0</v>
      </c>
      <c r="Y32" s="49">
        <f>MIN(ROUNDDOWN('CBPA - PAY'!I33*0.05/2,2),2500)</f>
        <v>0</v>
      </c>
      <c r="Z32" s="89"/>
      <c r="AA32" s="90"/>
      <c r="AB32" s="88"/>
      <c r="AC32" s="91"/>
      <c r="AD32" s="91"/>
      <c r="AE32" s="35">
        <f t="shared" si="1"/>
        <v>0</v>
      </c>
      <c r="AF32" s="62">
        <f t="shared" si="3"/>
        <v>0</v>
      </c>
    </row>
    <row r="33" spans="1:32" ht="18.75" customHeight="1" x14ac:dyDescent="0.25">
      <c r="A33" s="98"/>
      <c r="B33" s="33">
        <f t="shared" si="4"/>
        <v>14</v>
      </c>
      <c r="C33" s="72">
        <f>'CBPA - PAY'!C34</f>
        <v>0</v>
      </c>
      <c r="D33" s="72" t="e">
        <f>'CBPA - PAY'!D34</f>
        <v>#N/A</v>
      </c>
      <c r="E33" s="306">
        <f>'CBPA - PAY'!E34</f>
        <v>0</v>
      </c>
      <c r="F33" s="49">
        <f>'CBPA - PAY'!L34</f>
        <v>0</v>
      </c>
      <c r="G33" s="36">
        <f>ROUND('CBPA - PAY'!I34*0.09,2)</f>
        <v>0</v>
      </c>
      <c r="H33" s="91"/>
      <c r="I33" s="91"/>
      <c r="J33" s="91"/>
      <c r="K33" s="91"/>
      <c r="L33" s="91"/>
      <c r="M33" s="91"/>
      <c r="N33" s="91"/>
      <c r="O33" s="91"/>
      <c r="P33" s="91"/>
      <c r="Q33" s="91"/>
      <c r="R33" s="41">
        <f t="shared" si="0"/>
        <v>0</v>
      </c>
      <c r="S33" s="86"/>
      <c r="T33" s="90"/>
      <c r="U33" s="91"/>
      <c r="V33" s="91"/>
      <c r="W33" s="91"/>
      <c r="X33" s="38">
        <f t="shared" si="2"/>
        <v>0</v>
      </c>
      <c r="Y33" s="49">
        <f>MIN(ROUNDDOWN('CBPA - PAY'!I34*0.05/2,2),2500)</f>
        <v>0</v>
      </c>
      <c r="Z33" s="89"/>
      <c r="AA33" s="90"/>
      <c r="AB33" s="88"/>
      <c r="AC33" s="91"/>
      <c r="AD33" s="91"/>
      <c r="AE33" s="35">
        <f t="shared" si="1"/>
        <v>0</v>
      </c>
      <c r="AF33" s="62">
        <f t="shared" si="3"/>
        <v>0</v>
      </c>
    </row>
    <row r="34" spans="1:32" ht="18.75" customHeight="1" x14ac:dyDescent="0.25">
      <c r="A34" s="98"/>
      <c r="B34" s="33">
        <f t="shared" si="4"/>
        <v>15</v>
      </c>
      <c r="C34" s="72">
        <f>'CBPA - PAY'!C35</f>
        <v>0</v>
      </c>
      <c r="D34" s="72" t="e">
        <f>'CBPA - PAY'!D35</f>
        <v>#N/A</v>
      </c>
      <c r="E34" s="306">
        <f>'CBPA - PAY'!E35</f>
        <v>0</v>
      </c>
      <c r="F34" s="49">
        <f>'CBPA - PAY'!L35</f>
        <v>0</v>
      </c>
      <c r="G34" s="36">
        <f>ROUND('CBPA - PAY'!I35*0.09,2)</f>
        <v>0</v>
      </c>
      <c r="H34" s="91"/>
      <c r="I34" s="91"/>
      <c r="J34" s="91"/>
      <c r="K34" s="91"/>
      <c r="L34" s="91"/>
      <c r="M34" s="91"/>
      <c r="N34" s="91"/>
      <c r="O34" s="91"/>
      <c r="P34" s="91"/>
      <c r="Q34" s="91"/>
      <c r="R34" s="41">
        <f t="shared" si="0"/>
        <v>0</v>
      </c>
      <c r="S34" s="86"/>
      <c r="T34" s="90"/>
      <c r="U34" s="91"/>
      <c r="V34" s="91"/>
      <c r="W34" s="91"/>
      <c r="X34" s="38">
        <f t="shared" si="2"/>
        <v>0</v>
      </c>
      <c r="Y34" s="49">
        <f>MIN(ROUNDDOWN('CBPA - PAY'!I35*0.05/2,2),2500)</f>
        <v>0</v>
      </c>
      <c r="Z34" s="89"/>
      <c r="AA34" s="90"/>
      <c r="AB34" s="88"/>
      <c r="AC34" s="91"/>
      <c r="AD34" s="91"/>
      <c r="AE34" s="35">
        <f t="shared" si="1"/>
        <v>0</v>
      </c>
      <c r="AF34" s="62">
        <f t="shared" si="3"/>
        <v>0</v>
      </c>
    </row>
    <row r="35" spans="1:32" ht="18.75" customHeight="1" x14ac:dyDescent="0.25">
      <c r="A35" s="98"/>
      <c r="B35" s="33">
        <f t="shared" si="4"/>
        <v>16</v>
      </c>
      <c r="C35" s="72">
        <f>'CBPA - PAY'!C36</f>
        <v>0</v>
      </c>
      <c r="D35" s="72" t="e">
        <f>'CBPA - PAY'!D36</f>
        <v>#N/A</v>
      </c>
      <c r="E35" s="306">
        <f>'CBPA - PAY'!E36</f>
        <v>0</v>
      </c>
      <c r="F35" s="49">
        <f>'CBPA - PAY'!L36</f>
        <v>0</v>
      </c>
      <c r="G35" s="36">
        <f>ROUND('CBPA - PAY'!I36*0.09,2)</f>
        <v>0</v>
      </c>
      <c r="H35" s="91"/>
      <c r="I35" s="91"/>
      <c r="J35" s="91"/>
      <c r="K35" s="91"/>
      <c r="L35" s="91"/>
      <c r="M35" s="91"/>
      <c r="N35" s="91"/>
      <c r="O35" s="91"/>
      <c r="P35" s="91"/>
      <c r="Q35" s="91"/>
      <c r="R35" s="41">
        <f t="shared" si="0"/>
        <v>0</v>
      </c>
      <c r="S35" s="86"/>
      <c r="T35" s="90"/>
      <c r="U35" s="91"/>
      <c r="V35" s="91"/>
      <c r="W35" s="91"/>
      <c r="X35" s="38">
        <f t="shared" si="2"/>
        <v>0</v>
      </c>
      <c r="Y35" s="49">
        <f>MIN(ROUNDDOWN('CBPA - PAY'!I36*0.05/2,2),2500)</f>
        <v>0</v>
      </c>
      <c r="Z35" s="89"/>
      <c r="AA35" s="90"/>
      <c r="AB35" s="88"/>
      <c r="AC35" s="91"/>
      <c r="AD35" s="91"/>
      <c r="AE35" s="35">
        <f t="shared" si="1"/>
        <v>0</v>
      </c>
      <c r="AF35" s="62">
        <f t="shared" si="3"/>
        <v>0</v>
      </c>
    </row>
    <row r="36" spans="1:32" ht="18.75" customHeight="1" x14ac:dyDescent="0.25">
      <c r="A36" s="98"/>
      <c r="B36" s="33">
        <f t="shared" si="4"/>
        <v>17</v>
      </c>
      <c r="C36" s="72">
        <f>'CBPA - PAY'!C37</f>
        <v>0</v>
      </c>
      <c r="D36" s="72" t="e">
        <f>'CBPA - PAY'!D37</f>
        <v>#N/A</v>
      </c>
      <c r="E36" s="306">
        <f>'CBPA - PAY'!E37</f>
        <v>0</v>
      </c>
      <c r="F36" s="49">
        <f>'CBPA - PAY'!L37</f>
        <v>0</v>
      </c>
      <c r="G36" s="36">
        <f>ROUND('CBPA - PAY'!I37*0.09,2)</f>
        <v>0</v>
      </c>
      <c r="H36" s="91"/>
      <c r="I36" s="91"/>
      <c r="J36" s="91"/>
      <c r="K36" s="91"/>
      <c r="L36" s="91"/>
      <c r="M36" s="91"/>
      <c r="N36" s="91"/>
      <c r="O36" s="91"/>
      <c r="P36" s="91"/>
      <c r="Q36" s="91"/>
      <c r="R36" s="41">
        <f t="shared" si="0"/>
        <v>0</v>
      </c>
      <c r="S36" s="86"/>
      <c r="T36" s="90"/>
      <c r="U36" s="91"/>
      <c r="V36" s="91"/>
      <c r="W36" s="91"/>
      <c r="X36" s="38">
        <f t="shared" si="2"/>
        <v>0</v>
      </c>
      <c r="Y36" s="49">
        <f>MIN(ROUNDDOWN('CBPA - PAY'!I37*0.05/2,2),2500)</f>
        <v>0</v>
      </c>
      <c r="Z36" s="89"/>
      <c r="AA36" s="90"/>
      <c r="AB36" s="88"/>
      <c r="AC36" s="91"/>
      <c r="AD36" s="91"/>
      <c r="AE36" s="35">
        <f t="shared" si="1"/>
        <v>0</v>
      </c>
      <c r="AF36" s="62">
        <f t="shared" si="3"/>
        <v>0</v>
      </c>
    </row>
    <row r="37" spans="1:32" ht="18.75" customHeight="1" x14ac:dyDescent="0.25">
      <c r="A37" s="98"/>
      <c r="B37" s="33">
        <f t="shared" si="4"/>
        <v>18</v>
      </c>
      <c r="C37" s="72">
        <f>'CBPA - PAY'!C38</f>
        <v>0</v>
      </c>
      <c r="D37" s="72" t="e">
        <f>'CBPA - PAY'!D38</f>
        <v>#N/A</v>
      </c>
      <c r="E37" s="306">
        <f>'CBPA - PAY'!E38</f>
        <v>0</v>
      </c>
      <c r="F37" s="49">
        <f>'CBPA - PAY'!L38</f>
        <v>0</v>
      </c>
      <c r="G37" s="36">
        <f>ROUND('CBPA - PAY'!I38*0.09,2)</f>
        <v>0</v>
      </c>
      <c r="H37" s="91"/>
      <c r="I37" s="91"/>
      <c r="J37" s="91"/>
      <c r="K37" s="91"/>
      <c r="L37" s="91"/>
      <c r="M37" s="91"/>
      <c r="N37" s="91"/>
      <c r="O37" s="91"/>
      <c r="P37" s="91"/>
      <c r="Q37" s="91"/>
      <c r="R37" s="41">
        <f t="shared" si="0"/>
        <v>0</v>
      </c>
      <c r="S37" s="86"/>
      <c r="T37" s="90"/>
      <c r="U37" s="91"/>
      <c r="V37" s="91"/>
      <c r="W37" s="91"/>
      <c r="X37" s="38">
        <f t="shared" si="2"/>
        <v>0</v>
      </c>
      <c r="Y37" s="49">
        <f>MIN(ROUNDDOWN('CBPA - PAY'!I38*0.05/2,2),2500)</f>
        <v>0</v>
      </c>
      <c r="Z37" s="89"/>
      <c r="AA37" s="90"/>
      <c r="AB37" s="88"/>
      <c r="AC37" s="91"/>
      <c r="AD37" s="91"/>
      <c r="AE37" s="35">
        <f t="shared" si="1"/>
        <v>0</v>
      </c>
      <c r="AF37" s="62">
        <f t="shared" si="3"/>
        <v>0</v>
      </c>
    </row>
    <row r="38" spans="1:32" ht="18.75" customHeight="1" x14ac:dyDescent="0.25">
      <c r="A38" s="98"/>
      <c r="B38" s="33">
        <f t="shared" si="4"/>
        <v>19</v>
      </c>
      <c r="C38" s="72">
        <f>'CBPA - PAY'!C39</f>
        <v>0</v>
      </c>
      <c r="D38" s="72" t="e">
        <f>'CBPA - PAY'!D39</f>
        <v>#N/A</v>
      </c>
      <c r="E38" s="306">
        <f>'CBPA - PAY'!E39</f>
        <v>0</v>
      </c>
      <c r="F38" s="49">
        <f>'CBPA - PAY'!L39</f>
        <v>0</v>
      </c>
      <c r="G38" s="36">
        <f>ROUND('CBPA - PAY'!I39*0.09,2)</f>
        <v>0</v>
      </c>
      <c r="H38" s="91"/>
      <c r="I38" s="91"/>
      <c r="J38" s="91"/>
      <c r="K38" s="91"/>
      <c r="L38" s="91"/>
      <c r="M38" s="91"/>
      <c r="N38" s="91"/>
      <c r="O38" s="91"/>
      <c r="P38" s="91"/>
      <c r="Q38" s="91"/>
      <c r="R38" s="41">
        <f t="shared" si="0"/>
        <v>0</v>
      </c>
      <c r="S38" s="86"/>
      <c r="T38" s="90"/>
      <c r="U38" s="91"/>
      <c r="V38" s="91"/>
      <c r="W38" s="91"/>
      <c r="X38" s="38">
        <f t="shared" si="2"/>
        <v>0</v>
      </c>
      <c r="Y38" s="49">
        <f>MIN(ROUNDDOWN('CBPA - PAY'!I39*0.05/2,2),2500)</f>
        <v>0</v>
      </c>
      <c r="Z38" s="89"/>
      <c r="AA38" s="90"/>
      <c r="AB38" s="88"/>
      <c r="AC38" s="91"/>
      <c r="AD38" s="91"/>
      <c r="AE38" s="35">
        <f t="shared" si="1"/>
        <v>0</v>
      </c>
      <c r="AF38" s="62">
        <f t="shared" si="3"/>
        <v>0</v>
      </c>
    </row>
    <row r="39" spans="1:32" ht="18.75" customHeight="1" x14ac:dyDescent="0.25">
      <c r="A39" s="98"/>
      <c r="B39" s="33">
        <f t="shared" si="4"/>
        <v>20</v>
      </c>
      <c r="C39" s="72">
        <f>'CBPA - PAY'!C40</f>
        <v>0</v>
      </c>
      <c r="D39" s="72" t="e">
        <f>'CBPA - PAY'!D40</f>
        <v>#N/A</v>
      </c>
      <c r="E39" s="306">
        <f>'CBPA - PAY'!E40</f>
        <v>0</v>
      </c>
      <c r="F39" s="49">
        <f>'CBPA - PAY'!L40</f>
        <v>0</v>
      </c>
      <c r="G39" s="36">
        <f>ROUND('CBPA - PAY'!I40*0.09,2)</f>
        <v>0</v>
      </c>
      <c r="H39" s="91"/>
      <c r="I39" s="91"/>
      <c r="J39" s="91"/>
      <c r="K39" s="91"/>
      <c r="L39" s="91"/>
      <c r="M39" s="91"/>
      <c r="N39" s="91"/>
      <c r="O39" s="91"/>
      <c r="P39" s="91"/>
      <c r="Q39" s="91"/>
      <c r="R39" s="41">
        <f t="shared" si="0"/>
        <v>0</v>
      </c>
      <c r="S39" s="86"/>
      <c r="T39" s="90"/>
      <c r="U39" s="91"/>
      <c r="V39" s="91"/>
      <c r="W39" s="91"/>
      <c r="X39" s="38">
        <f t="shared" si="2"/>
        <v>0</v>
      </c>
      <c r="Y39" s="49">
        <f>MIN(ROUNDDOWN('CBPA - PAY'!I40*0.05/2,2),2500)</f>
        <v>0</v>
      </c>
      <c r="Z39" s="89"/>
      <c r="AA39" s="90"/>
      <c r="AB39" s="88"/>
      <c r="AC39" s="91"/>
      <c r="AD39" s="91"/>
      <c r="AE39" s="35">
        <f t="shared" si="1"/>
        <v>0</v>
      </c>
      <c r="AF39" s="62">
        <f t="shared" si="3"/>
        <v>0</v>
      </c>
    </row>
    <row r="40" spans="1:32" ht="18.75" customHeight="1" x14ac:dyDescent="0.25">
      <c r="A40" s="98"/>
      <c r="B40" s="33">
        <f t="shared" si="4"/>
        <v>21</v>
      </c>
      <c r="C40" s="72">
        <f>'CBPA - PAY'!C41</f>
        <v>0</v>
      </c>
      <c r="D40" s="72" t="e">
        <f>'CBPA - PAY'!D41</f>
        <v>#N/A</v>
      </c>
      <c r="E40" s="306">
        <f>'CBPA - PAY'!E41</f>
        <v>0</v>
      </c>
      <c r="F40" s="49">
        <f>'CBPA - PAY'!L41</f>
        <v>0</v>
      </c>
      <c r="G40" s="36">
        <f>ROUND('CBPA - PAY'!I41*0.09,2)</f>
        <v>0</v>
      </c>
      <c r="H40" s="91"/>
      <c r="I40" s="91"/>
      <c r="J40" s="91"/>
      <c r="K40" s="91"/>
      <c r="L40" s="91"/>
      <c r="M40" s="91"/>
      <c r="N40" s="91"/>
      <c r="O40" s="91"/>
      <c r="P40" s="91"/>
      <c r="Q40" s="91"/>
      <c r="R40" s="41">
        <f t="shared" si="0"/>
        <v>0</v>
      </c>
      <c r="S40" s="86"/>
      <c r="T40" s="90"/>
      <c r="U40" s="91"/>
      <c r="V40" s="91"/>
      <c r="W40" s="91"/>
      <c r="X40" s="38">
        <f t="shared" si="2"/>
        <v>0</v>
      </c>
      <c r="Y40" s="49">
        <f>MIN(ROUNDDOWN('CBPA - PAY'!I41*0.05/2,2),2500)</f>
        <v>0</v>
      </c>
      <c r="Z40" s="89"/>
      <c r="AA40" s="90"/>
      <c r="AB40" s="88"/>
      <c r="AC40" s="91"/>
      <c r="AD40" s="91"/>
      <c r="AE40" s="35">
        <f t="shared" si="1"/>
        <v>0</v>
      </c>
      <c r="AF40" s="62">
        <f t="shared" si="3"/>
        <v>0</v>
      </c>
    </row>
    <row r="41" spans="1:32" ht="18.75" customHeight="1" x14ac:dyDescent="0.25">
      <c r="A41" s="98"/>
      <c r="B41" s="33">
        <f t="shared" si="4"/>
        <v>22</v>
      </c>
      <c r="C41" s="72">
        <f>'CBPA - PAY'!C42</f>
        <v>0</v>
      </c>
      <c r="D41" s="72" t="e">
        <f>'CBPA - PAY'!D42</f>
        <v>#N/A</v>
      </c>
      <c r="E41" s="306">
        <f>'CBPA - PAY'!E42</f>
        <v>0</v>
      </c>
      <c r="F41" s="49">
        <f>'CBPA - PAY'!L42</f>
        <v>0</v>
      </c>
      <c r="G41" s="36">
        <f>ROUND('CBPA - PAY'!I42*0.09,2)</f>
        <v>0</v>
      </c>
      <c r="H41" s="91"/>
      <c r="I41" s="91"/>
      <c r="J41" s="91"/>
      <c r="K41" s="91"/>
      <c r="L41" s="91"/>
      <c r="M41" s="91"/>
      <c r="N41" s="91"/>
      <c r="O41" s="91"/>
      <c r="P41" s="91"/>
      <c r="Q41" s="91"/>
      <c r="R41" s="41">
        <f t="shared" si="0"/>
        <v>0</v>
      </c>
      <c r="S41" s="86"/>
      <c r="T41" s="90"/>
      <c r="U41" s="91"/>
      <c r="V41" s="91"/>
      <c r="W41" s="91"/>
      <c r="X41" s="38">
        <f t="shared" si="2"/>
        <v>0</v>
      </c>
      <c r="Y41" s="49">
        <f>MIN(ROUNDDOWN('CBPA - PAY'!I42*0.05/2,2),2500)</f>
        <v>0</v>
      </c>
      <c r="Z41" s="89"/>
      <c r="AA41" s="90"/>
      <c r="AB41" s="88"/>
      <c r="AC41" s="91"/>
      <c r="AD41" s="91"/>
      <c r="AE41" s="35">
        <f t="shared" si="1"/>
        <v>0</v>
      </c>
      <c r="AF41" s="62">
        <f t="shared" si="3"/>
        <v>0</v>
      </c>
    </row>
    <row r="42" spans="1:32" ht="18.75" customHeight="1" x14ac:dyDescent="0.25">
      <c r="A42" s="98"/>
      <c r="B42" s="33">
        <f t="shared" si="4"/>
        <v>23</v>
      </c>
      <c r="C42" s="72">
        <f>'CBPA - PAY'!C43</f>
        <v>0</v>
      </c>
      <c r="D42" s="72" t="e">
        <f>'CBPA - PAY'!D43</f>
        <v>#N/A</v>
      </c>
      <c r="E42" s="306">
        <f>'CBPA - PAY'!E43</f>
        <v>0</v>
      </c>
      <c r="F42" s="49">
        <f>'CBPA - PAY'!L43</f>
        <v>0</v>
      </c>
      <c r="G42" s="36">
        <f>ROUND('CBPA - PAY'!I43*0.09,2)</f>
        <v>0</v>
      </c>
      <c r="H42" s="91"/>
      <c r="I42" s="91"/>
      <c r="J42" s="91"/>
      <c r="K42" s="91"/>
      <c r="L42" s="91"/>
      <c r="M42" s="91"/>
      <c r="N42" s="91"/>
      <c r="O42" s="91"/>
      <c r="P42" s="91"/>
      <c r="Q42" s="91"/>
      <c r="R42" s="41">
        <f t="shared" si="0"/>
        <v>0</v>
      </c>
      <c r="S42" s="86"/>
      <c r="T42" s="90"/>
      <c r="U42" s="91"/>
      <c r="V42" s="91"/>
      <c r="W42" s="91"/>
      <c r="X42" s="38">
        <f t="shared" si="2"/>
        <v>0</v>
      </c>
      <c r="Y42" s="49">
        <f>MIN(ROUNDDOWN('CBPA - PAY'!I43*0.05/2,2),2500)</f>
        <v>0</v>
      </c>
      <c r="Z42" s="89"/>
      <c r="AA42" s="90"/>
      <c r="AB42" s="88"/>
      <c r="AC42" s="91"/>
      <c r="AD42" s="91"/>
      <c r="AE42" s="35">
        <f t="shared" si="1"/>
        <v>0</v>
      </c>
      <c r="AF42" s="62">
        <f t="shared" si="3"/>
        <v>0</v>
      </c>
    </row>
    <row r="43" spans="1:32" ht="18.75" customHeight="1" x14ac:dyDescent="0.25">
      <c r="A43" s="98"/>
      <c r="B43" s="33">
        <f t="shared" si="4"/>
        <v>24</v>
      </c>
      <c r="C43" s="72">
        <f>'CBPA - PAY'!C44</f>
        <v>0</v>
      </c>
      <c r="D43" s="72" t="e">
        <f>'CBPA - PAY'!D44</f>
        <v>#N/A</v>
      </c>
      <c r="E43" s="306">
        <f>'CBPA - PAY'!E44</f>
        <v>0</v>
      </c>
      <c r="F43" s="49">
        <f>'CBPA - PAY'!L44</f>
        <v>0</v>
      </c>
      <c r="G43" s="36">
        <f>ROUND('CBPA - PAY'!I44*0.09,2)</f>
        <v>0</v>
      </c>
      <c r="H43" s="91"/>
      <c r="I43" s="91"/>
      <c r="J43" s="91"/>
      <c r="K43" s="91"/>
      <c r="L43" s="91"/>
      <c r="M43" s="91"/>
      <c r="N43" s="91"/>
      <c r="O43" s="91"/>
      <c r="P43" s="91"/>
      <c r="Q43" s="91"/>
      <c r="R43" s="41">
        <f t="shared" si="0"/>
        <v>0</v>
      </c>
      <c r="S43" s="86"/>
      <c r="T43" s="90"/>
      <c r="U43" s="91"/>
      <c r="V43" s="91"/>
      <c r="W43" s="91"/>
      <c r="X43" s="38">
        <f t="shared" si="2"/>
        <v>0</v>
      </c>
      <c r="Y43" s="49">
        <f>MIN(ROUNDDOWN('CBPA - PAY'!I44*0.05/2,2),2500)</f>
        <v>0</v>
      </c>
      <c r="Z43" s="89"/>
      <c r="AA43" s="90"/>
      <c r="AB43" s="88"/>
      <c r="AC43" s="91"/>
      <c r="AD43" s="91"/>
      <c r="AE43" s="35">
        <f t="shared" si="1"/>
        <v>0</v>
      </c>
      <c r="AF43" s="62">
        <f t="shared" si="3"/>
        <v>0</v>
      </c>
    </row>
    <row r="44" spans="1:32" ht="18.75" customHeight="1" x14ac:dyDescent="0.25">
      <c r="A44" s="98"/>
      <c r="B44" s="33">
        <f t="shared" si="4"/>
        <v>25</v>
      </c>
      <c r="C44" s="72">
        <f>'CBPA - PAY'!C45</f>
        <v>0</v>
      </c>
      <c r="D44" s="72" t="e">
        <f>'CBPA - PAY'!D45</f>
        <v>#N/A</v>
      </c>
      <c r="E44" s="306">
        <f>'CBPA - PAY'!E45</f>
        <v>0</v>
      </c>
      <c r="F44" s="49">
        <f>'CBPA - PAY'!L45</f>
        <v>0</v>
      </c>
      <c r="G44" s="36">
        <f>ROUND('CBPA - PAY'!I45*0.09,2)</f>
        <v>0</v>
      </c>
      <c r="H44" s="91"/>
      <c r="I44" s="91"/>
      <c r="J44" s="91"/>
      <c r="K44" s="91"/>
      <c r="L44" s="91"/>
      <c r="M44" s="91"/>
      <c r="N44" s="91"/>
      <c r="O44" s="91"/>
      <c r="P44" s="91"/>
      <c r="Q44" s="91"/>
      <c r="R44" s="41">
        <f t="shared" si="0"/>
        <v>0</v>
      </c>
      <c r="S44" s="86"/>
      <c r="T44" s="90"/>
      <c r="U44" s="91"/>
      <c r="V44" s="91"/>
      <c r="W44" s="91"/>
      <c r="X44" s="38">
        <f t="shared" si="2"/>
        <v>0</v>
      </c>
      <c r="Y44" s="49">
        <f>MIN(ROUNDDOWN('CBPA - PAY'!I45*0.05/2,2),2500)</f>
        <v>0</v>
      </c>
      <c r="Z44" s="89"/>
      <c r="AA44" s="90"/>
      <c r="AB44" s="88"/>
      <c r="AC44" s="91"/>
      <c r="AD44" s="91"/>
      <c r="AE44" s="35">
        <f t="shared" si="1"/>
        <v>0</v>
      </c>
      <c r="AF44" s="62">
        <f t="shared" si="3"/>
        <v>0</v>
      </c>
    </row>
    <row r="45" spans="1:32" ht="18.75" customHeight="1" x14ac:dyDescent="0.25">
      <c r="A45" s="98"/>
      <c r="B45" s="33">
        <f t="shared" si="4"/>
        <v>26</v>
      </c>
      <c r="C45" s="72">
        <f>'CBPA - PAY'!C46</f>
        <v>0</v>
      </c>
      <c r="D45" s="72" t="e">
        <f>'CBPA - PAY'!D46</f>
        <v>#N/A</v>
      </c>
      <c r="E45" s="306">
        <f>'CBPA - PAY'!E46</f>
        <v>0</v>
      </c>
      <c r="F45" s="49">
        <f>'CBPA - PAY'!L46</f>
        <v>0</v>
      </c>
      <c r="G45" s="36">
        <f>ROUND('CBPA - PAY'!I46*0.09,2)</f>
        <v>0</v>
      </c>
      <c r="H45" s="91"/>
      <c r="I45" s="91"/>
      <c r="J45" s="91"/>
      <c r="K45" s="91"/>
      <c r="L45" s="91"/>
      <c r="M45" s="91"/>
      <c r="N45" s="91"/>
      <c r="O45" s="91"/>
      <c r="P45" s="91"/>
      <c r="Q45" s="91"/>
      <c r="R45" s="41">
        <f t="shared" si="0"/>
        <v>0</v>
      </c>
      <c r="S45" s="86"/>
      <c r="T45" s="90"/>
      <c r="U45" s="91"/>
      <c r="V45" s="91"/>
      <c r="W45" s="91"/>
      <c r="X45" s="38">
        <f t="shared" si="2"/>
        <v>0</v>
      </c>
      <c r="Y45" s="49">
        <f>MIN(ROUNDDOWN('CBPA - PAY'!I46*0.05/2,2),2500)</f>
        <v>0</v>
      </c>
      <c r="Z45" s="89"/>
      <c r="AA45" s="90"/>
      <c r="AB45" s="88"/>
      <c r="AC45" s="91"/>
      <c r="AD45" s="91"/>
      <c r="AE45" s="35">
        <f t="shared" si="1"/>
        <v>0</v>
      </c>
      <c r="AF45" s="62">
        <f t="shared" si="3"/>
        <v>0</v>
      </c>
    </row>
    <row r="46" spans="1:32" ht="18.75" customHeight="1" x14ac:dyDescent="0.25">
      <c r="A46" s="98"/>
      <c r="B46" s="33">
        <f t="shared" si="4"/>
        <v>27</v>
      </c>
      <c r="C46" s="72">
        <f>'CBPA - PAY'!C47</f>
        <v>0</v>
      </c>
      <c r="D46" s="72" t="e">
        <f>'CBPA - PAY'!D47</f>
        <v>#N/A</v>
      </c>
      <c r="E46" s="306">
        <f>'CBPA - PAY'!E47</f>
        <v>0</v>
      </c>
      <c r="F46" s="49">
        <f>'CBPA - PAY'!L47</f>
        <v>0</v>
      </c>
      <c r="G46" s="36">
        <f>ROUND('CBPA - PAY'!I47*0.09,2)</f>
        <v>0</v>
      </c>
      <c r="H46" s="91"/>
      <c r="I46" s="91"/>
      <c r="J46" s="91"/>
      <c r="K46" s="91"/>
      <c r="L46" s="91"/>
      <c r="M46" s="91"/>
      <c r="N46" s="91"/>
      <c r="O46" s="91"/>
      <c r="P46" s="91"/>
      <c r="Q46" s="91"/>
      <c r="R46" s="41">
        <f t="shared" si="0"/>
        <v>0</v>
      </c>
      <c r="S46" s="86"/>
      <c r="T46" s="90"/>
      <c r="U46" s="91"/>
      <c r="V46" s="91"/>
      <c r="W46" s="91"/>
      <c r="X46" s="38">
        <f t="shared" si="2"/>
        <v>0</v>
      </c>
      <c r="Y46" s="49">
        <f>MIN(ROUNDDOWN('CBPA - PAY'!I47*0.05/2,2),2500)</f>
        <v>0</v>
      </c>
      <c r="Z46" s="89"/>
      <c r="AA46" s="90"/>
      <c r="AB46" s="88"/>
      <c r="AC46" s="91"/>
      <c r="AD46" s="91"/>
      <c r="AE46" s="35">
        <f t="shared" si="1"/>
        <v>0</v>
      </c>
      <c r="AF46" s="62">
        <f t="shared" si="3"/>
        <v>0</v>
      </c>
    </row>
    <row r="47" spans="1:32" ht="18.75" customHeight="1" x14ac:dyDescent="0.25">
      <c r="A47" s="98"/>
      <c r="B47" s="33">
        <f t="shared" si="4"/>
        <v>28</v>
      </c>
      <c r="C47" s="72">
        <f>'CBPA - PAY'!C48</f>
        <v>0</v>
      </c>
      <c r="D47" s="72" t="e">
        <f>'CBPA - PAY'!D48</f>
        <v>#N/A</v>
      </c>
      <c r="E47" s="306">
        <f>'CBPA - PAY'!E48</f>
        <v>0</v>
      </c>
      <c r="F47" s="49">
        <f>'CBPA - PAY'!L48</f>
        <v>0</v>
      </c>
      <c r="G47" s="36">
        <f>ROUND('CBPA - PAY'!I48*0.09,2)</f>
        <v>0</v>
      </c>
      <c r="H47" s="91"/>
      <c r="I47" s="91"/>
      <c r="J47" s="91"/>
      <c r="K47" s="91"/>
      <c r="L47" s="91"/>
      <c r="M47" s="91"/>
      <c r="N47" s="91"/>
      <c r="O47" s="91"/>
      <c r="P47" s="91"/>
      <c r="Q47" s="91"/>
      <c r="R47" s="41">
        <f t="shared" si="0"/>
        <v>0</v>
      </c>
      <c r="S47" s="86"/>
      <c r="T47" s="90"/>
      <c r="U47" s="91"/>
      <c r="V47" s="91"/>
      <c r="W47" s="91"/>
      <c r="X47" s="38">
        <f t="shared" si="2"/>
        <v>0</v>
      </c>
      <c r="Y47" s="49">
        <f>MIN(ROUNDDOWN('CBPA - PAY'!I48*0.05/2,2),2500)</f>
        <v>0</v>
      </c>
      <c r="Z47" s="89"/>
      <c r="AA47" s="90"/>
      <c r="AB47" s="88"/>
      <c r="AC47" s="91"/>
      <c r="AD47" s="91"/>
      <c r="AE47" s="35">
        <f t="shared" si="1"/>
        <v>0</v>
      </c>
      <c r="AF47" s="62">
        <f t="shared" si="3"/>
        <v>0</v>
      </c>
    </row>
    <row r="48" spans="1:32" ht="18.75" customHeight="1" x14ac:dyDescent="0.25">
      <c r="A48" s="98"/>
      <c r="B48" s="33">
        <f t="shared" si="4"/>
        <v>29</v>
      </c>
      <c r="C48" s="72">
        <f>'CBPA - PAY'!C49</f>
        <v>0</v>
      </c>
      <c r="D48" s="72" t="e">
        <f>'CBPA - PAY'!D49</f>
        <v>#N/A</v>
      </c>
      <c r="E48" s="306">
        <f>'CBPA - PAY'!E49</f>
        <v>0</v>
      </c>
      <c r="F48" s="49">
        <f>'CBPA - PAY'!L49</f>
        <v>0</v>
      </c>
      <c r="G48" s="36">
        <f>ROUND('CBPA - PAY'!I49*0.09,2)</f>
        <v>0</v>
      </c>
      <c r="H48" s="91"/>
      <c r="I48" s="91"/>
      <c r="J48" s="91"/>
      <c r="K48" s="91"/>
      <c r="L48" s="91"/>
      <c r="M48" s="91"/>
      <c r="N48" s="91"/>
      <c r="O48" s="91"/>
      <c r="P48" s="91"/>
      <c r="Q48" s="91"/>
      <c r="R48" s="41">
        <f t="shared" si="0"/>
        <v>0</v>
      </c>
      <c r="S48" s="86"/>
      <c r="T48" s="90"/>
      <c r="U48" s="91"/>
      <c r="V48" s="91"/>
      <c r="W48" s="91"/>
      <c r="X48" s="38">
        <f t="shared" si="2"/>
        <v>0</v>
      </c>
      <c r="Y48" s="49">
        <f>MIN(ROUNDDOWN('CBPA - PAY'!I49*0.05/2,2),2500)</f>
        <v>0</v>
      </c>
      <c r="Z48" s="89"/>
      <c r="AA48" s="90"/>
      <c r="AB48" s="88"/>
      <c r="AC48" s="91"/>
      <c r="AD48" s="91"/>
      <c r="AE48" s="35">
        <f t="shared" si="1"/>
        <v>0</v>
      </c>
      <c r="AF48" s="62">
        <f t="shared" si="3"/>
        <v>0</v>
      </c>
    </row>
    <row r="49" spans="1:32" ht="18.75" customHeight="1" x14ac:dyDescent="0.25">
      <c r="A49" s="98"/>
      <c r="B49" s="33">
        <f t="shared" si="4"/>
        <v>30</v>
      </c>
      <c r="C49" s="72">
        <f>'CBPA - PAY'!C50</f>
        <v>0</v>
      </c>
      <c r="D49" s="72" t="e">
        <f>'CBPA - PAY'!D50</f>
        <v>#N/A</v>
      </c>
      <c r="E49" s="306">
        <f>'CBPA - PAY'!E50</f>
        <v>0</v>
      </c>
      <c r="F49" s="49">
        <f>'CBPA - PAY'!L50</f>
        <v>0</v>
      </c>
      <c r="G49" s="36">
        <f>ROUND('CBPA - PAY'!I50*0.09,2)</f>
        <v>0</v>
      </c>
      <c r="H49" s="91"/>
      <c r="I49" s="91"/>
      <c r="J49" s="91"/>
      <c r="K49" s="91"/>
      <c r="L49" s="91"/>
      <c r="M49" s="91"/>
      <c r="N49" s="91"/>
      <c r="O49" s="91"/>
      <c r="P49" s="91"/>
      <c r="Q49" s="91"/>
      <c r="R49" s="41">
        <f t="shared" si="0"/>
        <v>0</v>
      </c>
      <c r="S49" s="86"/>
      <c r="T49" s="90"/>
      <c r="U49" s="91"/>
      <c r="V49" s="91"/>
      <c r="W49" s="91"/>
      <c r="X49" s="38">
        <f t="shared" si="2"/>
        <v>0</v>
      </c>
      <c r="Y49" s="49">
        <f>MIN(ROUNDDOWN('CBPA - PAY'!I50*0.05/2,2),2500)</f>
        <v>0</v>
      </c>
      <c r="Z49" s="89"/>
      <c r="AA49" s="90"/>
      <c r="AB49" s="88"/>
      <c r="AC49" s="91"/>
      <c r="AD49" s="91"/>
      <c r="AE49" s="35">
        <f t="shared" si="1"/>
        <v>0</v>
      </c>
      <c r="AF49" s="62">
        <f t="shared" si="3"/>
        <v>0</v>
      </c>
    </row>
    <row r="50" spans="1:32" ht="18.75" customHeight="1" x14ac:dyDescent="0.25">
      <c r="A50" s="98"/>
      <c r="B50" s="33">
        <f t="shared" si="4"/>
        <v>31</v>
      </c>
      <c r="C50" s="72">
        <f>'CBPA - PAY'!C51</f>
        <v>0</v>
      </c>
      <c r="D50" s="72" t="e">
        <f>'CBPA - PAY'!D51</f>
        <v>#N/A</v>
      </c>
      <c r="E50" s="306">
        <f>'CBPA - PAY'!E51</f>
        <v>0</v>
      </c>
      <c r="F50" s="49">
        <f>'CBPA - PAY'!L51</f>
        <v>0</v>
      </c>
      <c r="G50" s="36">
        <f>ROUND('CBPA - PAY'!I51*0.09,2)</f>
        <v>0</v>
      </c>
      <c r="H50" s="91"/>
      <c r="I50" s="91"/>
      <c r="J50" s="91"/>
      <c r="K50" s="91"/>
      <c r="L50" s="91"/>
      <c r="M50" s="91"/>
      <c r="N50" s="91"/>
      <c r="O50" s="91"/>
      <c r="P50" s="91"/>
      <c r="Q50" s="91"/>
      <c r="R50" s="41">
        <f t="shared" si="0"/>
        <v>0</v>
      </c>
      <c r="S50" s="86"/>
      <c r="T50" s="90"/>
      <c r="U50" s="91"/>
      <c r="V50" s="91"/>
      <c r="W50" s="91"/>
      <c r="X50" s="38">
        <f t="shared" si="2"/>
        <v>0</v>
      </c>
      <c r="Y50" s="49">
        <f>MIN(ROUNDDOWN('CBPA - PAY'!I51*0.05/2,2),2500)</f>
        <v>0</v>
      </c>
      <c r="Z50" s="89"/>
      <c r="AA50" s="90"/>
      <c r="AB50" s="88"/>
      <c r="AC50" s="91"/>
      <c r="AD50" s="91"/>
      <c r="AE50" s="35">
        <f t="shared" si="1"/>
        <v>0</v>
      </c>
      <c r="AF50" s="62">
        <f t="shared" si="3"/>
        <v>0</v>
      </c>
    </row>
    <row r="51" spans="1:32" ht="18.75" customHeight="1" x14ac:dyDescent="0.25">
      <c r="A51" s="98"/>
      <c r="B51" s="33">
        <f t="shared" si="4"/>
        <v>32</v>
      </c>
      <c r="C51" s="72">
        <f>'CBPA - PAY'!C52</f>
        <v>0</v>
      </c>
      <c r="D51" s="72" t="e">
        <f>'CBPA - PAY'!D52</f>
        <v>#N/A</v>
      </c>
      <c r="E51" s="306">
        <f>'CBPA - PAY'!E52</f>
        <v>0</v>
      </c>
      <c r="F51" s="49">
        <f>'CBPA - PAY'!L52</f>
        <v>0</v>
      </c>
      <c r="G51" s="36">
        <f>ROUND('CBPA - PAY'!I52*0.09,2)</f>
        <v>0</v>
      </c>
      <c r="H51" s="91"/>
      <c r="I51" s="91"/>
      <c r="J51" s="91"/>
      <c r="K51" s="91"/>
      <c r="L51" s="91"/>
      <c r="M51" s="91"/>
      <c r="N51" s="91"/>
      <c r="O51" s="91"/>
      <c r="P51" s="91"/>
      <c r="Q51" s="91"/>
      <c r="R51" s="41">
        <f t="shared" si="0"/>
        <v>0</v>
      </c>
      <c r="S51" s="86"/>
      <c r="T51" s="90"/>
      <c r="U51" s="91"/>
      <c r="V51" s="91"/>
      <c r="W51" s="91"/>
      <c r="X51" s="38">
        <f t="shared" si="2"/>
        <v>0</v>
      </c>
      <c r="Y51" s="49">
        <f>MIN(ROUNDDOWN('CBPA - PAY'!I52*0.05/2,2),2500)</f>
        <v>0</v>
      </c>
      <c r="Z51" s="89"/>
      <c r="AA51" s="90"/>
      <c r="AB51" s="88"/>
      <c r="AC51" s="91"/>
      <c r="AD51" s="91"/>
      <c r="AE51" s="35">
        <f t="shared" si="1"/>
        <v>0</v>
      </c>
      <c r="AF51" s="62">
        <f t="shared" si="3"/>
        <v>0</v>
      </c>
    </row>
    <row r="52" spans="1:32" ht="18.75" customHeight="1" x14ac:dyDescent="0.25">
      <c r="A52" s="98"/>
      <c r="B52" s="33">
        <f t="shared" si="4"/>
        <v>33</v>
      </c>
      <c r="C52" s="72">
        <f>'CBPA - PAY'!C53</f>
        <v>0</v>
      </c>
      <c r="D52" s="72" t="e">
        <f>'CBPA - PAY'!D53</f>
        <v>#N/A</v>
      </c>
      <c r="E52" s="306">
        <f>'CBPA - PAY'!E53</f>
        <v>0</v>
      </c>
      <c r="F52" s="49">
        <f>'CBPA - PAY'!L53</f>
        <v>0</v>
      </c>
      <c r="G52" s="36">
        <f>ROUND('CBPA - PAY'!I53*0.09,2)</f>
        <v>0</v>
      </c>
      <c r="H52" s="91"/>
      <c r="I52" s="91"/>
      <c r="J52" s="91"/>
      <c r="K52" s="91"/>
      <c r="L52" s="91"/>
      <c r="M52" s="91"/>
      <c r="N52" s="91"/>
      <c r="O52" s="91"/>
      <c r="P52" s="91"/>
      <c r="Q52" s="91"/>
      <c r="R52" s="41">
        <f t="shared" si="0"/>
        <v>0</v>
      </c>
      <c r="S52" s="86"/>
      <c r="T52" s="90"/>
      <c r="U52" s="91"/>
      <c r="V52" s="91"/>
      <c r="W52" s="91"/>
      <c r="X52" s="38">
        <f t="shared" si="2"/>
        <v>0</v>
      </c>
      <c r="Y52" s="49">
        <f>MIN(ROUNDDOWN('CBPA - PAY'!I53*0.05/2,2),2500)</f>
        <v>0</v>
      </c>
      <c r="Z52" s="89"/>
      <c r="AA52" s="90"/>
      <c r="AB52" s="88"/>
      <c r="AC52" s="91"/>
      <c r="AD52" s="91"/>
      <c r="AE52" s="35">
        <f t="shared" si="1"/>
        <v>0</v>
      </c>
      <c r="AF52" s="62">
        <f t="shared" si="3"/>
        <v>0</v>
      </c>
    </row>
    <row r="53" spans="1:32" ht="18.75" customHeight="1" x14ac:dyDescent="0.25">
      <c r="A53" s="98"/>
      <c r="B53" s="33">
        <f t="shared" si="4"/>
        <v>34</v>
      </c>
      <c r="C53" s="72">
        <f>'CBPA - PAY'!C54</f>
        <v>0</v>
      </c>
      <c r="D53" s="72" t="e">
        <f>'CBPA - PAY'!D54</f>
        <v>#N/A</v>
      </c>
      <c r="E53" s="306">
        <f>'CBPA - PAY'!E54</f>
        <v>0</v>
      </c>
      <c r="F53" s="49">
        <f>'CBPA - PAY'!L54</f>
        <v>0</v>
      </c>
      <c r="G53" s="36">
        <f>ROUND('CBPA - PAY'!I54*0.09,2)</f>
        <v>0</v>
      </c>
      <c r="H53" s="91"/>
      <c r="I53" s="91"/>
      <c r="J53" s="91"/>
      <c r="K53" s="91"/>
      <c r="L53" s="91"/>
      <c r="M53" s="91"/>
      <c r="N53" s="91"/>
      <c r="O53" s="91"/>
      <c r="P53" s="91"/>
      <c r="Q53" s="91"/>
      <c r="R53" s="41">
        <f t="shared" si="0"/>
        <v>0</v>
      </c>
      <c r="S53" s="86"/>
      <c r="T53" s="90"/>
      <c r="U53" s="91"/>
      <c r="V53" s="91"/>
      <c r="W53" s="91"/>
      <c r="X53" s="38">
        <f t="shared" si="2"/>
        <v>0</v>
      </c>
      <c r="Y53" s="49">
        <f>MIN(ROUNDDOWN('CBPA - PAY'!I54*0.05/2,2),2500)</f>
        <v>0</v>
      </c>
      <c r="Z53" s="89"/>
      <c r="AA53" s="90"/>
      <c r="AB53" s="88"/>
      <c r="AC53" s="91"/>
      <c r="AD53" s="91"/>
      <c r="AE53" s="35">
        <f t="shared" si="1"/>
        <v>0</v>
      </c>
      <c r="AF53" s="62">
        <f t="shared" si="3"/>
        <v>0</v>
      </c>
    </row>
    <row r="54" spans="1:32" ht="18.75" customHeight="1" x14ac:dyDescent="0.25">
      <c r="A54" s="98"/>
      <c r="B54" s="33">
        <f t="shared" si="4"/>
        <v>35</v>
      </c>
      <c r="C54" s="72">
        <f>'CBPA - PAY'!C55</f>
        <v>0</v>
      </c>
      <c r="D54" s="72" t="e">
        <f>'CBPA - PAY'!D55</f>
        <v>#N/A</v>
      </c>
      <c r="E54" s="306">
        <f>'CBPA - PAY'!E55</f>
        <v>0</v>
      </c>
      <c r="F54" s="49">
        <f>'CBPA - PAY'!L55</f>
        <v>0</v>
      </c>
      <c r="G54" s="36">
        <f>ROUND('CBPA - PAY'!I55*0.09,2)</f>
        <v>0</v>
      </c>
      <c r="H54" s="88"/>
      <c r="I54" s="88"/>
      <c r="J54" s="88"/>
      <c r="K54" s="88"/>
      <c r="L54" s="88"/>
      <c r="M54" s="88"/>
      <c r="N54" s="88"/>
      <c r="O54" s="88"/>
      <c r="P54" s="88"/>
      <c r="Q54" s="88"/>
      <c r="R54" s="41">
        <f t="shared" si="0"/>
        <v>0</v>
      </c>
      <c r="S54" s="86"/>
      <c r="T54" s="87"/>
      <c r="U54" s="88"/>
      <c r="V54" s="88"/>
      <c r="W54" s="88"/>
      <c r="X54" s="38">
        <f t="shared" si="2"/>
        <v>0</v>
      </c>
      <c r="Y54" s="49">
        <f>MIN(ROUNDDOWN('CBPA - PAY'!I55*0.05/2,2),2500)</f>
        <v>0</v>
      </c>
      <c r="Z54" s="86"/>
      <c r="AA54" s="90"/>
      <c r="AB54" s="88"/>
      <c r="AC54" s="91"/>
      <c r="AD54" s="91"/>
      <c r="AE54" s="35">
        <f t="shared" si="1"/>
        <v>0</v>
      </c>
      <c r="AF54" s="62">
        <f t="shared" si="3"/>
        <v>0</v>
      </c>
    </row>
    <row r="55" spans="1:32" ht="18.75" customHeight="1" x14ac:dyDescent="0.25">
      <c r="A55" s="98"/>
      <c r="B55" s="33">
        <f t="shared" si="4"/>
        <v>36</v>
      </c>
      <c r="C55" s="72">
        <f>'CBPA - PAY'!C56</f>
        <v>0</v>
      </c>
      <c r="D55" s="72" t="e">
        <f>'CBPA - PAY'!D56</f>
        <v>#N/A</v>
      </c>
      <c r="E55" s="306">
        <f>'CBPA - PAY'!E56</f>
        <v>0</v>
      </c>
      <c r="F55" s="49">
        <f>'CBPA - PAY'!L56</f>
        <v>0</v>
      </c>
      <c r="G55" s="36">
        <f>ROUND('CBPA - PAY'!I56*0.09,2)</f>
        <v>0</v>
      </c>
      <c r="H55" s="91"/>
      <c r="I55" s="91"/>
      <c r="J55" s="91"/>
      <c r="K55" s="91"/>
      <c r="L55" s="91"/>
      <c r="M55" s="91"/>
      <c r="N55" s="91"/>
      <c r="O55" s="91"/>
      <c r="P55" s="91"/>
      <c r="Q55" s="91"/>
      <c r="R55" s="41">
        <f t="shared" si="0"/>
        <v>0</v>
      </c>
      <c r="S55" s="86"/>
      <c r="T55" s="90"/>
      <c r="U55" s="91"/>
      <c r="V55" s="91"/>
      <c r="W55" s="91"/>
      <c r="X55" s="38">
        <f t="shared" si="2"/>
        <v>0</v>
      </c>
      <c r="Y55" s="49">
        <f>MIN(ROUNDDOWN('CBPA - PAY'!I56*0.05/2,2),2500)</f>
        <v>0</v>
      </c>
      <c r="Z55" s="89"/>
      <c r="AA55" s="90"/>
      <c r="AB55" s="88"/>
      <c r="AC55" s="91"/>
      <c r="AD55" s="91"/>
      <c r="AE55" s="35">
        <f t="shared" si="1"/>
        <v>0</v>
      </c>
      <c r="AF55" s="62">
        <f t="shared" si="3"/>
        <v>0</v>
      </c>
    </row>
    <row r="56" spans="1:32" ht="18.75" customHeight="1" x14ac:dyDescent="0.25">
      <c r="A56" s="98"/>
      <c r="B56" s="33">
        <f t="shared" si="4"/>
        <v>37</v>
      </c>
      <c r="C56" s="72">
        <f>'CBPA - PAY'!C57</f>
        <v>0</v>
      </c>
      <c r="D56" s="72" t="e">
        <f>'CBPA - PAY'!D57</f>
        <v>#N/A</v>
      </c>
      <c r="E56" s="306">
        <f>'CBPA - PAY'!E57</f>
        <v>0</v>
      </c>
      <c r="F56" s="49">
        <f>'CBPA - PAY'!L57</f>
        <v>0</v>
      </c>
      <c r="G56" s="36">
        <f>ROUND('CBPA - PAY'!I57*0.09,2)</f>
        <v>0</v>
      </c>
      <c r="H56" s="88"/>
      <c r="I56" s="88"/>
      <c r="J56" s="88"/>
      <c r="K56" s="88"/>
      <c r="L56" s="88"/>
      <c r="M56" s="88"/>
      <c r="N56" s="88"/>
      <c r="O56" s="88"/>
      <c r="P56" s="88"/>
      <c r="Q56" s="88"/>
      <c r="R56" s="41">
        <f t="shared" si="0"/>
        <v>0</v>
      </c>
      <c r="S56" s="86"/>
      <c r="T56" s="87"/>
      <c r="U56" s="88"/>
      <c r="V56" s="88"/>
      <c r="W56" s="88"/>
      <c r="X56" s="38">
        <f t="shared" si="2"/>
        <v>0</v>
      </c>
      <c r="Y56" s="49">
        <f>MIN(ROUNDDOWN('CBPA - PAY'!I57*0.05/2,2),2500)</f>
        <v>0</v>
      </c>
      <c r="Z56" s="86"/>
      <c r="AA56" s="90"/>
      <c r="AB56" s="88"/>
      <c r="AC56" s="91"/>
      <c r="AD56" s="91"/>
      <c r="AE56" s="35">
        <f t="shared" si="1"/>
        <v>0</v>
      </c>
      <c r="AF56" s="62">
        <f t="shared" si="3"/>
        <v>0</v>
      </c>
    </row>
    <row r="57" spans="1:32" ht="18.75" customHeight="1" x14ac:dyDescent="0.25">
      <c r="A57" s="98"/>
      <c r="B57" s="33">
        <f t="shared" si="4"/>
        <v>38</v>
      </c>
      <c r="C57" s="72">
        <f>'CBPA - PAY'!C58</f>
        <v>0</v>
      </c>
      <c r="D57" s="72" t="e">
        <f>'CBPA - PAY'!D58</f>
        <v>#N/A</v>
      </c>
      <c r="E57" s="306">
        <f>'CBPA - PAY'!E58</f>
        <v>0</v>
      </c>
      <c r="F57" s="49">
        <f>'CBPA - PAY'!L58</f>
        <v>0</v>
      </c>
      <c r="G57" s="36">
        <f>ROUND('CBPA - PAY'!I58*0.09,2)</f>
        <v>0</v>
      </c>
      <c r="H57" s="91"/>
      <c r="I57" s="91"/>
      <c r="J57" s="91"/>
      <c r="K57" s="91"/>
      <c r="L57" s="91"/>
      <c r="M57" s="91"/>
      <c r="N57" s="91"/>
      <c r="O57" s="91"/>
      <c r="P57" s="91"/>
      <c r="Q57" s="91"/>
      <c r="R57" s="41">
        <f t="shared" si="0"/>
        <v>0</v>
      </c>
      <c r="S57" s="86"/>
      <c r="T57" s="90"/>
      <c r="U57" s="91"/>
      <c r="V57" s="91"/>
      <c r="W57" s="91"/>
      <c r="X57" s="38">
        <f t="shared" si="2"/>
        <v>0</v>
      </c>
      <c r="Y57" s="49">
        <f>MIN(ROUNDDOWN('CBPA - PAY'!I58*0.05/2,2),2500)</f>
        <v>0</v>
      </c>
      <c r="Z57" s="89"/>
      <c r="AA57" s="90"/>
      <c r="AB57" s="88"/>
      <c r="AC57" s="91"/>
      <c r="AD57" s="91"/>
      <c r="AE57" s="35">
        <f t="shared" si="1"/>
        <v>0</v>
      </c>
      <c r="AF57" s="62">
        <f t="shared" si="3"/>
        <v>0</v>
      </c>
    </row>
    <row r="58" spans="1:32" ht="18.75" customHeight="1" x14ac:dyDescent="0.25">
      <c r="A58" s="98"/>
      <c r="B58" s="33">
        <f t="shared" si="4"/>
        <v>39</v>
      </c>
      <c r="C58" s="72">
        <f>'CBPA - PAY'!C59</f>
        <v>0</v>
      </c>
      <c r="D58" s="72" t="e">
        <f>'CBPA - PAY'!D59</f>
        <v>#N/A</v>
      </c>
      <c r="E58" s="306">
        <f>'CBPA - PAY'!E59</f>
        <v>0</v>
      </c>
      <c r="F58" s="49">
        <f>'CBPA - PAY'!L59</f>
        <v>0</v>
      </c>
      <c r="G58" s="36">
        <f>ROUND('CBPA - PAY'!I59*0.09,2)</f>
        <v>0</v>
      </c>
      <c r="H58" s="91"/>
      <c r="I58" s="91"/>
      <c r="J58" s="91"/>
      <c r="K58" s="91"/>
      <c r="L58" s="91"/>
      <c r="M58" s="91"/>
      <c r="N58" s="91"/>
      <c r="O58" s="91"/>
      <c r="P58" s="91"/>
      <c r="Q58" s="91"/>
      <c r="R58" s="41">
        <f t="shared" si="0"/>
        <v>0</v>
      </c>
      <c r="S58" s="86"/>
      <c r="T58" s="90"/>
      <c r="U58" s="91"/>
      <c r="V58" s="91"/>
      <c r="W58" s="91"/>
      <c r="X58" s="38">
        <f t="shared" si="2"/>
        <v>0</v>
      </c>
      <c r="Y58" s="49">
        <f>MIN(ROUNDDOWN('CBPA - PAY'!I59*0.05/2,2),2500)</f>
        <v>0</v>
      </c>
      <c r="Z58" s="89"/>
      <c r="AA58" s="90"/>
      <c r="AB58" s="88"/>
      <c r="AC58" s="91"/>
      <c r="AD58" s="91"/>
      <c r="AE58" s="35">
        <f t="shared" si="1"/>
        <v>0</v>
      </c>
      <c r="AF58" s="62">
        <f t="shared" si="3"/>
        <v>0</v>
      </c>
    </row>
    <row r="59" spans="1:32" ht="18.75" customHeight="1" x14ac:dyDescent="0.25">
      <c r="A59" s="98"/>
      <c r="B59" s="33">
        <f t="shared" si="4"/>
        <v>40</v>
      </c>
      <c r="C59" s="72">
        <f>'CBPA - PAY'!C60</f>
        <v>0</v>
      </c>
      <c r="D59" s="72" t="e">
        <f>'CBPA - PAY'!D60</f>
        <v>#N/A</v>
      </c>
      <c r="E59" s="306">
        <f>'CBPA - PAY'!E60</f>
        <v>0</v>
      </c>
      <c r="F59" s="49">
        <f>'CBPA - PAY'!L60</f>
        <v>0</v>
      </c>
      <c r="G59" s="36">
        <f>ROUND('CBPA - PAY'!I60*0.09,2)</f>
        <v>0</v>
      </c>
      <c r="H59" s="91"/>
      <c r="I59" s="91"/>
      <c r="J59" s="91"/>
      <c r="K59" s="91"/>
      <c r="L59" s="91"/>
      <c r="M59" s="91"/>
      <c r="N59" s="91"/>
      <c r="O59" s="91"/>
      <c r="P59" s="91"/>
      <c r="Q59" s="91"/>
      <c r="R59" s="41">
        <f t="shared" si="0"/>
        <v>0</v>
      </c>
      <c r="S59" s="86"/>
      <c r="T59" s="90"/>
      <c r="U59" s="91"/>
      <c r="V59" s="91"/>
      <c r="W59" s="91"/>
      <c r="X59" s="38">
        <f t="shared" si="2"/>
        <v>0</v>
      </c>
      <c r="Y59" s="49">
        <f>MIN(ROUNDDOWN('CBPA - PAY'!I60*0.05/2,2),2500)</f>
        <v>0</v>
      </c>
      <c r="Z59" s="89"/>
      <c r="AA59" s="90"/>
      <c r="AB59" s="88"/>
      <c r="AC59" s="91"/>
      <c r="AD59" s="91"/>
      <c r="AE59" s="35">
        <f t="shared" si="1"/>
        <v>0</v>
      </c>
      <c r="AF59" s="62">
        <f t="shared" si="3"/>
        <v>0</v>
      </c>
    </row>
    <row r="60" spans="1:32" ht="18.75" customHeight="1" x14ac:dyDescent="0.25">
      <c r="A60" s="98"/>
      <c r="B60" s="33">
        <f t="shared" si="4"/>
        <v>41</v>
      </c>
      <c r="C60" s="72">
        <f>'CBPA - PAY'!C61</f>
        <v>0</v>
      </c>
      <c r="D60" s="72" t="e">
        <f>'CBPA - PAY'!D61</f>
        <v>#N/A</v>
      </c>
      <c r="E60" s="306">
        <f>'CBPA - PAY'!E61</f>
        <v>0</v>
      </c>
      <c r="F60" s="49">
        <f>'CBPA - PAY'!L61</f>
        <v>0</v>
      </c>
      <c r="G60" s="36">
        <f>ROUND('CBPA - PAY'!I61*0.09,2)</f>
        <v>0</v>
      </c>
      <c r="H60" s="91"/>
      <c r="I60" s="91"/>
      <c r="J60" s="91"/>
      <c r="K60" s="91"/>
      <c r="L60" s="91"/>
      <c r="M60" s="91"/>
      <c r="N60" s="91"/>
      <c r="O60" s="91"/>
      <c r="P60" s="91"/>
      <c r="Q60" s="91"/>
      <c r="R60" s="41">
        <f t="shared" si="0"/>
        <v>0</v>
      </c>
      <c r="S60" s="86"/>
      <c r="T60" s="90"/>
      <c r="U60" s="91"/>
      <c r="V60" s="91"/>
      <c r="W60" s="91"/>
      <c r="X60" s="38">
        <f t="shared" si="2"/>
        <v>0</v>
      </c>
      <c r="Y60" s="49">
        <f>MIN(ROUNDDOWN('CBPA - PAY'!I61*0.05/2,2),2500)</f>
        <v>0</v>
      </c>
      <c r="Z60" s="89"/>
      <c r="AA60" s="90"/>
      <c r="AB60" s="88"/>
      <c r="AC60" s="91"/>
      <c r="AD60" s="91"/>
      <c r="AE60" s="35">
        <f t="shared" si="1"/>
        <v>0</v>
      </c>
      <c r="AF60" s="62">
        <f t="shared" si="3"/>
        <v>0</v>
      </c>
    </row>
    <row r="61" spans="1:32" ht="18.75" customHeight="1" x14ac:dyDescent="0.25">
      <c r="A61" s="98"/>
      <c r="B61" s="33">
        <f t="shared" si="4"/>
        <v>42</v>
      </c>
      <c r="C61" s="72">
        <f>'CBPA - PAY'!C62</f>
        <v>0</v>
      </c>
      <c r="D61" s="72" t="e">
        <f>'CBPA - PAY'!D62</f>
        <v>#N/A</v>
      </c>
      <c r="E61" s="306">
        <f>'CBPA - PAY'!E62</f>
        <v>0</v>
      </c>
      <c r="F61" s="49">
        <f>'CBPA - PAY'!L62</f>
        <v>0</v>
      </c>
      <c r="G61" s="36">
        <f>ROUND('CBPA - PAY'!I62*0.09,2)</f>
        <v>0</v>
      </c>
      <c r="H61" s="91"/>
      <c r="I61" s="91"/>
      <c r="J61" s="91"/>
      <c r="K61" s="91"/>
      <c r="L61" s="91"/>
      <c r="M61" s="91"/>
      <c r="N61" s="91"/>
      <c r="O61" s="91"/>
      <c r="P61" s="91"/>
      <c r="Q61" s="91"/>
      <c r="R61" s="41">
        <f t="shared" si="0"/>
        <v>0</v>
      </c>
      <c r="S61" s="86"/>
      <c r="T61" s="90"/>
      <c r="U61" s="91"/>
      <c r="V61" s="91"/>
      <c r="W61" s="91"/>
      <c r="X61" s="38">
        <f t="shared" si="2"/>
        <v>0</v>
      </c>
      <c r="Y61" s="49">
        <f>MIN(ROUNDDOWN('CBPA - PAY'!I62*0.05/2,2),2500)</f>
        <v>0</v>
      </c>
      <c r="Z61" s="89"/>
      <c r="AA61" s="90"/>
      <c r="AB61" s="88"/>
      <c r="AC61" s="91"/>
      <c r="AD61" s="91"/>
      <c r="AE61" s="35">
        <f t="shared" si="1"/>
        <v>0</v>
      </c>
      <c r="AF61" s="62">
        <f t="shared" si="3"/>
        <v>0</v>
      </c>
    </row>
    <row r="62" spans="1:32" ht="18.75" customHeight="1" x14ac:dyDescent="0.25">
      <c r="A62" s="98"/>
      <c r="B62" s="33">
        <f t="shared" si="4"/>
        <v>43</v>
      </c>
      <c r="C62" s="72">
        <f>'CBPA - PAY'!C63</f>
        <v>0</v>
      </c>
      <c r="D62" s="72" t="e">
        <f>'CBPA - PAY'!D63</f>
        <v>#N/A</v>
      </c>
      <c r="E62" s="306">
        <f>'CBPA - PAY'!E63</f>
        <v>0</v>
      </c>
      <c r="F62" s="49">
        <f>'CBPA - PAY'!L63</f>
        <v>0</v>
      </c>
      <c r="G62" s="36">
        <f>ROUND('CBPA - PAY'!I63*0.09,2)</f>
        <v>0</v>
      </c>
      <c r="H62" s="91"/>
      <c r="I62" s="91"/>
      <c r="J62" s="91"/>
      <c r="K62" s="91"/>
      <c r="L62" s="91"/>
      <c r="M62" s="91"/>
      <c r="N62" s="91"/>
      <c r="O62" s="91"/>
      <c r="P62" s="91"/>
      <c r="Q62" s="91"/>
      <c r="R62" s="41">
        <f t="shared" si="0"/>
        <v>0</v>
      </c>
      <c r="S62" s="86"/>
      <c r="T62" s="90"/>
      <c r="U62" s="91"/>
      <c r="V62" s="91"/>
      <c r="W62" s="91"/>
      <c r="X62" s="38">
        <f t="shared" si="2"/>
        <v>0</v>
      </c>
      <c r="Y62" s="49">
        <f>MIN(ROUNDDOWN('CBPA - PAY'!I63*0.05/2,2),2500)</f>
        <v>0</v>
      </c>
      <c r="Z62" s="89"/>
      <c r="AA62" s="90"/>
      <c r="AB62" s="88"/>
      <c r="AC62" s="91"/>
      <c r="AD62" s="91"/>
      <c r="AE62" s="35">
        <f t="shared" si="1"/>
        <v>0</v>
      </c>
      <c r="AF62" s="62">
        <f t="shared" si="3"/>
        <v>0</v>
      </c>
    </row>
    <row r="63" spans="1:32" ht="18.75" customHeight="1" x14ac:dyDescent="0.25">
      <c r="A63" s="98"/>
      <c r="B63" s="33">
        <f t="shared" si="4"/>
        <v>44</v>
      </c>
      <c r="C63" s="72">
        <f>'CBPA - PAY'!C64</f>
        <v>0</v>
      </c>
      <c r="D63" s="72" t="e">
        <f>'CBPA - PAY'!D64</f>
        <v>#N/A</v>
      </c>
      <c r="E63" s="306">
        <f>'CBPA - PAY'!E64</f>
        <v>0</v>
      </c>
      <c r="F63" s="49">
        <f>'CBPA - PAY'!L64</f>
        <v>0</v>
      </c>
      <c r="G63" s="36">
        <f>ROUND('CBPA - PAY'!I64*0.09,2)</f>
        <v>0</v>
      </c>
      <c r="H63" s="91"/>
      <c r="I63" s="91"/>
      <c r="J63" s="91"/>
      <c r="K63" s="91"/>
      <c r="L63" s="91"/>
      <c r="M63" s="91"/>
      <c r="N63" s="91"/>
      <c r="O63" s="91"/>
      <c r="P63" s="91"/>
      <c r="Q63" s="91"/>
      <c r="R63" s="41">
        <f t="shared" si="0"/>
        <v>0</v>
      </c>
      <c r="S63" s="86"/>
      <c r="T63" s="90"/>
      <c r="U63" s="91"/>
      <c r="V63" s="91"/>
      <c r="W63" s="91"/>
      <c r="X63" s="38">
        <f t="shared" si="2"/>
        <v>0</v>
      </c>
      <c r="Y63" s="49">
        <f>MIN(ROUNDDOWN('CBPA - PAY'!I64*0.05/2,2),2500)</f>
        <v>0</v>
      </c>
      <c r="Z63" s="89"/>
      <c r="AA63" s="90"/>
      <c r="AB63" s="88"/>
      <c r="AC63" s="91"/>
      <c r="AD63" s="91"/>
      <c r="AE63" s="35">
        <f t="shared" si="1"/>
        <v>0</v>
      </c>
      <c r="AF63" s="62">
        <f t="shared" si="3"/>
        <v>0</v>
      </c>
    </row>
    <row r="64" spans="1:32" ht="18.75" customHeight="1" x14ac:dyDescent="0.25">
      <c r="A64" s="98"/>
      <c r="B64" s="33">
        <f t="shared" si="4"/>
        <v>45</v>
      </c>
      <c r="C64" s="72">
        <f>'CBPA - PAY'!C65</f>
        <v>0</v>
      </c>
      <c r="D64" s="72" t="e">
        <f>'CBPA - PAY'!D65</f>
        <v>#N/A</v>
      </c>
      <c r="E64" s="306">
        <f>'CBPA - PAY'!E65</f>
        <v>0</v>
      </c>
      <c r="F64" s="49">
        <f>'CBPA - PAY'!L65</f>
        <v>0</v>
      </c>
      <c r="G64" s="36">
        <f>ROUND('CBPA - PAY'!I65*0.09,2)</f>
        <v>0</v>
      </c>
      <c r="H64" s="88"/>
      <c r="I64" s="88"/>
      <c r="J64" s="88"/>
      <c r="K64" s="88"/>
      <c r="L64" s="88"/>
      <c r="M64" s="88"/>
      <c r="N64" s="88"/>
      <c r="O64" s="88"/>
      <c r="P64" s="88"/>
      <c r="Q64" s="88"/>
      <c r="R64" s="41">
        <f t="shared" si="0"/>
        <v>0</v>
      </c>
      <c r="S64" s="86"/>
      <c r="T64" s="87"/>
      <c r="U64" s="88"/>
      <c r="V64" s="88"/>
      <c r="W64" s="88"/>
      <c r="X64" s="38">
        <f t="shared" si="2"/>
        <v>0</v>
      </c>
      <c r="Y64" s="49">
        <f>MIN(ROUNDDOWN('CBPA - PAY'!I65*0.05/2,2),2500)</f>
        <v>0</v>
      </c>
      <c r="Z64" s="86"/>
      <c r="AA64" s="87"/>
      <c r="AB64" s="88"/>
      <c r="AC64" s="88"/>
      <c r="AD64" s="88"/>
      <c r="AE64" s="35">
        <f t="shared" si="1"/>
        <v>0</v>
      </c>
      <c r="AF64" s="62">
        <f t="shared" si="3"/>
        <v>0</v>
      </c>
    </row>
    <row r="65" spans="1:32" ht="18.75" customHeight="1" x14ac:dyDescent="0.25">
      <c r="A65" s="98"/>
      <c r="B65" s="33">
        <f t="shared" si="4"/>
        <v>46</v>
      </c>
      <c r="C65" s="72">
        <f>'CBPA - PAY'!C66</f>
        <v>0</v>
      </c>
      <c r="D65" s="72" t="e">
        <f>'CBPA - PAY'!D66</f>
        <v>#N/A</v>
      </c>
      <c r="E65" s="306">
        <f>'CBPA - PAY'!E66</f>
        <v>0</v>
      </c>
      <c r="F65" s="49">
        <f>'CBPA - PAY'!L66</f>
        <v>0</v>
      </c>
      <c r="G65" s="36">
        <f>ROUND('CBPA - PAY'!I66*0.09,2)</f>
        <v>0</v>
      </c>
      <c r="H65" s="91"/>
      <c r="I65" s="91"/>
      <c r="J65" s="91"/>
      <c r="K65" s="91"/>
      <c r="L65" s="91"/>
      <c r="M65" s="91"/>
      <c r="N65" s="91"/>
      <c r="O65" s="91"/>
      <c r="P65" s="91"/>
      <c r="Q65" s="91"/>
      <c r="R65" s="41">
        <f t="shared" si="0"/>
        <v>0</v>
      </c>
      <c r="S65" s="86"/>
      <c r="T65" s="90"/>
      <c r="U65" s="91"/>
      <c r="V65" s="91"/>
      <c r="W65" s="91"/>
      <c r="X65" s="38">
        <f t="shared" si="2"/>
        <v>0</v>
      </c>
      <c r="Y65" s="49">
        <f>MIN(ROUNDDOWN('CBPA - PAY'!I66*0.05/2,2),2500)</f>
        <v>0</v>
      </c>
      <c r="Z65" s="89"/>
      <c r="AA65" s="90"/>
      <c r="AB65" s="88"/>
      <c r="AC65" s="91"/>
      <c r="AD65" s="91"/>
      <c r="AE65" s="35">
        <f t="shared" si="1"/>
        <v>0</v>
      </c>
      <c r="AF65" s="62">
        <f t="shared" si="3"/>
        <v>0</v>
      </c>
    </row>
    <row r="66" spans="1:32" ht="18.75" customHeight="1" x14ac:dyDescent="0.25">
      <c r="A66" s="98"/>
      <c r="B66" s="33">
        <f t="shared" ref="B66:B89" si="5">+B41+1</f>
        <v>23</v>
      </c>
      <c r="C66" s="72">
        <f>'CBPA - PAY'!C67</f>
        <v>0</v>
      </c>
      <c r="D66" s="72" t="e">
        <f>'CBPA - PAY'!D67</f>
        <v>#N/A</v>
      </c>
      <c r="E66" s="306">
        <f>'CBPA - PAY'!E67</f>
        <v>0</v>
      </c>
      <c r="F66" s="49">
        <f>'CBPA - PAY'!L67</f>
        <v>0</v>
      </c>
      <c r="G66" s="36">
        <f>ROUND('CBPA - PAY'!I67*0.09,2)</f>
        <v>0</v>
      </c>
      <c r="H66" s="88"/>
      <c r="I66" s="88"/>
      <c r="J66" s="88"/>
      <c r="K66" s="88"/>
      <c r="L66" s="88"/>
      <c r="M66" s="88"/>
      <c r="N66" s="88"/>
      <c r="O66" s="88"/>
      <c r="P66" s="88"/>
      <c r="Q66" s="88"/>
      <c r="R66" s="41">
        <f t="shared" ref="R66:R89" si="6">SUM(G66:Q66)</f>
        <v>0</v>
      </c>
      <c r="S66" s="86"/>
      <c r="T66" s="87"/>
      <c r="U66" s="88"/>
      <c r="V66" s="88"/>
      <c r="W66" s="88"/>
      <c r="X66" s="38">
        <f t="shared" ref="X66:X89" si="7">SUM(S66:W66)</f>
        <v>0</v>
      </c>
      <c r="Y66" s="49">
        <f>MIN(ROUNDDOWN('CBPA - PAY'!I67*0.05/2,2),2500)</f>
        <v>0</v>
      </c>
      <c r="Z66" s="86"/>
      <c r="AA66" s="87"/>
      <c r="AB66" s="88"/>
      <c r="AC66" s="88"/>
      <c r="AD66" s="88"/>
      <c r="AE66" s="35">
        <f t="shared" ref="AE66:AE89" si="8">SUM(Z66:AD66)</f>
        <v>0</v>
      </c>
      <c r="AF66" s="62">
        <f t="shared" ref="AF66:AF89" si="9">SUM(F66,R66,X66,Y66,AE66)</f>
        <v>0</v>
      </c>
    </row>
    <row r="67" spans="1:32" ht="18.75" customHeight="1" x14ac:dyDescent="0.25">
      <c r="A67" s="98"/>
      <c r="B67" s="33">
        <f t="shared" si="5"/>
        <v>24</v>
      </c>
      <c r="C67" s="72">
        <f>'CBPA - PAY'!C68</f>
        <v>0</v>
      </c>
      <c r="D67" s="72" t="e">
        <f>'CBPA - PAY'!D68</f>
        <v>#N/A</v>
      </c>
      <c r="E67" s="306">
        <f>'CBPA - PAY'!E68</f>
        <v>0</v>
      </c>
      <c r="F67" s="49">
        <f>'CBPA - PAY'!L68</f>
        <v>0</v>
      </c>
      <c r="G67" s="36">
        <f>ROUND('CBPA - PAY'!I68*0.09,2)</f>
        <v>0</v>
      </c>
      <c r="H67" s="88"/>
      <c r="I67" s="88"/>
      <c r="J67" s="88"/>
      <c r="K67" s="88"/>
      <c r="L67" s="88"/>
      <c r="M67" s="88"/>
      <c r="N67" s="88"/>
      <c r="O67" s="88"/>
      <c r="P67" s="88"/>
      <c r="Q67" s="88"/>
      <c r="R67" s="41">
        <f t="shared" si="6"/>
        <v>0</v>
      </c>
      <c r="S67" s="86"/>
      <c r="T67" s="87"/>
      <c r="U67" s="88"/>
      <c r="V67" s="88"/>
      <c r="W67" s="88"/>
      <c r="X67" s="38">
        <f t="shared" si="7"/>
        <v>0</v>
      </c>
      <c r="Y67" s="49">
        <f>MIN(ROUNDDOWN('CBPA - PAY'!I68*0.05/2,2),2500)</f>
        <v>0</v>
      </c>
      <c r="Z67" s="86"/>
      <c r="AA67" s="87"/>
      <c r="AB67" s="88"/>
      <c r="AC67" s="88"/>
      <c r="AD67" s="88"/>
      <c r="AE67" s="35">
        <f t="shared" si="8"/>
        <v>0</v>
      </c>
      <c r="AF67" s="62">
        <f t="shared" si="9"/>
        <v>0</v>
      </c>
    </row>
    <row r="68" spans="1:32" ht="18.75" customHeight="1" x14ac:dyDescent="0.25">
      <c r="A68" s="98"/>
      <c r="B68" s="33">
        <f t="shared" si="5"/>
        <v>25</v>
      </c>
      <c r="C68" s="72">
        <f>'CBPA - PAY'!C69</f>
        <v>0</v>
      </c>
      <c r="D68" s="72" t="e">
        <f>'CBPA - PAY'!D69</f>
        <v>#N/A</v>
      </c>
      <c r="E68" s="306">
        <f>'CBPA - PAY'!E69</f>
        <v>0</v>
      </c>
      <c r="F68" s="49">
        <f>'CBPA - PAY'!L69</f>
        <v>0</v>
      </c>
      <c r="G68" s="36">
        <f>ROUND('CBPA - PAY'!I69*0.09,2)</f>
        <v>0</v>
      </c>
      <c r="H68" s="88"/>
      <c r="I68" s="88"/>
      <c r="J68" s="88"/>
      <c r="K68" s="88"/>
      <c r="L68" s="88"/>
      <c r="M68" s="88"/>
      <c r="N68" s="88"/>
      <c r="O68" s="88"/>
      <c r="P68" s="88"/>
      <c r="Q68" s="88"/>
      <c r="R68" s="41">
        <f t="shared" si="6"/>
        <v>0</v>
      </c>
      <c r="S68" s="86"/>
      <c r="T68" s="87"/>
      <c r="U68" s="88"/>
      <c r="V68" s="88"/>
      <c r="W68" s="88"/>
      <c r="X68" s="38">
        <f t="shared" si="7"/>
        <v>0</v>
      </c>
      <c r="Y68" s="49">
        <f>MIN(ROUNDDOWN('CBPA - PAY'!I69*0.05/2,2),2500)</f>
        <v>0</v>
      </c>
      <c r="Z68" s="86"/>
      <c r="AA68" s="87"/>
      <c r="AB68" s="88"/>
      <c r="AC68" s="88"/>
      <c r="AD68" s="88"/>
      <c r="AE68" s="35">
        <f t="shared" si="8"/>
        <v>0</v>
      </c>
      <c r="AF68" s="62">
        <f t="shared" si="9"/>
        <v>0</v>
      </c>
    </row>
    <row r="69" spans="1:32" ht="18.75" customHeight="1" x14ac:dyDescent="0.25">
      <c r="A69" s="98"/>
      <c r="B69" s="33">
        <f t="shared" si="5"/>
        <v>26</v>
      </c>
      <c r="C69" s="72">
        <f>'CBPA - PAY'!C70</f>
        <v>0</v>
      </c>
      <c r="D69" s="72" t="e">
        <f>'CBPA - PAY'!D70</f>
        <v>#N/A</v>
      </c>
      <c r="E69" s="306">
        <f>'CBPA - PAY'!E70</f>
        <v>0</v>
      </c>
      <c r="F69" s="49">
        <f>'CBPA - PAY'!L70</f>
        <v>0</v>
      </c>
      <c r="G69" s="36">
        <f>ROUND('CBPA - PAY'!I70*0.09,2)</f>
        <v>0</v>
      </c>
      <c r="H69" s="88"/>
      <c r="I69" s="88"/>
      <c r="J69" s="88"/>
      <c r="K69" s="88"/>
      <c r="L69" s="88"/>
      <c r="M69" s="88"/>
      <c r="N69" s="88"/>
      <c r="O69" s="88"/>
      <c r="P69" s="88"/>
      <c r="Q69" s="88"/>
      <c r="R69" s="41">
        <f t="shared" si="6"/>
        <v>0</v>
      </c>
      <c r="S69" s="86"/>
      <c r="T69" s="87"/>
      <c r="U69" s="88"/>
      <c r="V69" s="88"/>
      <c r="W69" s="88"/>
      <c r="X69" s="38">
        <f t="shared" si="7"/>
        <v>0</v>
      </c>
      <c r="Y69" s="49">
        <f>MIN(ROUNDDOWN('CBPA - PAY'!I70*0.05/2,2),2500)</f>
        <v>0</v>
      </c>
      <c r="Z69" s="86"/>
      <c r="AA69" s="87"/>
      <c r="AB69" s="88"/>
      <c r="AC69" s="88"/>
      <c r="AD69" s="88"/>
      <c r="AE69" s="35">
        <f t="shared" si="8"/>
        <v>0</v>
      </c>
      <c r="AF69" s="62">
        <f t="shared" si="9"/>
        <v>0</v>
      </c>
    </row>
    <row r="70" spans="1:32" ht="18.75" customHeight="1" x14ac:dyDescent="0.25">
      <c r="A70" s="98"/>
      <c r="B70" s="33">
        <f t="shared" si="5"/>
        <v>27</v>
      </c>
      <c r="C70" s="72">
        <f>'CBPA - PAY'!C71</f>
        <v>0</v>
      </c>
      <c r="D70" s="72" t="e">
        <f>'CBPA - PAY'!D71</f>
        <v>#N/A</v>
      </c>
      <c r="E70" s="306">
        <f>'CBPA - PAY'!E71</f>
        <v>0</v>
      </c>
      <c r="F70" s="49">
        <f>'CBPA - PAY'!L71</f>
        <v>0</v>
      </c>
      <c r="G70" s="36">
        <f>ROUND('CBPA - PAY'!I71*0.09,2)</f>
        <v>0</v>
      </c>
      <c r="H70" s="88"/>
      <c r="I70" s="88"/>
      <c r="J70" s="88"/>
      <c r="K70" s="88"/>
      <c r="L70" s="88"/>
      <c r="M70" s="88"/>
      <c r="N70" s="88"/>
      <c r="O70" s="88"/>
      <c r="P70" s="88"/>
      <c r="Q70" s="88"/>
      <c r="R70" s="41">
        <f t="shared" si="6"/>
        <v>0</v>
      </c>
      <c r="S70" s="86"/>
      <c r="T70" s="87"/>
      <c r="U70" s="88"/>
      <c r="V70" s="88"/>
      <c r="W70" s="88"/>
      <c r="X70" s="38">
        <f t="shared" si="7"/>
        <v>0</v>
      </c>
      <c r="Y70" s="49">
        <f>MIN(ROUNDDOWN('CBPA - PAY'!I71*0.05/2,2),2500)</f>
        <v>0</v>
      </c>
      <c r="Z70" s="86"/>
      <c r="AA70" s="87"/>
      <c r="AB70" s="88"/>
      <c r="AC70" s="88"/>
      <c r="AD70" s="88"/>
      <c r="AE70" s="35">
        <f t="shared" si="8"/>
        <v>0</v>
      </c>
      <c r="AF70" s="62">
        <f t="shared" si="9"/>
        <v>0</v>
      </c>
    </row>
    <row r="71" spans="1:32" ht="18.75" customHeight="1" x14ac:dyDescent="0.25">
      <c r="A71" s="98"/>
      <c r="B71" s="33">
        <f t="shared" si="5"/>
        <v>28</v>
      </c>
      <c r="C71" s="72">
        <f>'CBPA - PAY'!C72</f>
        <v>0</v>
      </c>
      <c r="D71" s="72" t="e">
        <f>'CBPA - PAY'!D72</f>
        <v>#N/A</v>
      </c>
      <c r="E71" s="306">
        <f>'CBPA - PAY'!E72</f>
        <v>0</v>
      </c>
      <c r="F71" s="49">
        <f>'CBPA - PAY'!L72</f>
        <v>0</v>
      </c>
      <c r="G71" s="36">
        <f>ROUND('CBPA - PAY'!I72*0.09,2)</f>
        <v>0</v>
      </c>
      <c r="H71" s="88"/>
      <c r="I71" s="88"/>
      <c r="J71" s="88"/>
      <c r="K71" s="88"/>
      <c r="L71" s="88"/>
      <c r="M71" s="88"/>
      <c r="N71" s="88"/>
      <c r="O71" s="88"/>
      <c r="P71" s="88"/>
      <c r="Q71" s="88"/>
      <c r="R71" s="41">
        <f t="shared" si="6"/>
        <v>0</v>
      </c>
      <c r="S71" s="86"/>
      <c r="T71" s="87"/>
      <c r="U71" s="88"/>
      <c r="V71" s="88"/>
      <c r="W71" s="88"/>
      <c r="X71" s="38">
        <f t="shared" si="7"/>
        <v>0</v>
      </c>
      <c r="Y71" s="49">
        <f>MIN(ROUNDDOWN('CBPA - PAY'!I72*0.05/2,2),2500)</f>
        <v>0</v>
      </c>
      <c r="Z71" s="86"/>
      <c r="AA71" s="87"/>
      <c r="AB71" s="88"/>
      <c r="AC71" s="88"/>
      <c r="AD71" s="88"/>
      <c r="AE71" s="35">
        <f t="shared" si="8"/>
        <v>0</v>
      </c>
      <c r="AF71" s="62">
        <f t="shared" si="9"/>
        <v>0</v>
      </c>
    </row>
    <row r="72" spans="1:32" ht="18.75" customHeight="1" x14ac:dyDescent="0.25">
      <c r="A72" s="98"/>
      <c r="B72" s="33">
        <f t="shared" si="5"/>
        <v>29</v>
      </c>
      <c r="C72" s="72">
        <f>'CBPA - PAY'!C73</f>
        <v>0</v>
      </c>
      <c r="D72" s="72" t="e">
        <f>'CBPA - PAY'!D73</f>
        <v>#N/A</v>
      </c>
      <c r="E72" s="306">
        <f>'CBPA - PAY'!E73</f>
        <v>0</v>
      </c>
      <c r="F72" s="49">
        <f>'CBPA - PAY'!L73</f>
        <v>0</v>
      </c>
      <c r="G72" s="36">
        <f>ROUND('CBPA - PAY'!I73*0.09,2)</f>
        <v>0</v>
      </c>
      <c r="H72" s="88"/>
      <c r="I72" s="88"/>
      <c r="J72" s="88"/>
      <c r="K72" s="88"/>
      <c r="L72" s="88"/>
      <c r="M72" s="88"/>
      <c r="N72" s="88"/>
      <c r="O72" s="88"/>
      <c r="P72" s="88"/>
      <c r="Q72" s="88"/>
      <c r="R72" s="41">
        <f t="shared" si="6"/>
        <v>0</v>
      </c>
      <c r="S72" s="86"/>
      <c r="T72" s="87"/>
      <c r="U72" s="88"/>
      <c r="V72" s="88"/>
      <c r="W72" s="88"/>
      <c r="X72" s="38">
        <f t="shared" si="7"/>
        <v>0</v>
      </c>
      <c r="Y72" s="49">
        <f>MIN(ROUNDDOWN('CBPA - PAY'!I73*0.05/2,2),2500)</f>
        <v>0</v>
      </c>
      <c r="Z72" s="86"/>
      <c r="AA72" s="87"/>
      <c r="AB72" s="88"/>
      <c r="AC72" s="88"/>
      <c r="AD72" s="88"/>
      <c r="AE72" s="35">
        <f t="shared" si="8"/>
        <v>0</v>
      </c>
      <c r="AF72" s="62">
        <f t="shared" si="9"/>
        <v>0</v>
      </c>
    </row>
    <row r="73" spans="1:32" ht="18.75" customHeight="1" x14ac:dyDescent="0.25">
      <c r="A73" s="98"/>
      <c r="B73" s="33">
        <f t="shared" si="5"/>
        <v>30</v>
      </c>
      <c r="C73" s="72">
        <f>'CBPA - PAY'!C74</f>
        <v>0</v>
      </c>
      <c r="D73" s="72" t="e">
        <f>'CBPA - PAY'!D74</f>
        <v>#N/A</v>
      </c>
      <c r="E73" s="306">
        <f>'CBPA - PAY'!E74</f>
        <v>0</v>
      </c>
      <c r="F73" s="49">
        <f>'CBPA - PAY'!L74</f>
        <v>0</v>
      </c>
      <c r="G73" s="36">
        <f>ROUND('CBPA - PAY'!I74*0.09,2)</f>
        <v>0</v>
      </c>
      <c r="H73" s="88"/>
      <c r="I73" s="88"/>
      <c r="J73" s="88"/>
      <c r="K73" s="88"/>
      <c r="L73" s="88"/>
      <c r="M73" s="88"/>
      <c r="N73" s="88"/>
      <c r="O73" s="88"/>
      <c r="P73" s="88"/>
      <c r="Q73" s="88"/>
      <c r="R73" s="41">
        <f t="shared" si="6"/>
        <v>0</v>
      </c>
      <c r="S73" s="86"/>
      <c r="T73" s="87"/>
      <c r="U73" s="88"/>
      <c r="V73" s="88"/>
      <c r="W73" s="88"/>
      <c r="X73" s="38">
        <f t="shared" si="7"/>
        <v>0</v>
      </c>
      <c r="Y73" s="49">
        <f>MIN(ROUNDDOWN('CBPA - PAY'!I74*0.05/2,2),2500)</f>
        <v>0</v>
      </c>
      <c r="Z73" s="86"/>
      <c r="AA73" s="87"/>
      <c r="AB73" s="88"/>
      <c r="AC73" s="88"/>
      <c r="AD73" s="88"/>
      <c r="AE73" s="35">
        <f t="shared" si="8"/>
        <v>0</v>
      </c>
      <c r="AF73" s="62">
        <f t="shared" si="9"/>
        <v>0</v>
      </c>
    </row>
    <row r="74" spans="1:32" ht="18.75" customHeight="1" x14ac:dyDescent="0.25">
      <c r="A74" s="98"/>
      <c r="B74" s="33">
        <f t="shared" si="5"/>
        <v>31</v>
      </c>
      <c r="C74" s="72">
        <f>'CBPA - PAY'!C75</f>
        <v>0</v>
      </c>
      <c r="D74" s="72" t="e">
        <f>'CBPA - PAY'!D75</f>
        <v>#N/A</v>
      </c>
      <c r="E74" s="306">
        <f>'CBPA - PAY'!E75</f>
        <v>0</v>
      </c>
      <c r="F74" s="49">
        <f>'CBPA - PAY'!L75</f>
        <v>0</v>
      </c>
      <c r="G74" s="36">
        <f>ROUND('CBPA - PAY'!I75*0.09,2)</f>
        <v>0</v>
      </c>
      <c r="H74" s="88"/>
      <c r="I74" s="88"/>
      <c r="J74" s="88"/>
      <c r="K74" s="88"/>
      <c r="L74" s="88"/>
      <c r="M74" s="88"/>
      <c r="N74" s="88"/>
      <c r="O74" s="88"/>
      <c r="P74" s="88"/>
      <c r="Q74" s="88"/>
      <c r="R74" s="41">
        <f t="shared" si="6"/>
        <v>0</v>
      </c>
      <c r="S74" s="86"/>
      <c r="T74" s="87"/>
      <c r="U74" s="88"/>
      <c r="V74" s="88"/>
      <c r="W74" s="88"/>
      <c r="X74" s="38">
        <f t="shared" si="7"/>
        <v>0</v>
      </c>
      <c r="Y74" s="49">
        <f>MIN(ROUNDDOWN('CBPA - PAY'!I75*0.05/2,2),2500)</f>
        <v>0</v>
      </c>
      <c r="Z74" s="86"/>
      <c r="AA74" s="87"/>
      <c r="AB74" s="88"/>
      <c r="AC74" s="88"/>
      <c r="AD74" s="88"/>
      <c r="AE74" s="35">
        <f t="shared" si="8"/>
        <v>0</v>
      </c>
      <c r="AF74" s="62">
        <f t="shared" si="9"/>
        <v>0</v>
      </c>
    </row>
    <row r="75" spans="1:32" ht="18.75" customHeight="1" x14ac:dyDescent="0.25">
      <c r="A75" s="98"/>
      <c r="B75" s="33">
        <f t="shared" si="5"/>
        <v>32</v>
      </c>
      <c r="C75" s="72">
        <f>'CBPA - PAY'!C76</f>
        <v>0</v>
      </c>
      <c r="D75" s="72" t="e">
        <f>'CBPA - PAY'!D76</f>
        <v>#N/A</v>
      </c>
      <c r="E75" s="306">
        <f>'CBPA - PAY'!E76</f>
        <v>0</v>
      </c>
      <c r="F75" s="49">
        <f>'CBPA - PAY'!L76</f>
        <v>0</v>
      </c>
      <c r="G75" s="36">
        <f>ROUND('CBPA - PAY'!I76*0.09,2)</f>
        <v>0</v>
      </c>
      <c r="H75" s="88"/>
      <c r="I75" s="88"/>
      <c r="J75" s="88"/>
      <c r="K75" s="88"/>
      <c r="L75" s="88"/>
      <c r="M75" s="88"/>
      <c r="N75" s="88"/>
      <c r="O75" s="88"/>
      <c r="P75" s="88"/>
      <c r="Q75" s="88"/>
      <c r="R75" s="41">
        <f t="shared" si="6"/>
        <v>0</v>
      </c>
      <c r="S75" s="86"/>
      <c r="T75" s="87"/>
      <c r="U75" s="88"/>
      <c r="V75" s="88"/>
      <c r="W75" s="88"/>
      <c r="X75" s="38">
        <f t="shared" si="7"/>
        <v>0</v>
      </c>
      <c r="Y75" s="49">
        <f>MIN(ROUNDDOWN('CBPA - PAY'!I76*0.05/2,2),2500)</f>
        <v>0</v>
      </c>
      <c r="Z75" s="86"/>
      <c r="AA75" s="87"/>
      <c r="AB75" s="88"/>
      <c r="AC75" s="88"/>
      <c r="AD75" s="88"/>
      <c r="AE75" s="35">
        <f t="shared" si="8"/>
        <v>0</v>
      </c>
      <c r="AF75" s="62">
        <f t="shared" si="9"/>
        <v>0</v>
      </c>
    </row>
    <row r="76" spans="1:32" ht="18.75" customHeight="1" x14ac:dyDescent="0.25">
      <c r="A76" s="98"/>
      <c r="B76" s="33">
        <f t="shared" si="5"/>
        <v>33</v>
      </c>
      <c r="C76" s="72">
        <f>'CBPA - PAY'!C77</f>
        <v>0</v>
      </c>
      <c r="D76" s="72" t="e">
        <f>'CBPA - PAY'!D77</f>
        <v>#N/A</v>
      </c>
      <c r="E76" s="306">
        <f>'CBPA - PAY'!E77</f>
        <v>0</v>
      </c>
      <c r="F76" s="49">
        <f>'CBPA - PAY'!L77</f>
        <v>0</v>
      </c>
      <c r="G76" s="36">
        <f>ROUND('CBPA - PAY'!I77*0.09,2)</f>
        <v>0</v>
      </c>
      <c r="H76" s="88"/>
      <c r="I76" s="88"/>
      <c r="J76" s="88"/>
      <c r="K76" s="88"/>
      <c r="L76" s="88"/>
      <c r="M76" s="88"/>
      <c r="N76" s="88"/>
      <c r="O76" s="88"/>
      <c r="P76" s="88"/>
      <c r="Q76" s="88"/>
      <c r="R76" s="41">
        <f t="shared" si="6"/>
        <v>0</v>
      </c>
      <c r="S76" s="86"/>
      <c r="T76" s="87"/>
      <c r="U76" s="88"/>
      <c r="V76" s="88"/>
      <c r="W76" s="88"/>
      <c r="X76" s="38">
        <f t="shared" si="7"/>
        <v>0</v>
      </c>
      <c r="Y76" s="49">
        <f>MIN(ROUNDDOWN('CBPA - PAY'!I77*0.05/2,2),2500)</f>
        <v>0</v>
      </c>
      <c r="Z76" s="86"/>
      <c r="AA76" s="87"/>
      <c r="AB76" s="88"/>
      <c r="AC76" s="88"/>
      <c r="AD76" s="88"/>
      <c r="AE76" s="35">
        <f t="shared" si="8"/>
        <v>0</v>
      </c>
      <c r="AF76" s="62">
        <f t="shared" si="9"/>
        <v>0</v>
      </c>
    </row>
    <row r="77" spans="1:32" ht="18.75" customHeight="1" x14ac:dyDescent="0.25">
      <c r="A77" s="98"/>
      <c r="B77" s="33">
        <f t="shared" si="5"/>
        <v>34</v>
      </c>
      <c r="C77" s="72">
        <f>'CBPA - PAY'!C78</f>
        <v>0</v>
      </c>
      <c r="D77" s="72" t="e">
        <f>'CBPA - PAY'!D78</f>
        <v>#N/A</v>
      </c>
      <c r="E77" s="306">
        <f>'CBPA - PAY'!E78</f>
        <v>0</v>
      </c>
      <c r="F77" s="49">
        <f>'CBPA - PAY'!L78</f>
        <v>0</v>
      </c>
      <c r="G77" s="36">
        <f>ROUND('CBPA - PAY'!I78*0.09,2)</f>
        <v>0</v>
      </c>
      <c r="H77" s="88"/>
      <c r="I77" s="88"/>
      <c r="J77" s="88"/>
      <c r="K77" s="88"/>
      <c r="L77" s="88"/>
      <c r="M77" s="88"/>
      <c r="N77" s="88"/>
      <c r="O77" s="88"/>
      <c r="P77" s="88"/>
      <c r="Q77" s="88"/>
      <c r="R77" s="41">
        <f t="shared" si="6"/>
        <v>0</v>
      </c>
      <c r="S77" s="86"/>
      <c r="T77" s="87"/>
      <c r="U77" s="88"/>
      <c r="V77" s="88"/>
      <c r="W77" s="88"/>
      <c r="X77" s="38">
        <f t="shared" si="7"/>
        <v>0</v>
      </c>
      <c r="Y77" s="49">
        <f>MIN(ROUNDDOWN('CBPA - PAY'!I78*0.05/2,2),2500)</f>
        <v>0</v>
      </c>
      <c r="Z77" s="86"/>
      <c r="AA77" s="87"/>
      <c r="AB77" s="88"/>
      <c r="AC77" s="88"/>
      <c r="AD77" s="88"/>
      <c r="AE77" s="35">
        <f t="shared" si="8"/>
        <v>0</v>
      </c>
      <c r="AF77" s="62">
        <f t="shared" si="9"/>
        <v>0</v>
      </c>
    </row>
    <row r="78" spans="1:32" ht="18.75" customHeight="1" x14ac:dyDescent="0.25">
      <c r="A78" s="98"/>
      <c r="B78" s="33">
        <f t="shared" si="5"/>
        <v>35</v>
      </c>
      <c r="C78" s="72">
        <f>'CBPA - PAY'!C79</f>
        <v>0</v>
      </c>
      <c r="D78" s="72" t="e">
        <f>'CBPA - PAY'!D79</f>
        <v>#N/A</v>
      </c>
      <c r="E78" s="306">
        <f>'CBPA - PAY'!E79</f>
        <v>0</v>
      </c>
      <c r="F78" s="49">
        <f>'CBPA - PAY'!L79</f>
        <v>0</v>
      </c>
      <c r="G78" s="36">
        <f>ROUND('CBPA - PAY'!I79*0.09,2)</f>
        <v>0</v>
      </c>
      <c r="H78" s="88"/>
      <c r="I78" s="88"/>
      <c r="J78" s="88"/>
      <c r="K78" s="88"/>
      <c r="L78" s="88"/>
      <c r="M78" s="88"/>
      <c r="N78" s="88"/>
      <c r="O78" s="88"/>
      <c r="P78" s="88"/>
      <c r="Q78" s="88"/>
      <c r="R78" s="41">
        <f t="shared" si="6"/>
        <v>0</v>
      </c>
      <c r="S78" s="86"/>
      <c r="T78" s="87"/>
      <c r="U78" s="88"/>
      <c r="V78" s="88"/>
      <c r="W78" s="88"/>
      <c r="X78" s="38">
        <f t="shared" si="7"/>
        <v>0</v>
      </c>
      <c r="Y78" s="49">
        <f>MIN(ROUNDDOWN('CBPA - PAY'!I79*0.05/2,2),2500)</f>
        <v>0</v>
      </c>
      <c r="Z78" s="86"/>
      <c r="AA78" s="87"/>
      <c r="AB78" s="88"/>
      <c r="AC78" s="88"/>
      <c r="AD78" s="88"/>
      <c r="AE78" s="35">
        <f t="shared" si="8"/>
        <v>0</v>
      </c>
      <c r="AF78" s="62">
        <f t="shared" si="9"/>
        <v>0</v>
      </c>
    </row>
    <row r="79" spans="1:32" ht="18.75" customHeight="1" x14ac:dyDescent="0.25">
      <c r="A79" s="98"/>
      <c r="B79" s="33">
        <f t="shared" si="5"/>
        <v>36</v>
      </c>
      <c r="C79" s="72">
        <f>'CBPA - PAY'!C80</f>
        <v>0</v>
      </c>
      <c r="D79" s="72" t="e">
        <f>'CBPA - PAY'!D80</f>
        <v>#N/A</v>
      </c>
      <c r="E79" s="306">
        <f>'CBPA - PAY'!E80</f>
        <v>0</v>
      </c>
      <c r="F79" s="49">
        <f>'CBPA - PAY'!L80</f>
        <v>0</v>
      </c>
      <c r="G79" s="36">
        <f>ROUND('CBPA - PAY'!I80*0.09,2)</f>
        <v>0</v>
      </c>
      <c r="H79" s="88"/>
      <c r="I79" s="88"/>
      <c r="J79" s="88"/>
      <c r="K79" s="88"/>
      <c r="L79" s="88"/>
      <c r="M79" s="88"/>
      <c r="N79" s="88"/>
      <c r="O79" s="88"/>
      <c r="P79" s="88"/>
      <c r="Q79" s="88"/>
      <c r="R79" s="41">
        <f t="shared" si="6"/>
        <v>0</v>
      </c>
      <c r="S79" s="86"/>
      <c r="T79" s="87"/>
      <c r="U79" s="88"/>
      <c r="V79" s="88"/>
      <c r="W79" s="88"/>
      <c r="X79" s="38">
        <f t="shared" si="7"/>
        <v>0</v>
      </c>
      <c r="Y79" s="49">
        <f>MIN(ROUNDDOWN('CBPA - PAY'!I80*0.05/2,2),2500)</f>
        <v>0</v>
      </c>
      <c r="Z79" s="86"/>
      <c r="AA79" s="87"/>
      <c r="AB79" s="88"/>
      <c r="AC79" s="88"/>
      <c r="AD79" s="88"/>
      <c r="AE79" s="35">
        <f t="shared" si="8"/>
        <v>0</v>
      </c>
      <c r="AF79" s="62">
        <f t="shared" si="9"/>
        <v>0</v>
      </c>
    </row>
    <row r="80" spans="1:32" ht="18.75" customHeight="1" x14ac:dyDescent="0.25">
      <c r="A80" s="98"/>
      <c r="B80" s="33">
        <f t="shared" si="5"/>
        <v>37</v>
      </c>
      <c r="C80" s="72">
        <f>'CBPA - PAY'!C81</f>
        <v>0</v>
      </c>
      <c r="D80" s="72" t="e">
        <f>'CBPA - PAY'!D81</f>
        <v>#N/A</v>
      </c>
      <c r="E80" s="306">
        <f>'CBPA - PAY'!E81</f>
        <v>0</v>
      </c>
      <c r="F80" s="49">
        <f>'CBPA - PAY'!L81</f>
        <v>0</v>
      </c>
      <c r="G80" s="36">
        <f>ROUND('CBPA - PAY'!I81*0.09,2)</f>
        <v>0</v>
      </c>
      <c r="H80" s="88"/>
      <c r="I80" s="88"/>
      <c r="J80" s="88"/>
      <c r="K80" s="88"/>
      <c r="L80" s="88"/>
      <c r="M80" s="88"/>
      <c r="N80" s="88"/>
      <c r="O80" s="88"/>
      <c r="P80" s="88"/>
      <c r="Q80" s="88"/>
      <c r="R80" s="41">
        <f t="shared" si="6"/>
        <v>0</v>
      </c>
      <c r="S80" s="86"/>
      <c r="T80" s="87"/>
      <c r="U80" s="88"/>
      <c r="V80" s="88"/>
      <c r="W80" s="88"/>
      <c r="X80" s="38">
        <f t="shared" si="7"/>
        <v>0</v>
      </c>
      <c r="Y80" s="49">
        <f>MIN(ROUNDDOWN('CBPA - PAY'!I81*0.05/2,2),2500)</f>
        <v>0</v>
      </c>
      <c r="Z80" s="86"/>
      <c r="AA80" s="87"/>
      <c r="AB80" s="88"/>
      <c r="AC80" s="88"/>
      <c r="AD80" s="88"/>
      <c r="AE80" s="35">
        <f t="shared" si="8"/>
        <v>0</v>
      </c>
      <c r="AF80" s="62">
        <f t="shared" si="9"/>
        <v>0</v>
      </c>
    </row>
    <row r="81" spans="1:32" ht="18.75" customHeight="1" x14ac:dyDescent="0.25">
      <c r="A81" s="98"/>
      <c r="B81" s="33">
        <f t="shared" si="5"/>
        <v>38</v>
      </c>
      <c r="C81" s="72">
        <f>'CBPA - PAY'!C82</f>
        <v>0</v>
      </c>
      <c r="D81" s="72" t="e">
        <f>'CBPA - PAY'!D82</f>
        <v>#N/A</v>
      </c>
      <c r="E81" s="306">
        <f>'CBPA - PAY'!E82</f>
        <v>0</v>
      </c>
      <c r="F81" s="49">
        <f>'CBPA - PAY'!L82</f>
        <v>0</v>
      </c>
      <c r="G81" s="36">
        <f>ROUND('CBPA - PAY'!I82*0.09,2)</f>
        <v>0</v>
      </c>
      <c r="H81" s="88"/>
      <c r="I81" s="88"/>
      <c r="J81" s="88"/>
      <c r="K81" s="88"/>
      <c r="L81" s="88"/>
      <c r="M81" s="88"/>
      <c r="N81" s="88"/>
      <c r="O81" s="88"/>
      <c r="P81" s="88"/>
      <c r="Q81" s="88"/>
      <c r="R81" s="41">
        <f t="shared" si="6"/>
        <v>0</v>
      </c>
      <c r="S81" s="86"/>
      <c r="T81" s="87"/>
      <c r="U81" s="88"/>
      <c r="V81" s="88"/>
      <c r="W81" s="88"/>
      <c r="X81" s="38">
        <f t="shared" si="7"/>
        <v>0</v>
      </c>
      <c r="Y81" s="49">
        <f>MIN(ROUNDDOWN('CBPA - PAY'!I82*0.05/2,2),2500)</f>
        <v>0</v>
      </c>
      <c r="Z81" s="86"/>
      <c r="AA81" s="87"/>
      <c r="AB81" s="88"/>
      <c r="AC81" s="88"/>
      <c r="AD81" s="88"/>
      <c r="AE81" s="35">
        <f t="shared" si="8"/>
        <v>0</v>
      </c>
      <c r="AF81" s="62">
        <f t="shared" si="9"/>
        <v>0</v>
      </c>
    </row>
    <row r="82" spans="1:32" ht="18.75" customHeight="1" x14ac:dyDescent="0.25">
      <c r="A82" s="98"/>
      <c r="B82" s="33">
        <f t="shared" si="5"/>
        <v>39</v>
      </c>
      <c r="C82" s="72">
        <f>'CBPA - PAY'!C83</f>
        <v>0</v>
      </c>
      <c r="D82" s="72" t="e">
        <f>'CBPA - PAY'!D83</f>
        <v>#N/A</v>
      </c>
      <c r="E82" s="306">
        <f>'CBPA - PAY'!E83</f>
        <v>0</v>
      </c>
      <c r="F82" s="49">
        <f>'CBPA - PAY'!L83</f>
        <v>0</v>
      </c>
      <c r="G82" s="36">
        <f>ROUND('CBPA - PAY'!I83*0.09,2)</f>
        <v>0</v>
      </c>
      <c r="H82" s="88"/>
      <c r="I82" s="88"/>
      <c r="J82" s="88"/>
      <c r="K82" s="88"/>
      <c r="L82" s="88"/>
      <c r="M82" s="88"/>
      <c r="N82" s="88"/>
      <c r="O82" s="88"/>
      <c r="P82" s="88"/>
      <c r="Q82" s="88"/>
      <c r="R82" s="41">
        <f t="shared" si="6"/>
        <v>0</v>
      </c>
      <c r="S82" s="86"/>
      <c r="T82" s="87"/>
      <c r="U82" s="88"/>
      <c r="V82" s="88"/>
      <c r="W82" s="88"/>
      <c r="X82" s="38">
        <f t="shared" si="7"/>
        <v>0</v>
      </c>
      <c r="Y82" s="49">
        <f>MIN(ROUNDDOWN('CBPA - PAY'!I83*0.05/2,2),2500)</f>
        <v>0</v>
      </c>
      <c r="Z82" s="86"/>
      <c r="AA82" s="87"/>
      <c r="AB82" s="88"/>
      <c r="AC82" s="88"/>
      <c r="AD82" s="88"/>
      <c r="AE82" s="35">
        <f t="shared" si="8"/>
        <v>0</v>
      </c>
      <c r="AF82" s="62">
        <f t="shared" si="9"/>
        <v>0</v>
      </c>
    </row>
    <row r="83" spans="1:32" ht="18.75" customHeight="1" x14ac:dyDescent="0.25">
      <c r="A83" s="98"/>
      <c r="B83" s="33">
        <f t="shared" si="5"/>
        <v>40</v>
      </c>
      <c r="C83" s="72">
        <f>'CBPA - PAY'!C84</f>
        <v>0</v>
      </c>
      <c r="D83" s="72" t="e">
        <f>'CBPA - PAY'!D84</f>
        <v>#N/A</v>
      </c>
      <c r="E83" s="306">
        <f>'CBPA - PAY'!E84</f>
        <v>0</v>
      </c>
      <c r="F83" s="49">
        <f>'CBPA - PAY'!L84</f>
        <v>0</v>
      </c>
      <c r="G83" s="36">
        <f>ROUND('CBPA - PAY'!I84*0.09,2)</f>
        <v>0</v>
      </c>
      <c r="H83" s="88"/>
      <c r="I83" s="88"/>
      <c r="J83" s="88"/>
      <c r="K83" s="88"/>
      <c r="L83" s="88"/>
      <c r="M83" s="88"/>
      <c r="N83" s="88"/>
      <c r="O83" s="88"/>
      <c r="P83" s="88"/>
      <c r="Q83" s="88"/>
      <c r="R83" s="41">
        <f t="shared" si="6"/>
        <v>0</v>
      </c>
      <c r="S83" s="86"/>
      <c r="T83" s="87"/>
      <c r="U83" s="88"/>
      <c r="V83" s="88"/>
      <c r="W83" s="88"/>
      <c r="X83" s="38">
        <f t="shared" si="7"/>
        <v>0</v>
      </c>
      <c r="Y83" s="49">
        <f>MIN(ROUNDDOWN('CBPA - PAY'!I84*0.05/2,2),2500)</f>
        <v>0</v>
      </c>
      <c r="Z83" s="86"/>
      <c r="AA83" s="87"/>
      <c r="AB83" s="88"/>
      <c r="AC83" s="88"/>
      <c r="AD83" s="88"/>
      <c r="AE83" s="35">
        <f t="shared" si="8"/>
        <v>0</v>
      </c>
      <c r="AF83" s="62">
        <f t="shared" si="9"/>
        <v>0</v>
      </c>
    </row>
    <row r="84" spans="1:32" ht="18.75" customHeight="1" x14ac:dyDescent="0.25">
      <c r="A84" s="98"/>
      <c r="B84" s="33">
        <f t="shared" si="5"/>
        <v>41</v>
      </c>
      <c r="C84" s="72">
        <f>'CBPA - PAY'!C85</f>
        <v>0</v>
      </c>
      <c r="D84" s="72" t="e">
        <f>'CBPA - PAY'!D85</f>
        <v>#N/A</v>
      </c>
      <c r="E84" s="306">
        <f>'CBPA - PAY'!E85</f>
        <v>0</v>
      </c>
      <c r="F84" s="49">
        <f>'CBPA - PAY'!L85</f>
        <v>0</v>
      </c>
      <c r="G84" s="36">
        <f>ROUND('CBPA - PAY'!I85*0.09,2)</f>
        <v>0</v>
      </c>
      <c r="H84" s="88"/>
      <c r="I84" s="88"/>
      <c r="J84" s="88"/>
      <c r="K84" s="88"/>
      <c r="L84" s="88"/>
      <c r="M84" s="88"/>
      <c r="N84" s="88"/>
      <c r="O84" s="88"/>
      <c r="P84" s="88"/>
      <c r="Q84" s="88"/>
      <c r="R84" s="41">
        <f t="shared" si="6"/>
        <v>0</v>
      </c>
      <c r="S84" s="86"/>
      <c r="T84" s="87"/>
      <c r="U84" s="88"/>
      <c r="V84" s="88"/>
      <c r="W84" s="88"/>
      <c r="X84" s="38">
        <f t="shared" si="7"/>
        <v>0</v>
      </c>
      <c r="Y84" s="49">
        <f>MIN(ROUNDDOWN('CBPA - PAY'!I85*0.05/2,2),2500)</f>
        <v>0</v>
      </c>
      <c r="Z84" s="86"/>
      <c r="AA84" s="87"/>
      <c r="AB84" s="88"/>
      <c r="AC84" s="88"/>
      <c r="AD84" s="88"/>
      <c r="AE84" s="35">
        <f t="shared" si="8"/>
        <v>0</v>
      </c>
      <c r="AF84" s="62">
        <f t="shared" si="9"/>
        <v>0</v>
      </c>
    </row>
    <row r="85" spans="1:32" ht="18.75" customHeight="1" x14ac:dyDescent="0.25">
      <c r="A85" s="98"/>
      <c r="B85" s="33">
        <f t="shared" si="5"/>
        <v>42</v>
      </c>
      <c r="C85" s="72">
        <f>'CBPA - PAY'!C86</f>
        <v>0</v>
      </c>
      <c r="D85" s="72" t="e">
        <f>'CBPA - PAY'!D86</f>
        <v>#N/A</v>
      </c>
      <c r="E85" s="306">
        <f>'CBPA - PAY'!E86</f>
        <v>0</v>
      </c>
      <c r="F85" s="49">
        <f>'CBPA - PAY'!L86</f>
        <v>0</v>
      </c>
      <c r="G85" s="36">
        <f>ROUND('CBPA - PAY'!I86*0.09,2)</f>
        <v>0</v>
      </c>
      <c r="H85" s="88"/>
      <c r="I85" s="88"/>
      <c r="J85" s="88"/>
      <c r="K85" s="88"/>
      <c r="L85" s="88"/>
      <c r="M85" s="88"/>
      <c r="N85" s="88"/>
      <c r="O85" s="88"/>
      <c r="P85" s="88"/>
      <c r="Q85" s="88"/>
      <c r="R85" s="41">
        <f t="shared" si="6"/>
        <v>0</v>
      </c>
      <c r="S85" s="86"/>
      <c r="T85" s="87"/>
      <c r="U85" s="88"/>
      <c r="V85" s="88"/>
      <c r="W85" s="88"/>
      <c r="X85" s="38">
        <f t="shared" si="7"/>
        <v>0</v>
      </c>
      <c r="Y85" s="49">
        <f>MIN(ROUNDDOWN('CBPA - PAY'!I86*0.05/2,2),2500)</f>
        <v>0</v>
      </c>
      <c r="Z85" s="86"/>
      <c r="AA85" s="87"/>
      <c r="AB85" s="88"/>
      <c r="AC85" s="88"/>
      <c r="AD85" s="88"/>
      <c r="AE85" s="35">
        <f t="shared" si="8"/>
        <v>0</v>
      </c>
      <c r="AF85" s="62">
        <f t="shared" si="9"/>
        <v>0</v>
      </c>
    </row>
    <row r="86" spans="1:32" ht="18.75" customHeight="1" x14ac:dyDescent="0.25">
      <c r="A86" s="98"/>
      <c r="B86" s="33">
        <f t="shared" si="5"/>
        <v>43</v>
      </c>
      <c r="C86" s="72">
        <f>'CBPA - PAY'!C87</f>
        <v>0</v>
      </c>
      <c r="D86" s="72" t="e">
        <f>'CBPA - PAY'!D87</f>
        <v>#N/A</v>
      </c>
      <c r="E86" s="306">
        <f>'CBPA - PAY'!E87</f>
        <v>0</v>
      </c>
      <c r="F86" s="49">
        <f>'CBPA - PAY'!L87</f>
        <v>0</v>
      </c>
      <c r="G86" s="36">
        <f>ROUND('CBPA - PAY'!I87*0.09,2)</f>
        <v>0</v>
      </c>
      <c r="H86" s="88"/>
      <c r="I86" s="88"/>
      <c r="J86" s="88"/>
      <c r="K86" s="88"/>
      <c r="L86" s="88"/>
      <c r="M86" s="88"/>
      <c r="N86" s="88"/>
      <c r="O86" s="88"/>
      <c r="P86" s="88"/>
      <c r="Q86" s="88"/>
      <c r="R86" s="41">
        <f t="shared" si="6"/>
        <v>0</v>
      </c>
      <c r="S86" s="86"/>
      <c r="T86" s="87"/>
      <c r="U86" s="88"/>
      <c r="V86" s="88"/>
      <c r="W86" s="88"/>
      <c r="X86" s="38">
        <f t="shared" si="7"/>
        <v>0</v>
      </c>
      <c r="Y86" s="49">
        <f>MIN(ROUNDDOWN('CBPA - PAY'!I87*0.05/2,2),2500)</f>
        <v>0</v>
      </c>
      <c r="Z86" s="86"/>
      <c r="AA86" s="87"/>
      <c r="AB86" s="88"/>
      <c r="AC86" s="88"/>
      <c r="AD86" s="88"/>
      <c r="AE86" s="35">
        <f t="shared" si="8"/>
        <v>0</v>
      </c>
      <c r="AF86" s="62">
        <f t="shared" si="9"/>
        <v>0</v>
      </c>
    </row>
    <row r="87" spans="1:32" ht="18.75" customHeight="1" x14ac:dyDescent="0.25">
      <c r="A87" s="98"/>
      <c r="B87" s="33">
        <f t="shared" si="5"/>
        <v>44</v>
      </c>
      <c r="C87" s="72">
        <f>'CBPA - PAY'!C88</f>
        <v>0</v>
      </c>
      <c r="D87" s="72" t="e">
        <f>'CBPA - PAY'!D88</f>
        <v>#N/A</v>
      </c>
      <c r="E87" s="306">
        <f>'CBPA - PAY'!E88</f>
        <v>0</v>
      </c>
      <c r="F87" s="49">
        <f>'CBPA - PAY'!L88</f>
        <v>0</v>
      </c>
      <c r="G87" s="36">
        <f>ROUND('CBPA - PAY'!I88*0.09,2)</f>
        <v>0</v>
      </c>
      <c r="H87" s="88"/>
      <c r="I87" s="88"/>
      <c r="J87" s="88"/>
      <c r="K87" s="88"/>
      <c r="L87" s="88"/>
      <c r="M87" s="88"/>
      <c r="N87" s="88"/>
      <c r="O87" s="88"/>
      <c r="P87" s="88"/>
      <c r="Q87" s="88"/>
      <c r="R87" s="41">
        <f t="shared" si="6"/>
        <v>0</v>
      </c>
      <c r="S87" s="86"/>
      <c r="T87" s="87"/>
      <c r="U87" s="88"/>
      <c r="V87" s="88"/>
      <c r="W87" s="88"/>
      <c r="X87" s="38">
        <f t="shared" si="7"/>
        <v>0</v>
      </c>
      <c r="Y87" s="49">
        <f>MIN(ROUNDDOWN('CBPA - PAY'!I88*0.05/2,2),2500)</f>
        <v>0</v>
      </c>
      <c r="Z87" s="86"/>
      <c r="AA87" s="87"/>
      <c r="AB87" s="88"/>
      <c r="AC87" s="88"/>
      <c r="AD87" s="88"/>
      <c r="AE87" s="35">
        <f t="shared" si="8"/>
        <v>0</v>
      </c>
      <c r="AF87" s="62">
        <f t="shared" si="9"/>
        <v>0</v>
      </c>
    </row>
    <row r="88" spans="1:32" ht="18.75" customHeight="1" x14ac:dyDescent="0.25">
      <c r="A88" s="98"/>
      <c r="B88" s="33">
        <f t="shared" si="5"/>
        <v>45</v>
      </c>
      <c r="C88" s="72">
        <f>'CBPA - PAY'!C89</f>
        <v>0</v>
      </c>
      <c r="D88" s="72" t="e">
        <f>'CBPA - PAY'!D89</f>
        <v>#N/A</v>
      </c>
      <c r="E88" s="306">
        <f>'CBPA - PAY'!E89</f>
        <v>0</v>
      </c>
      <c r="F88" s="49">
        <f>'CBPA - PAY'!L89</f>
        <v>0</v>
      </c>
      <c r="G88" s="36">
        <f>ROUND('CBPA - PAY'!I89*0.09,2)</f>
        <v>0</v>
      </c>
      <c r="H88" s="88"/>
      <c r="I88" s="88"/>
      <c r="J88" s="88"/>
      <c r="K88" s="88"/>
      <c r="L88" s="88"/>
      <c r="M88" s="88"/>
      <c r="N88" s="88"/>
      <c r="O88" s="88"/>
      <c r="P88" s="88"/>
      <c r="Q88" s="88"/>
      <c r="R88" s="41">
        <f t="shared" si="6"/>
        <v>0</v>
      </c>
      <c r="S88" s="86"/>
      <c r="T88" s="87"/>
      <c r="U88" s="88"/>
      <c r="V88" s="88"/>
      <c r="W88" s="88"/>
      <c r="X88" s="38">
        <f t="shared" si="7"/>
        <v>0</v>
      </c>
      <c r="Y88" s="49">
        <f>MIN(ROUNDDOWN('CBPA - PAY'!I89*0.05/2,2),2500)</f>
        <v>0</v>
      </c>
      <c r="Z88" s="86"/>
      <c r="AA88" s="87"/>
      <c r="AB88" s="88"/>
      <c r="AC88" s="88"/>
      <c r="AD88" s="88"/>
      <c r="AE88" s="35">
        <f t="shared" si="8"/>
        <v>0</v>
      </c>
      <c r="AF88" s="62">
        <f t="shared" si="9"/>
        <v>0</v>
      </c>
    </row>
    <row r="89" spans="1:32" ht="18.75" customHeight="1" x14ac:dyDescent="0.25">
      <c r="A89" s="98"/>
      <c r="B89" s="33">
        <f t="shared" si="5"/>
        <v>46</v>
      </c>
      <c r="C89" s="72">
        <f>'CBPA - PAY'!C90</f>
        <v>0</v>
      </c>
      <c r="D89" s="72" t="e">
        <f>'CBPA - PAY'!D90</f>
        <v>#N/A</v>
      </c>
      <c r="E89" s="306">
        <f>'CBPA - PAY'!E90</f>
        <v>0</v>
      </c>
      <c r="F89" s="49">
        <f>'CBPA - PAY'!L90</f>
        <v>0</v>
      </c>
      <c r="G89" s="36">
        <f>ROUND('CBPA - PAY'!I90*0.09,2)</f>
        <v>0</v>
      </c>
      <c r="H89" s="88"/>
      <c r="I89" s="88"/>
      <c r="J89" s="88"/>
      <c r="K89" s="88"/>
      <c r="L89" s="88"/>
      <c r="M89" s="88"/>
      <c r="N89" s="88"/>
      <c r="O89" s="88"/>
      <c r="P89" s="88"/>
      <c r="Q89" s="88"/>
      <c r="R89" s="41">
        <f t="shared" si="6"/>
        <v>0</v>
      </c>
      <c r="S89" s="86"/>
      <c r="T89" s="87"/>
      <c r="U89" s="88"/>
      <c r="V89" s="88"/>
      <c r="W89" s="88"/>
      <c r="X89" s="38">
        <f t="shared" si="7"/>
        <v>0</v>
      </c>
      <c r="Y89" s="49">
        <f>MIN(ROUNDDOWN('CBPA - PAY'!I90*0.05/2,2),2500)</f>
        <v>0</v>
      </c>
      <c r="Z89" s="86"/>
      <c r="AA89" s="87"/>
      <c r="AB89" s="88"/>
      <c r="AC89" s="88"/>
      <c r="AD89" s="88"/>
      <c r="AE89" s="35">
        <f t="shared" si="8"/>
        <v>0</v>
      </c>
      <c r="AF89" s="62">
        <f t="shared" si="9"/>
        <v>0</v>
      </c>
    </row>
    <row r="90" spans="1:32" ht="18.75" customHeight="1" x14ac:dyDescent="0.25">
      <c r="A90" s="98"/>
      <c r="B90" s="33">
        <f>+B65+1</f>
        <v>47</v>
      </c>
      <c r="C90" s="72">
        <f>'CBPA - PAY'!C91</f>
        <v>0</v>
      </c>
      <c r="D90" s="72" t="e">
        <f>'CBPA - PAY'!D91</f>
        <v>#N/A</v>
      </c>
      <c r="E90" s="306">
        <f>'CBPA - PAY'!E91</f>
        <v>0</v>
      </c>
      <c r="F90" s="49">
        <f>'CBPA - PAY'!L91</f>
        <v>0</v>
      </c>
      <c r="G90" s="36">
        <f>ROUND('CBPA - PAY'!I91*0.09,2)</f>
        <v>0</v>
      </c>
      <c r="H90" s="88"/>
      <c r="I90" s="88"/>
      <c r="J90" s="88"/>
      <c r="K90" s="88"/>
      <c r="L90" s="88"/>
      <c r="M90" s="88"/>
      <c r="N90" s="88"/>
      <c r="O90" s="88"/>
      <c r="P90" s="88"/>
      <c r="Q90" s="88"/>
      <c r="R90" s="41">
        <f t="shared" si="0"/>
        <v>0</v>
      </c>
      <c r="S90" s="86"/>
      <c r="T90" s="87"/>
      <c r="U90" s="88"/>
      <c r="V90" s="88"/>
      <c r="W90" s="88"/>
      <c r="X90" s="38">
        <f t="shared" si="2"/>
        <v>0</v>
      </c>
      <c r="Y90" s="49">
        <f>MIN(ROUNDDOWN('CBPA - PAY'!I91*0.05/2,2),2500)</f>
        <v>0</v>
      </c>
      <c r="Z90" s="86"/>
      <c r="AA90" s="87"/>
      <c r="AB90" s="88"/>
      <c r="AC90" s="88"/>
      <c r="AD90" s="88"/>
      <c r="AE90" s="35">
        <f t="shared" si="1"/>
        <v>0</v>
      </c>
      <c r="AF90" s="62">
        <f t="shared" si="3"/>
        <v>0</v>
      </c>
    </row>
    <row r="91" spans="1:32" ht="18.75" customHeight="1" x14ac:dyDescent="0.25">
      <c r="A91" s="98"/>
      <c r="B91" s="33"/>
      <c r="C91" s="64"/>
      <c r="D91" s="64"/>
      <c r="E91" s="63"/>
      <c r="F91" s="70"/>
      <c r="G91" s="65"/>
      <c r="H91" s="91"/>
      <c r="I91" s="91"/>
      <c r="J91" s="91"/>
      <c r="K91" s="91"/>
      <c r="L91" s="91"/>
      <c r="M91" s="91"/>
      <c r="N91" s="91"/>
      <c r="O91" s="91"/>
      <c r="P91" s="91"/>
      <c r="Q91" s="91"/>
      <c r="R91" s="71"/>
      <c r="S91" s="89"/>
      <c r="T91" s="90"/>
      <c r="U91" s="91"/>
      <c r="V91" s="91"/>
      <c r="W91" s="91"/>
      <c r="X91" s="69"/>
      <c r="Y91" s="70"/>
      <c r="Z91" s="89"/>
      <c r="AA91" s="90"/>
      <c r="AB91" s="91"/>
      <c r="AC91" s="91"/>
      <c r="AD91" s="91"/>
      <c r="AE91" s="67"/>
      <c r="AF91" s="62">
        <f t="shared" si="3"/>
        <v>0</v>
      </c>
    </row>
    <row r="92" spans="1:32" ht="18.75" customHeight="1" thickBot="1" x14ac:dyDescent="0.3">
      <c r="A92" s="98"/>
      <c r="B92" s="16"/>
      <c r="C92" s="16"/>
      <c r="D92" s="16"/>
      <c r="E92" s="324"/>
      <c r="F92" s="81">
        <f t="shared" ref="F92:AF92" si="10">SUM(F20:F91)</f>
        <v>0</v>
      </c>
      <c r="G92" s="73">
        <f t="shared" si="10"/>
        <v>0</v>
      </c>
      <c r="H92" s="94">
        <f t="shared" si="10"/>
        <v>0</v>
      </c>
      <c r="I92" s="94">
        <f t="shared" si="10"/>
        <v>0</v>
      </c>
      <c r="J92" s="94">
        <f t="shared" si="10"/>
        <v>0</v>
      </c>
      <c r="K92" s="94">
        <f t="shared" si="10"/>
        <v>0</v>
      </c>
      <c r="L92" s="94">
        <f t="shared" si="10"/>
        <v>0</v>
      </c>
      <c r="M92" s="94">
        <f t="shared" si="10"/>
        <v>0</v>
      </c>
      <c r="N92" s="94">
        <f t="shared" si="10"/>
        <v>0</v>
      </c>
      <c r="O92" s="94">
        <f t="shared" si="10"/>
        <v>0</v>
      </c>
      <c r="P92" s="94">
        <f t="shared" si="10"/>
        <v>0</v>
      </c>
      <c r="Q92" s="94">
        <f t="shared" si="10"/>
        <v>0</v>
      </c>
      <c r="R92" s="74">
        <f t="shared" si="10"/>
        <v>0</v>
      </c>
      <c r="S92" s="95">
        <f t="shared" si="10"/>
        <v>0</v>
      </c>
      <c r="T92" s="96">
        <f t="shared" si="10"/>
        <v>0</v>
      </c>
      <c r="U92" s="94">
        <f t="shared" si="10"/>
        <v>0</v>
      </c>
      <c r="V92" s="94">
        <f t="shared" si="10"/>
        <v>0</v>
      </c>
      <c r="W92" s="94">
        <f t="shared" si="10"/>
        <v>0</v>
      </c>
      <c r="X92" s="80">
        <f t="shared" si="10"/>
        <v>0</v>
      </c>
      <c r="Y92" s="81">
        <f t="shared" si="10"/>
        <v>0</v>
      </c>
      <c r="Z92" s="95">
        <f t="shared" si="10"/>
        <v>0</v>
      </c>
      <c r="AA92" s="96">
        <f t="shared" si="10"/>
        <v>0</v>
      </c>
      <c r="AB92" s="94">
        <f t="shared" si="10"/>
        <v>0</v>
      </c>
      <c r="AC92" s="94">
        <f t="shared" si="10"/>
        <v>0</v>
      </c>
      <c r="AD92" s="94">
        <f t="shared" si="10"/>
        <v>0</v>
      </c>
      <c r="AE92" s="80">
        <f t="shared" si="10"/>
        <v>0</v>
      </c>
      <c r="AF92" s="81">
        <f t="shared" si="10"/>
        <v>0</v>
      </c>
    </row>
    <row r="93" spans="1:32" x14ac:dyDescent="0.25">
      <c r="R93" s="75">
        <f>R92-'CBPA - PAY'!M93</f>
        <v>0</v>
      </c>
      <c r="X93" s="75">
        <f>X92-'CBPA - PAY'!N93</f>
        <v>0</v>
      </c>
      <c r="Y93" s="75">
        <f>Y92-'CBPA - PAY'!O93</f>
        <v>0</v>
      </c>
      <c r="AE93" s="75">
        <f>AE92-'CBPA - PAY'!P93</f>
        <v>0</v>
      </c>
      <c r="AF93" s="75">
        <f>AF92-'CBPA - PAY'!Q93</f>
        <v>0</v>
      </c>
    </row>
    <row r="94" spans="1:32" x14ac:dyDescent="0.25">
      <c r="AF94" s="75"/>
    </row>
    <row r="95" spans="1:32" x14ac:dyDescent="0.25">
      <c r="C95" s="820" t="s">
        <v>47</v>
      </c>
      <c r="D95" s="820"/>
    </row>
    <row r="96" spans="1:32" x14ac:dyDescent="0.25">
      <c r="C96" s="827" t="s">
        <v>93</v>
      </c>
      <c r="D96" s="827"/>
    </row>
    <row r="98" spans="3:3" x14ac:dyDescent="0.25">
      <c r="C98" s="32"/>
    </row>
  </sheetData>
  <mergeCells count="48">
    <mergeCell ref="B14:Z14"/>
    <mergeCell ref="AE2:AF2"/>
    <mergeCell ref="B3:AF3"/>
    <mergeCell ref="B4:AF4"/>
    <mergeCell ref="B5:AF5"/>
    <mergeCell ref="B6:AF6"/>
    <mergeCell ref="B8:AF8"/>
    <mergeCell ref="B9:AF9"/>
    <mergeCell ref="B10:AF10"/>
    <mergeCell ref="D11:D13"/>
    <mergeCell ref="B12:C12"/>
    <mergeCell ref="AD12:AF12"/>
    <mergeCell ref="B16:B18"/>
    <mergeCell ref="C16:C18"/>
    <mergeCell ref="D16:D18"/>
    <mergeCell ref="E16:E18"/>
    <mergeCell ref="F16:F18"/>
    <mergeCell ref="S16:X16"/>
    <mergeCell ref="Y16:Y18"/>
    <mergeCell ref="Z16:AE16"/>
    <mergeCell ref="AF16:AF18"/>
    <mergeCell ref="G17:G18"/>
    <mergeCell ref="H17:H18"/>
    <mergeCell ref="I17:I18"/>
    <mergeCell ref="J17:J18"/>
    <mergeCell ref="K17:K18"/>
    <mergeCell ref="L17:L18"/>
    <mergeCell ref="G16:R16"/>
    <mergeCell ref="M17:M18"/>
    <mergeCell ref="N17:N18"/>
    <mergeCell ref="O17:O18"/>
    <mergeCell ref="P17:P18"/>
    <mergeCell ref="AD17:AD18"/>
    <mergeCell ref="AE17:AE18"/>
    <mergeCell ref="C95:D95"/>
    <mergeCell ref="C96:D96"/>
    <mergeCell ref="W17:W18"/>
    <mergeCell ref="X17:X18"/>
    <mergeCell ref="Z17:Z18"/>
    <mergeCell ref="AA17:AA18"/>
    <mergeCell ref="AB17:AB18"/>
    <mergeCell ref="AC17:AC18"/>
    <mergeCell ref="Q17:Q18"/>
    <mergeCell ref="R17:R18"/>
    <mergeCell ref="S17:S18"/>
    <mergeCell ref="T17:T18"/>
    <mergeCell ref="U17:U18"/>
    <mergeCell ref="V17:V18"/>
  </mergeCells>
  <printOptions horizontalCentered="1"/>
  <pageMargins left="0.39370078740157483" right="0.39370078740157483" top="0.39370078740157483" bottom="0.39370078740157483" header="0" footer="0.19685039370078741"/>
  <pageSetup paperSize="14" scale="41" fitToHeight="0" orientation="landscape" r:id="rId1"/>
  <headerFooter alignWithMargins="0">
    <oddHeader>&amp;R&amp;16
Sheet &amp;"Times New Roman,Bold"&amp;U&amp;P&amp;"Times New Roman,Regular"&amp;U of &amp;"Times New Roman,Bold"&amp;U&amp;N&amp;"Times New Roman,Regular"&amp;U Sheet/s</oddHead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>
    <tabColor rgb="FF002060"/>
  </sheetPr>
  <dimension ref="B2:N56"/>
  <sheetViews>
    <sheetView workbookViewId="0">
      <selection activeCell="C8" sqref="C8:C38"/>
    </sheetView>
  </sheetViews>
  <sheetFormatPr defaultRowHeight="15.75" x14ac:dyDescent="0.25"/>
  <cols>
    <col min="1" max="2" width="9" style="4"/>
    <col min="3" max="3" width="31.625" style="4" bestFit="1" customWidth="1"/>
    <col min="4" max="4" width="21.75" style="4" bestFit="1" customWidth="1"/>
    <col min="5" max="14" width="12.375" style="57" bestFit="1" customWidth="1"/>
    <col min="15" max="16384" width="9" style="4"/>
  </cols>
  <sheetData>
    <row r="2" spans="2:14" ht="27.75" customHeight="1" thickBot="1" x14ac:dyDescent="0.3">
      <c r="B2" s="785" t="s">
        <v>156</v>
      </c>
      <c r="C2" s="785"/>
      <c r="D2" s="785"/>
      <c r="E2" s="785"/>
      <c r="F2" s="785"/>
      <c r="G2" s="785"/>
      <c r="H2" s="785"/>
      <c r="I2" s="785"/>
      <c r="J2" s="785"/>
      <c r="K2" s="785"/>
      <c r="L2" s="785"/>
      <c r="M2" s="785"/>
      <c r="N2" s="785"/>
    </row>
    <row r="3" spans="2:14" ht="27.75" customHeight="1" thickBot="1" x14ac:dyDescent="0.3">
      <c r="B3" s="939" t="s">
        <v>118</v>
      </c>
      <c r="C3" s="939"/>
      <c r="D3" s="939"/>
      <c r="E3" s="939"/>
      <c r="F3" s="939"/>
      <c r="G3" s="939"/>
      <c r="H3" s="939"/>
      <c r="I3" s="939"/>
      <c r="J3" s="939"/>
      <c r="K3" s="939"/>
      <c r="L3" s="939"/>
      <c r="M3" s="939"/>
      <c r="N3" s="939"/>
    </row>
    <row r="4" spans="2:14" x14ac:dyDescent="0.25">
      <c r="B4" s="802" t="s">
        <v>6</v>
      </c>
      <c r="C4" s="806" t="s">
        <v>1</v>
      </c>
      <c r="D4" s="815" t="s">
        <v>2</v>
      </c>
      <c r="E4" s="780" t="s">
        <v>14</v>
      </c>
      <c r="F4" s="780" t="s">
        <v>54</v>
      </c>
      <c r="G4" s="802" t="s">
        <v>157</v>
      </c>
      <c r="H4" s="809" t="s">
        <v>153</v>
      </c>
      <c r="I4" s="810"/>
      <c r="J4" s="810"/>
      <c r="K4" s="810"/>
      <c r="L4" s="810"/>
      <c r="M4" s="810"/>
      <c r="N4" s="811"/>
    </row>
    <row r="5" spans="2:14" ht="16.5" thickBot="1" x14ac:dyDescent="0.3">
      <c r="B5" s="803"/>
      <c r="C5" s="807"/>
      <c r="D5" s="816"/>
      <c r="E5" s="781"/>
      <c r="F5" s="781"/>
      <c r="G5" s="803"/>
      <c r="H5" s="812"/>
      <c r="I5" s="813"/>
      <c r="J5" s="813"/>
      <c r="K5" s="813"/>
      <c r="L5" s="813"/>
      <c r="M5" s="813"/>
      <c r="N5" s="814"/>
    </row>
    <row r="6" spans="2:14" ht="16.5" thickBot="1" x14ac:dyDescent="0.3">
      <c r="B6" s="803"/>
      <c r="C6" s="807"/>
      <c r="D6" s="816"/>
      <c r="E6" s="781"/>
      <c r="F6" s="781"/>
      <c r="G6" s="804"/>
      <c r="H6" s="323" t="s">
        <v>150</v>
      </c>
      <c r="I6" s="319" t="s">
        <v>154</v>
      </c>
      <c r="J6" s="323" t="s">
        <v>151</v>
      </c>
      <c r="K6" s="319" t="s">
        <v>154</v>
      </c>
      <c r="L6" s="323" t="s">
        <v>152</v>
      </c>
      <c r="M6" s="319" t="s">
        <v>154</v>
      </c>
      <c r="N6" s="319" t="s">
        <v>155</v>
      </c>
    </row>
    <row r="7" spans="2:14" x14ac:dyDescent="0.25">
      <c r="B7" s="42"/>
      <c r="C7" s="320"/>
      <c r="D7" s="321"/>
      <c r="E7" s="322"/>
      <c r="F7" s="322"/>
      <c r="G7" s="55"/>
      <c r="H7" s="322"/>
      <c r="I7" s="55"/>
      <c r="J7" s="322"/>
      <c r="K7" s="55"/>
      <c r="L7" s="322"/>
      <c r="M7" s="55"/>
      <c r="N7" s="55"/>
    </row>
    <row r="8" spans="2:14" x14ac:dyDescent="0.25">
      <c r="B8" s="34">
        <v>1</v>
      </c>
      <c r="C8" s="184"/>
      <c r="D8" s="185"/>
      <c r="E8" s="313"/>
      <c r="F8" s="225"/>
      <c r="G8" s="188">
        <f>'CAS - PAY'!I21/31</f>
        <v>0</v>
      </c>
      <c r="H8" s="313"/>
      <c r="I8" s="188">
        <f t="shared" ref="I8:I18" si="0">ROUND(G8*H8,2)</f>
        <v>0</v>
      </c>
      <c r="J8" s="313"/>
      <c r="K8" s="188">
        <f t="shared" ref="K8:K18" si="1">ROUND(G8/8*J8,2)</f>
        <v>0</v>
      </c>
      <c r="L8" s="313"/>
      <c r="M8" s="188">
        <f t="shared" ref="M8:M18" si="2">ROUND(G8/8/60*L8,2)</f>
        <v>0</v>
      </c>
      <c r="N8" s="188">
        <f t="shared" ref="N8:N18" si="3">I8+K8+M8</f>
        <v>0</v>
      </c>
    </row>
    <row r="9" spans="2:14" x14ac:dyDescent="0.25">
      <c r="B9" s="34">
        <f t="shared" ref="B9:B37" si="4">+B8+1</f>
        <v>2</v>
      </c>
      <c r="C9" s="184"/>
      <c r="D9" s="185"/>
      <c r="E9" s="313"/>
      <c r="F9" s="225"/>
      <c r="G9" s="188">
        <f>'CAS - PAY'!I22/31</f>
        <v>0</v>
      </c>
      <c r="H9" s="313"/>
      <c r="I9" s="188">
        <f t="shared" si="0"/>
        <v>0</v>
      </c>
      <c r="J9" s="313"/>
      <c r="K9" s="188">
        <f t="shared" si="1"/>
        <v>0</v>
      </c>
      <c r="L9" s="313"/>
      <c r="M9" s="188">
        <f t="shared" si="2"/>
        <v>0</v>
      </c>
      <c r="N9" s="188">
        <f t="shared" si="3"/>
        <v>0</v>
      </c>
    </row>
    <row r="10" spans="2:14" x14ac:dyDescent="0.25">
      <c r="B10" s="34">
        <f t="shared" si="4"/>
        <v>3</v>
      </c>
      <c r="C10" s="184"/>
      <c r="D10" s="185"/>
      <c r="E10" s="313"/>
      <c r="F10" s="225"/>
      <c r="G10" s="188">
        <f>'CAS - PAY'!I23/31</f>
        <v>0</v>
      </c>
      <c r="H10" s="313"/>
      <c r="I10" s="188">
        <f t="shared" si="0"/>
        <v>0</v>
      </c>
      <c r="J10" s="313"/>
      <c r="K10" s="188">
        <f t="shared" si="1"/>
        <v>0</v>
      </c>
      <c r="L10" s="313"/>
      <c r="M10" s="188">
        <f t="shared" si="2"/>
        <v>0</v>
      </c>
      <c r="N10" s="188">
        <f t="shared" si="3"/>
        <v>0</v>
      </c>
    </row>
    <row r="11" spans="2:14" x14ac:dyDescent="0.25">
      <c r="B11" s="34">
        <f t="shared" si="4"/>
        <v>4</v>
      </c>
      <c r="C11" s="184"/>
      <c r="D11" s="185"/>
      <c r="E11" s="313"/>
      <c r="F11" s="225"/>
      <c r="G11" s="188">
        <f>'CAS - PAY'!I24/31</f>
        <v>0</v>
      </c>
      <c r="H11" s="313"/>
      <c r="I11" s="188">
        <f t="shared" si="0"/>
        <v>0</v>
      </c>
      <c r="J11" s="313"/>
      <c r="K11" s="188">
        <f t="shared" si="1"/>
        <v>0</v>
      </c>
      <c r="L11" s="313"/>
      <c r="M11" s="188">
        <f t="shared" si="2"/>
        <v>0</v>
      </c>
      <c r="N11" s="188">
        <f t="shared" si="3"/>
        <v>0</v>
      </c>
    </row>
    <row r="12" spans="2:14" x14ac:dyDescent="0.25">
      <c r="B12" s="34">
        <f t="shared" si="4"/>
        <v>5</v>
      </c>
      <c r="C12" s="184"/>
      <c r="D12" s="185"/>
      <c r="E12" s="313"/>
      <c r="F12" s="225"/>
      <c r="G12" s="188">
        <f>'CAS - PAY'!I25/31</f>
        <v>0</v>
      </c>
      <c r="H12" s="313"/>
      <c r="I12" s="188">
        <f t="shared" si="0"/>
        <v>0</v>
      </c>
      <c r="J12" s="313"/>
      <c r="K12" s="188">
        <f t="shared" si="1"/>
        <v>0</v>
      </c>
      <c r="L12" s="313"/>
      <c r="M12" s="188">
        <f t="shared" si="2"/>
        <v>0</v>
      </c>
      <c r="N12" s="188">
        <f t="shared" si="3"/>
        <v>0</v>
      </c>
    </row>
    <row r="13" spans="2:14" x14ac:dyDescent="0.25">
      <c r="B13" s="34">
        <f t="shared" si="4"/>
        <v>6</v>
      </c>
      <c r="C13" s="184"/>
      <c r="D13" s="185"/>
      <c r="E13" s="313"/>
      <c r="F13" s="225"/>
      <c r="G13" s="188">
        <f>'CAS - PAY'!I26/31</f>
        <v>0</v>
      </c>
      <c r="H13" s="313"/>
      <c r="I13" s="188">
        <f t="shared" si="0"/>
        <v>0</v>
      </c>
      <c r="J13" s="313"/>
      <c r="K13" s="188">
        <f t="shared" si="1"/>
        <v>0</v>
      </c>
      <c r="L13" s="313"/>
      <c r="M13" s="188">
        <f t="shared" si="2"/>
        <v>0</v>
      </c>
      <c r="N13" s="188">
        <f t="shared" si="3"/>
        <v>0</v>
      </c>
    </row>
    <row r="14" spans="2:14" x14ac:dyDescent="0.25">
      <c r="B14" s="34">
        <f t="shared" si="4"/>
        <v>7</v>
      </c>
      <c r="C14" s="184"/>
      <c r="D14" s="185"/>
      <c r="E14" s="313"/>
      <c r="F14" s="225"/>
      <c r="G14" s="188">
        <f>'CAS - PAY'!I27/31</f>
        <v>0</v>
      </c>
      <c r="H14" s="313"/>
      <c r="I14" s="188">
        <f t="shared" si="0"/>
        <v>0</v>
      </c>
      <c r="J14" s="313"/>
      <c r="K14" s="188">
        <f t="shared" si="1"/>
        <v>0</v>
      </c>
      <c r="L14" s="313"/>
      <c r="M14" s="188">
        <f t="shared" si="2"/>
        <v>0</v>
      </c>
      <c r="N14" s="188">
        <f t="shared" si="3"/>
        <v>0</v>
      </c>
    </row>
    <row r="15" spans="2:14" x14ac:dyDescent="0.25">
      <c r="B15" s="34">
        <f t="shared" si="4"/>
        <v>8</v>
      </c>
      <c r="C15" s="184"/>
      <c r="D15" s="185"/>
      <c r="E15" s="313"/>
      <c r="F15" s="225"/>
      <c r="G15" s="188">
        <f>'CAS - PAY'!I28/31</f>
        <v>0</v>
      </c>
      <c r="H15" s="313"/>
      <c r="I15" s="188">
        <f t="shared" si="0"/>
        <v>0</v>
      </c>
      <c r="J15" s="313"/>
      <c r="K15" s="188">
        <f t="shared" si="1"/>
        <v>0</v>
      </c>
      <c r="L15" s="313"/>
      <c r="M15" s="188">
        <f t="shared" si="2"/>
        <v>0</v>
      </c>
      <c r="N15" s="188">
        <f t="shared" si="3"/>
        <v>0</v>
      </c>
    </row>
    <row r="16" spans="2:14" x14ac:dyDescent="0.25">
      <c r="B16" s="34">
        <f t="shared" si="4"/>
        <v>9</v>
      </c>
      <c r="C16" s="184"/>
      <c r="D16" s="185"/>
      <c r="E16" s="313"/>
      <c r="F16" s="225"/>
      <c r="G16" s="188">
        <f>'CAS - PAY'!I29/31</f>
        <v>0</v>
      </c>
      <c r="H16" s="314"/>
      <c r="I16" s="188">
        <f t="shared" si="0"/>
        <v>0</v>
      </c>
      <c r="J16" s="314"/>
      <c r="K16" s="188">
        <f t="shared" si="1"/>
        <v>0</v>
      </c>
      <c r="L16" s="314"/>
      <c r="M16" s="188">
        <f t="shared" si="2"/>
        <v>0</v>
      </c>
      <c r="N16" s="188">
        <f t="shared" si="3"/>
        <v>0</v>
      </c>
    </row>
    <row r="17" spans="2:14" x14ac:dyDescent="0.25">
      <c r="B17" s="34">
        <f t="shared" si="4"/>
        <v>10</v>
      </c>
      <c r="C17" s="186"/>
      <c r="D17" s="185"/>
      <c r="E17" s="314"/>
      <c r="F17" s="331"/>
      <c r="G17" s="188">
        <f>'CAS - PAY'!I30/31</f>
        <v>0</v>
      </c>
      <c r="H17" s="314"/>
      <c r="I17" s="189">
        <f t="shared" si="0"/>
        <v>0</v>
      </c>
      <c r="J17" s="314"/>
      <c r="K17" s="189">
        <f t="shared" si="1"/>
        <v>0</v>
      </c>
      <c r="L17" s="314"/>
      <c r="M17" s="189">
        <f t="shared" si="2"/>
        <v>0</v>
      </c>
      <c r="N17" s="189">
        <f t="shared" si="3"/>
        <v>0</v>
      </c>
    </row>
    <row r="18" spans="2:14" x14ac:dyDescent="0.25">
      <c r="B18" s="34">
        <f t="shared" si="4"/>
        <v>11</v>
      </c>
      <c r="C18" s="186"/>
      <c r="D18" s="185"/>
      <c r="E18" s="314"/>
      <c r="F18" s="331"/>
      <c r="G18" s="188">
        <f>'CAS - PAY'!I31/31</f>
        <v>0</v>
      </c>
      <c r="H18" s="313"/>
      <c r="I18" s="189">
        <f t="shared" si="0"/>
        <v>0</v>
      </c>
      <c r="J18" s="313"/>
      <c r="K18" s="189">
        <f t="shared" si="1"/>
        <v>0</v>
      </c>
      <c r="L18" s="313"/>
      <c r="M18" s="189">
        <f t="shared" si="2"/>
        <v>0</v>
      </c>
      <c r="N18" s="189">
        <f t="shared" si="3"/>
        <v>0</v>
      </c>
    </row>
    <row r="19" spans="2:14" x14ac:dyDescent="0.25">
      <c r="B19" s="34">
        <f t="shared" si="4"/>
        <v>12</v>
      </c>
      <c r="C19" s="186"/>
      <c r="D19" s="185"/>
      <c r="E19" s="314"/>
      <c r="F19" s="331"/>
      <c r="G19" s="188">
        <f>'CAS - PAY'!I32/31</f>
        <v>0</v>
      </c>
      <c r="H19" s="314"/>
      <c r="I19" s="189">
        <f t="shared" ref="I19:I29" si="5">ROUND(G19*H19,2)</f>
        <v>0</v>
      </c>
      <c r="J19" s="314"/>
      <c r="K19" s="189">
        <f t="shared" ref="K19:K29" si="6">ROUND(G19/8*J19,2)</f>
        <v>0</v>
      </c>
      <c r="L19" s="314"/>
      <c r="M19" s="189">
        <f t="shared" ref="M19:M29" si="7">ROUND(G19/8/60*L19,2)</f>
        <v>0</v>
      </c>
      <c r="N19" s="189">
        <f t="shared" ref="N19:N29" si="8">I19+K19+M19</f>
        <v>0</v>
      </c>
    </row>
    <row r="20" spans="2:14" x14ac:dyDescent="0.25">
      <c r="B20" s="34">
        <f t="shared" si="4"/>
        <v>13</v>
      </c>
      <c r="C20" s="186"/>
      <c r="D20" s="185"/>
      <c r="E20" s="313"/>
      <c r="F20" s="225"/>
      <c r="G20" s="188">
        <f>'CAS - PAY'!I33/31</f>
        <v>0</v>
      </c>
      <c r="H20" s="313"/>
      <c r="I20" s="189">
        <f t="shared" si="5"/>
        <v>0</v>
      </c>
      <c r="J20" s="313"/>
      <c r="K20" s="189">
        <f t="shared" si="6"/>
        <v>0</v>
      </c>
      <c r="L20" s="313"/>
      <c r="M20" s="189">
        <f t="shared" si="7"/>
        <v>0</v>
      </c>
      <c r="N20" s="189">
        <f t="shared" si="8"/>
        <v>0</v>
      </c>
    </row>
    <row r="21" spans="2:14" x14ac:dyDescent="0.25">
      <c r="B21" s="34">
        <f t="shared" si="4"/>
        <v>14</v>
      </c>
      <c r="C21" s="186"/>
      <c r="D21" s="185"/>
      <c r="E21" s="314"/>
      <c r="F21" s="331"/>
      <c r="G21" s="188">
        <f>'CAS - PAY'!I34/31</f>
        <v>0</v>
      </c>
      <c r="H21" s="314"/>
      <c r="I21" s="189">
        <f t="shared" si="5"/>
        <v>0</v>
      </c>
      <c r="J21" s="314"/>
      <c r="K21" s="189">
        <f t="shared" si="6"/>
        <v>0</v>
      </c>
      <c r="L21" s="314"/>
      <c r="M21" s="189">
        <f t="shared" si="7"/>
        <v>0</v>
      </c>
      <c r="N21" s="189">
        <f t="shared" si="8"/>
        <v>0</v>
      </c>
    </row>
    <row r="22" spans="2:14" x14ac:dyDescent="0.25">
      <c r="B22" s="34">
        <f t="shared" si="4"/>
        <v>15</v>
      </c>
      <c r="C22" s="186"/>
      <c r="D22" s="185"/>
      <c r="E22" s="313"/>
      <c r="F22" s="225"/>
      <c r="G22" s="188">
        <f>'CAS - PAY'!I35/31</f>
        <v>0</v>
      </c>
      <c r="H22" s="313"/>
      <c r="I22" s="189">
        <f t="shared" si="5"/>
        <v>0</v>
      </c>
      <c r="J22" s="313"/>
      <c r="K22" s="189">
        <f t="shared" si="6"/>
        <v>0</v>
      </c>
      <c r="L22" s="313"/>
      <c r="M22" s="189">
        <f t="shared" si="7"/>
        <v>0</v>
      </c>
      <c r="N22" s="189">
        <f t="shared" si="8"/>
        <v>0</v>
      </c>
    </row>
    <row r="23" spans="2:14" x14ac:dyDescent="0.25">
      <c r="B23" s="34">
        <f t="shared" si="4"/>
        <v>16</v>
      </c>
      <c r="C23" s="186"/>
      <c r="D23" s="305"/>
      <c r="E23" s="314"/>
      <c r="F23" s="331"/>
      <c r="G23" s="188">
        <f>'CAS - PAY'!I36/31</f>
        <v>0</v>
      </c>
      <c r="H23" s="313"/>
      <c r="I23" s="189">
        <f t="shared" si="5"/>
        <v>0</v>
      </c>
      <c r="J23" s="313"/>
      <c r="K23" s="189">
        <f t="shared" si="6"/>
        <v>0</v>
      </c>
      <c r="L23" s="313"/>
      <c r="M23" s="189">
        <f t="shared" si="7"/>
        <v>0</v>
      </c>
      <c r="N23" s="189">
        <f t="shared" si="8"/>
        <v>0</v>
      </c>
    </row>
    <row r="24" spans="2:14" x14ac:dyDescent="0.25">
      <c r="B24" s="34">
        <f t="shared" si="4"/>
        <v>17</v>
      </c>
      <c r="C24" s="186"/>
      <c r="D24" s="305"/>
      <c r="E24" s="314"/>
      <c r="F24" s="331"/>
      <c r="G24" s="188">
        <f>'CAS - PAY'!I37/31</f>
        <v>0</v>
      </c>
      <c r="H24" s="313"/>
      <c r="I24" s="189">
        <f t="shared" si="5"/>
        <v>0</v>
      </c>
      <c r="J24" s="313"/>
      <c r="K24" s="189">
        <f t="shared" si="6"/>
        <v>0</v>
      </c>
      <c r="L24" s="313"/>
      <c r="M24" s="189">
        <f t="shared" si="7"/>
        <v>0</v>
      </c>
      <c r="N24" s="189">
        <f t="shared" si="8"/>
        <v>0</v>
      </c>
    </row>
    <row r="25" spans="2:14" x14ac:dyDescent="0.25">
      <c r="B25" s="34">
        <f t="shared" si="4"/>
        <v>18</v>
      </c>
      <c r="C25" s="186"/>
      <c r="D25" s="305"/>
      <c r="E25" s="314"/>
      <c r="F25" s="331"/>
      <c r="G25" s="188">
        <f>'CAS - PAY'!I38/31</f>
        <v>0</v>
      </c>
      <c r="H25" s="313"/>
      <c r="I25" s="189">
        <f t="shared" si="5"/>
        <v>0</v>
      </c>
      <c r="J25" s="313"/>
      <c r="K25" s="189">
        <f t="shared" si="6"/>
        <v>0</v>
      </c>
      <c r="L25" s="313"/>
      <c r="M25" s="189">
        <f t="shared" si="7"/>
        <v>0</v>
      </c>
      <c r="N25" s="189">
        <f t="shared" si="8"/>
        <v>0</v>
      </c>
    </row>
    <row r="26" spans="2:14" x14ac:dyDescent="0.25">
      <c r="B26" s="34">
        <f t="shared" si="4"/>
        <v>19</v>
      </c>
      <c r="C26" s="186"/>
      <c r="D26" s="305"/>
      <c r="E26" s="314"/>
      <c r="F26" s="331"/>
      <c r="G26" s="188">
        <f>'CAS - PAY'!I39/31</f>
        <v>0</v>
      </c>
      <c r="H26" s="313"/>
      <c r="I26" s="189">
        <f t="shared" si="5"/>
        <v>0</v>
      </c>
      <c r="J26" s="313"/>
      <c r="K26" s="189">
        <f t="shared" si="6"/>
        <v>0</v>
      </c>
      <c r="L26" s="313"/>
      <c r="M26" s="189">
        <f t="shared" si="7"/>
        <v>0</v>
      </c>
      <c r="N26" s="189">
        <f t="shared" si="8"/>
        <v>0</v>
      </c>
    </row>
    <row r="27" spans="2:14" x14ac:dyDescent="0.25">
      <c r="B27" s="34">
        <f t="shared" si="4"/>
        <v>20</v>
      </c>
      <c r="C27" s="186"/>
      <c r="D27" s="185"/>
      <c r="E27" s="313"/>
      <c r="F27" s="225"/>
      <c r="G27" s="188">
        <f>'CAS - PAY'!I40/31</f>
        <v>0</v>
      </c>
      <c r="H27" s="313"/>
      <c r="I27" s="189">
        <f t="shared" si="5"/>
        <v>0</v>
      </c>
      <c r="J27" s="313"/>
      <c r="K27" s="189">
        <f t="shared" si="6"/>
        <v>0</v>
      </c>
      <c r="L27" s="313"/>
      <c r="M27" s="189">
        <f t="shared" si="7"/>
        <v>0</v>
      </c>
      <c r="N27" s="189">
        <f t="shared" si="8"/>
        <v>0</v>
      </c>
    </row>
    <row r="28" spans="2:14" x14ac:dyDescent="0.25">
      <c r="B28" s="34">
        <f t="shared" si="4"/>
        <v>21</v>
      </c>
      <c r="C28" s="186"/>
      <c r="D28" s="305"/>
      <c r="E28" s="314"/>
      <c r="F28" s="331"/>
      <c r="G28" s="188">
        <f>'CAS - PAY'!I41/31</f>
        <v>0</v>
      </c>
      <c r="H28" s="313"/>
      <c r="I28" s="189">
        <f t="shared" si="5"/>
        <v>0</v>
      </c>
      <c r="J28" s="313"/>
      <c r="K28" s="189">
        <f t="shared" si="6"/>
        <v>0</v>
      </c>
      <c r="L28" s="313"/>
      <c r="M28" s="189">
        <f t="shared" si="7"/>
        <v>0</v>
      </c>
      <c r="N28" s="189">
        <f t="shared" si="8"/>
        <v>0</v>
      </c>
    </row>
    <row r="29" spans="2:14" x14ac:dyDescent="0.25">
      <c r="B29" s="34">
        <f t="shared" si="4"/>
        <v>22</v>
      </c>
      <c r="C29" s="186"/>
      <c r="D29" s="305"/>
      <c r="E29" s="314"/>
      <c r="F29" s="331"/>
      <c r="G29" s="188">
        <f>'CAS - PAY'!I42/31</f>
        <v>0</v>
      </c>
      <c r="H29" s="313"/>
      <c r="I29" s="189">
        <f t="shared" si="5"/>
        <v>0</v>
      </c>
      <c r="J29" s="313"/>
      <c r="K29" s="189">
        <f t="shared" si="6"/>
        <v>0</v>
      </c>
      <c r="L29" s="313"/>
      <c r="M29" s="189">
        <f t="shared" si="7"/>
        <v>0</v>
      </c>
      <c r="N29" s="189">
        <f t="shared" si="8"/>
        <v>0</v>
      </c>
    </row>
    <row r="30" spans="2:14" x14ac:dyDescent="0.25">
      <c r="B30" s="34">
        <f t="shared" si="4"/>
        <v>23</v>
      </c>
      <c r="C30" s="186"/>
      <c r="D30" s="305"/>
      <c r="E30" s="314"/>
      <c r="F30" s="331"/>
      <c r="G30" s="188">
        <f>'CAS - PAY'!I43/31</f>
        <v>0</v>
      </c>
      <c r="H30" s="313"/>
      <c r="I30" s="189">
        <f t="shared" ref="I30:I54" si="9">ROUND(G30*H30,2)</f>
        <v>0</v>
      </c>
      <c r="J30" s="313"/>
      <c r="K30" s="189">
        <f t="shared" ref="K30:K54" si="10">ROUND(G30/8*J30,2)</f>
        <v>0</v>
      </c>
      <c r="L30" s="313"/>
      <c r="M30" s="189">
        <f t="shared" ref="M30:M54" si="11">ROUND(G30/8/60*L30,2)</f>
        <v>0</v>
      </c>
      <c r="N30" s="189">
        <f t="shared" ref="N30:N54" si="12">I30+K30+M30</f>
        <v>0</v>
      </c>
    </row>
    <row r="31" spans="2:14" x14ac:dyDescent="0.25">
      <c r="B31" s="34">
        <f t="shared" si="4"/>
        <v>24</v>
      </c>
      <c r="C31" s="186"/>
      <c r="D31" s="305"/>
      <c r="E31" s="314"/>
      <c r="F31" s="331"/>
      <c r="G31" s="188">
        <f>'CAS - PAY'!I44/31</f>
        <v>0</v>
      </c>
      <c r="H31" s="313"/>
      <c r="I31" s="189">
        <f t="shared" si="9"/>
        <v>0</v>
      </c>
      <c r="J31" s="313"/>
      <c r="K31" s="189">
        <f t="shared" si="10"/>
        <v>0</v>
      </c>
      <c r="L31" s="313"/>
      <c r="M31" s="189">
        <f t="shared" si="11"/>
        <v>0</v>
      </c>
      <c r="N31" s="189">
        <f t="shared" si="12"/>
        <v>0</v>
      </c>
    </row>
    <row r="32" spans="2:14" x14ac:dyDescent="0.25">
      <c r="B32" s="34">
        <f t="shared" si="4"/>
        <v>25</v>
      </c>
      <c r="C32" s="186"/>
      <c r="D32" s="305"/>
      <c r="E32" s="314"/>
      <c r="F32" s="331"/>
      <c r="G32" s="188">
        <f>'CAS - PAY'!I45/31</f>
        <v>0</v>
      </c>
      <c r="H32" s="313"/>
      <c r="I32" s="189">
        <f t="shared" si="9"/>
        <v>0</v>
      </c>
      <c r="J32" s="313"/>
      <c r="K32" s="189">
        <f t="shared" si="10"/>
        <v>0</v>
      </c>
      <c r="L32" s="313"/>
      <c r="M32" s="189">
        <f t="shared" si="11"/>
        <v>0</v>
      </c>
      <c r="N32" s="189">
        <f t="shared" si="12"/>
        <v>0</v>
      </c>
    </row>
    <row r="33" spans="2:14" x14ac:dyDescent="0.25">
      <c r="B33" s="34">
        <f t="shared" si="4"/>
        <v>26</v>
      </c>
      <c r="C33" s="186"/>
      <c r="D33" s="185"/>
      <c r="E33" s="314"/>
      <c r="F33" s="331"/>
      <c r="G33" s="188">
        <f>'CAS - PAY'!I46/31</f>
        <v>0</v>
      </c>
      <c r="H33" s="313"/>
      <c r="I33" s="189">
        <f t="shared" si="9"/>
        <v>0</v>
      </c>
      <c r="J33" s="313"/>
      <c r="K33" s="189">
        <f t="shared" si="10"/>
        <v>0</v>
      </c>
      <c r="L33" s="313"/>
      <c r="M33" s="189">
        <f t="shared" si="11"/>
        <v>0</v>
      </c>
      <c r="N33" s="189">
        <f t="shared" si="12"/>
        <v>0</v>
      </c>
    </row>
    <row r="34" spans="2:14" x14ac:dyDescent="0.25">
      <c r="B34" s="34">
        <f t="shared" si="4"/>
        <v>27</v>
      </c>
      <c r="C34" s="186"/>
      <c r="D34" s="185"/>
      <c r="E34" s="314"/>
      <c r="F34" s="331"/>
      <c r="G34" s="188">
        <f>'CAS - PAY'!I47/31</f>
        <v>0</v>
      </c>
      <c r="H34" s="313"/>
      <c r="I34" s="189">
        <f t="shared" si="9"/>
        <v>0</v>
      </c>
      <c r="J34" s="313"/>
      <c r="K34" s="189">
        <f t="shared" si="10"/>
        <v>0</v>
      </c>
      <c r="L34" s="313"/>
      <c r="M34" s="189">
        <f t="shared" si="11"/>
        <v>0</v>
      </c>
      <c r="N34" s="189">
        <f t="shared" si="12"/>
        <v>0</v>
      </c>
    </row>
    <row r="35" spans="2:14" x14ac:dyDescent="0.25">
      <c r="B35" s="34">
        <f t="shared" si="4"/>
        <v>28</v>
      </c>
      <c r="C35" s="186"/>
      <c r="D35" s="185"/>
      <c r="E35" s="313"/>
      <c r="F35" s="225"/>
      <c r="G35" s="188">
        <f>'CAS - PAY'!I48/31</f>
        <v>0</v>
      </c>
      <c r="H35" s="313"/>
      <c r="I35" s="189">
        <f t="shared" si="9"/>
        <v>0</v>
      </c>
      <c r="J35" s="313"/>
      <c r="K35" s="189">
        <f t="shared" si="10"/>
        <v>0</v>
      </c>
      <c r="L35" s="313"/>
      <c r="M35" s="189">
        <f t="shared" si="11"/>
        <v>0</v>
      </c>
      <c r="N35" s="189">
        <f t="shared" si="12"/>
        <v>0</v>
      </c>
    </row>
    <row r="36" spans="2:14" x14ac:dyDescent="0.25">
      <c r="B36" s="34">
        <f t="shared" si="4"/>
        <v>29</v>
      </c>
      <c r="C36" s="186"/>
      <c r="D36" s="305"/>
      <c r="E36" s="314"/>
      <c r="F36" s="331"/>
      <c r="G36" s="188">
        <f>'CAS - PAY'!I49/31</f>
        <v>0</v>
      </c>
      <c r="H36" s="314"/>
      <c r="I36" s="189">
        <f t="shared" si="9"/>
        <v>0</v>
      </c>
      <c r="J36" s="314"/>
      <c r="K36" s="189">
        <f t="shared" si="10"/>
        <v>0</v>
      </c>
      <c r="L36" s="314"/>
      <c r="M36" s="189">
        <f t="shared" si="11"/>
        <v>0</v>
      </c>
      <c r="N36" s="189">
        <f t="shared" si="12"/>
        <v>0</v>
      </c>
    </row>
    <row r="37" spans="2:14" x14ac:dyDescent="0.25">
      <c r="B37" s="34">
        <f t="shared" si="4"/>
        <v>30</v>
      </c>
      <c r="C37" s="186"/>
      <c r="D37" s="185"/>
      <c r="E37" s="313"/>
      <c r="F37" s="225"/>
      <c r="G37" s="188">
        <f>'CAS - PAY'!I50/31</f>
        <v>0</v>
      </c>
      <c r="H37" s="314"/>
      <c r="I37" s="189">
        <f t="shared" si="9"/>
        <v>0</v>
      </c>
      <c r="J37" s="314"/>
      <c r="K37" s="189">
        <f t="shared" si="10"/>
        <v>0</v>
      </c>
      <c r="L37" s="314"/>
      <c r="M37" s="189">
        <f t="shared" si="11"/>
        <v>0</v>
      </c>
      <c r="N37" s="189">
        <f t="shared" si="12"/>
        <v>0</v>
      </c>
    </row>
    <row r="38" spans="2:14" x14ac:dyDescent="0.25">
      <c r="B38" s="34">
        <f t="shared" ref="B38:B53" si="13">+B21+1</f>
        <v>15</v>
      </c>
      <c r="C38" s="186"/>
      <c r="D38" s="184"/>
      <c r="E38" s="314"/>
      <c r="F38" s="331"/>
      <c r="G38" s="188">
        <f>'CAS - PAY'!I35/31</f>
        <v>0</v>
      </c>
      <c r="H38" s="313"/>
      <c r="I38" s="189">
        <f t="shared" ref="I38:I53" si="14">ROUND(G38*H38,2)</f>
        <v>0</v>
      </c>
      <c r="J38" s="313"/>
      <c r="K38" s="189">
        <f t="shared" ref="K38:K53" si="15">ROUND(G38/8*J38,2)</f>
        <v>0</v>
      </c>
      <c r="L38" s="313"/>
      <c r="M38" s="189">
        <f t="shared" ref="M38:M53" si="16">ROUND(G38/8/60*L38,2)</f>
        <v>0</v>
      </c>
      <c r="N38" s="189">
        <f t="shared" ref="N38:N53" si="17">I38+K38+M38</f>
        <v>0</v>
      </c>
    </row>
    <row r="39" spans="2:14" x14ac:dyDescent="0.25">
      <c r="B39" s="34">
        <f t="shared" si="13"/>
        <v>16</v>
      </c>
      <c r="C39" s="186"/>
      <c r="D39" s="184"/>
      <c r="E39" s="314"/>
      <c r="F39" s="331"/>
      <c r="G39" s="188">
        <f>'CAS - PAY'!I36/31</f>
        <v>0</v>
      </c>
      <c r="H39" s="313"/>
      <c r="I39" s="189">
        <f t="shared" si="14"/>
        <v>0</v>
      </c>
      <c r="J39" s="313"/>
      <c r="K39" s="189">
        <f t="shared" si="15"/>
        <v>0</v>
      </c>
      <c r="L39" s="313"/>
      <c r="M39" s="189">
        <f t="shared" si="16"/>
        <v>0</v>
      </c>
      <c r="N39" s="189">
        <f t="shared" si="17"/>
        <v>0</v>
      </c>
    </row>
    <row r="40" spans="2:14" x14ac:dyDescent="0.25">
      <c r="B40" s="34">
        <f t="shared" si="13"/>
        <v>17</v>
      </c>
      <c r="C40" s="186"/>
      <c r="D40" s="184"/>
      <c r="E40" s="314"/>
      <c r="F40" s="331"/>
      <c r="G40" s="188">
        <f>'CAS - PAY'!I37/31</f>
        <v>0</v>
      </c>
      <c r="H40" s="313"/>
      <c r="I40" s="189">
        <f t="shared" si="14"/>
        <v>0</v>
      </c>
      <c r="J40" s="313"/>
      <c r="K40" s="189">
        <f t="shared" si="15"/>
        <v>0</v>
      </c>
      <c r="L40" s="313"/>
      <c r="M40" s="189">
        <f t="shared" si="16"/>
        <v>0</v>
      </c>
      <c r="N40" s="189">
        <f t="shared" si="17"/>
        <v>0</v>
      </c>
    </row>
    <row r="41" spans="2:14" x14ac:dyDescent="0.25">
      <c r="B41" s="34">
        <f t="shared" si="13"/>
        <v>18</v>
      </c>
      <c r="C41" s="186"/>
      <c r="D41" s="184"/>
      <c r="E41" s="314"/>
      <c r="F41" s="331"/>
      <c r="G41" s="188">
        <f>'CAS - PAY'!I38/31</f>
        <v>0</v>
      </c>
      <c r="H41" s="313"/>
      <c r="I41" s="189">
        <f t="shared" si="14"/>
        <v>0</v>
      </c>
      <c r="J41" s="313"/>
      <c r="K41" s="189">
        <f t="shared" si="15"/>
        <v>0</v>
      </c>
      <c r="L41" s="313"/>
      <c r="M41" s="189">
        <f t="shared" si="16"/>
        <v>0</v>
      </c>
      <c r="N41" s="189">
        <f t="shared" si="17"/>
        <v>0</v>
      </c>
    </row>
    <row r="42" spans="2:14" x14ac:dyDescent="0.25">
      <c r="B42" s="34">
        <f t="shared" si="13"/>
        <v>19</v>
      </c>
      <c r="C42" s="186"/>
      <c r="D42" s="184"/>
      <c r="E42" s="314"/>
      <c r="F42" s="331"/>
      <c r="G42" s="188">
        <f>'CAS - PAY'!I39/31</f>
        <v>0</v>
      </c>
      <c r="H42" s="313"/>
      <c r="I42" s="189">
        <f t="shared" si="14"/>
        <v>0</v>
      </c>
      <c r="J42" s="313"/>
      <c r="K42" s="189">
        <f t="shared" si="15"/>
        <v>0</v>
      </c>
      <c r="L42" s="313"/>
      <c r="M42" s="189">
        <f t="shared" si="16"/>
        <v>0</v>
      </c>
      <c r="N42" s="189">
        <f t="shared" si="17"/>
        <v>0</v>
      </c>
    </row>
    <row r="43" spans="2:14" x14ac:dyDescent="0.25">
      <c r="B43" s="34">
        <f t="shared" si="13"/>
        <v>20</v>
      </c>
      <c r="C43" s="186"/>
      <c r="D43" s="184"/>
      <c r="E43" s="314"/>
      <c r="F43" s="331"/>
      <c r="G43" s="188">
        <f>'CAS - PAY'!I40/31</f>
        <v>0</v>
      </c>
      <c r="H43" s="313"/>
      <c r="I43" s="189">
        <f t="shared" si="14"/>
        <v>0</v>
      </c>
      <c r="J43" s="313"/>
      <c r="K43" s="189">
        <f t="shared" si="15"/>
        <v>0</v>
      </c>
      <c r="L43" s="313"/>
      <c r="M43" s="189">
        <f t="shared" si="16"/>
        <v>0</v>
      </c>
      <c r="N43" s="189">
        <f t="shared" si="17"/>
        <v>0</v>
      </c>
    </row>
    <row r="44" spans="2:14" x14ac:dyDescent="0.25">
      <c r="B44" s="34">
        <f t="shared" si="13"/>
        <v>21</v>
      </c>
      <c r="C44" s="186"/>
      <c r="D44" s="184"/>
      <c r="E44" s="314"/>
      <c r="F44" s="331"/>
      <c r="G44" s="188">
        <f>'CAS - PAY'!I41/31</f>
        <v>0</v>
      </c>
      <c r="H44" s="313"/>
      <c r="I44" s="189">
        <f t="shared" si="14"/>
        <v>0</v>
      </c>
      <c r="J44" s="313"/>
      <c r="K44" s="189">
        <f t="shared" si="15"/>
        <v>0</v>
      </c>
      <c r="L44" s="313"/>
      <c r="M44" s="189">
        <f t="shared" si="16"/>
        <v>0</v>
      </c>
      <c r="N44" s="189">
        <f t="shared" si="17"/>
        <v>0</v>
      </c>
    </row>
    <row r="45" spans="2:14" x14ac:dyDescent="0.25">
      <c r="B45" s="34">
        <f t="shared" si="13"/>
        <v>22</v>
      </c>
      <c r="C45" s="186"/>
      <c r="D45" s="184"/>
      <c r="E45" s="314"/>
      <c r="F45" s="331"/>
      <c r="G45" s="188">
        <f>'CAS - PAY'!I42/31</f>
        <v>0</v>
      </c>
      <c r="H45" s="313"/>
      <c r="I45" s="189">
        <f t="shared" si="14"/>
        <v>0</v>
      </c>
      <c r="J45" s="313"/>
      <c r="K45" s="189">
        <f t="shared" si="15"/>
        <v>0</v>
      </c>
      <c r="L45" s="313"/>
      <c r="M45" s="189">
        <f t="shared" si="16"/>
        <v>0</v>
      </c>
      <c r="N45" s="189">
        <f t="shared" si="17"/>
        <v>0</v>
      </c>
    </row>
    <row r="46" spans="2:14" x14ac:dyDescent="0.25">
      <c r="B46" s="34">
        <f t="shared" si="13"/>
        <v>23</v>
      </c>
      <c r="C46" s="186"/>
      <c r="D46" s="184"/>
      <c r="E46" s="314"/>
      <c r="F46" s="331"/>
      <c r="G46" s="188">
        <f>'CAS - PAY'!I43/31</f>
        <v>0</v>
      </c>
      <c r="H46" s="313"/>
      <c r="I46" s="189">
        <f t="shared" si="14"/>
        <v>0</v>
      </c>
      <c r="J46" s="313"/>
      <c r="K46" s="189">
        <f t="shared" si="15"/>
        <v>0</v>
      </c>
      <c r="L46" s="313"/>
      <c r="M46" s="189">
        <f t="shared" si="16"/>
        <v>0</v>
      </c>
      <c r="N46" s="189">
        <f t="shared" si="17"/>
        <v>0</v>
      </c>
    </row>
    <row r="47" spans="2:14" x14ac:dyDescent="0.25">
      <c r="B47" s="34">
        <f t="shared" si="13"/>
        <v>24</v>
      </c>
      <c r="C47" s="186"/>
      <c r="D47" s="184"/>
      <c r="E47" s="314"/>
      <c r="F47" s="331"/>
      <c r="G47" s="188">
        <f>'CAS - PAY'!I44/31</f>
        <v>0</v>
      </c>
      <c r="H47" s="313"/>
      <c r="I47" s="189">
        <f t="shared" si="14"/>
        <v>0</v>
      </c>
      <c r="J47" s="313"/>
      <c r="K47" s="189">
        <f t="shared" si="15"/>
        <v>0</v>
      </c>
      <c r="L47" s="313"/>
      <c r="M47" s="189">
        <f t="shared" si="16"/>
        <v>0</v>
      </c>
      <c r="N47" s="189">
        <f t="shared" si="17"/>
        <v>0</v>
      </c>
    </row>
    <row r="48" spans="2:14" x14ac:dyDescent="0.25">
      <c r="B48" s="34">
        <f t="shared" si="13"/>
        <v>25</v>
      </c>
      <c r="C48" s="186"/>
      <c r="D48" s="184"/>
      <c r="E48" s="314"/>
      <c r="F48" s="331"/>
      <c r="G48" s="188">
        <f>'CAS - PAY'!I45/31</f>
        <v>0</v>
      </c>
      <c r="H48" s="313"/>
      <c r="I48" s="189">
        <f t="shared" si="14"/>
        <v>0</v>
      </c>
      <c r="J48" s="313"/>
      <c r="K48" s="189">
        <f t="shared" si="15"/>
        <v>0</v>
      </c>
      <c r="L48" s="313"/>
      <c r="M48" s="189">
        <f t="shared" si="16"/>
        <v>0</v>
      </c>
      <c r="N48" s="189">
        <f t="shared" si="17"/>
        <v>0</v>
      </c>
    </row>
    <row r="49" spans="2:14" x14ac:dyDescent="0.25">
      <c r="B49" s="34">
        <f t="shared" si="13"/>
        <v>26</v>
      </c>
      <c r="C49" s="186"/>
      <c r="D49" s="184"/>
      <c r="E49" s="314"/>
      <c r="F49" s="331"/>
      <c r="G49" s="188">
        <f>'CAS - PAY'!I46/31</f>
        <v>0</v>
      </c>
      <c r="H49" s="313"/>
      <c r="I49" s="189">
        <f t="shared" si="14"/>
        <v>0</v>
      </c>
      <c r="J49" s="313"/>
      <c r="K49" s="189">
        <f t="shared" si="15"/>
        <v>0</v>
      </c>
      <c r="L49" s="313"/>
      <c r="M49" s="189">
        <f t="shared" si="16"/>
        <v>0</v>
      </c>
      <c r="N49" s="189">
        <f t="shared" si="17"/>
        <v>0</v>
      </c>
    </row>
    <row r="50" spans="2:14" x14ac:dyDescent="0.25">
      <c r="B50" s="34">
        <f t="shared" si="13"/>
        <v>27</v>
      </c>
      <c r="C50" s="186"/>
      <c r="D50" s="184"/>
      <c r="E50" s="314"/>
      <c r="F50" s="331"/>
      <c r="G50" s="188">
        <f>'CAS - PAY'!I47/31</f>
        <v>0</v>
      </c>
      <c r="H50" s="313"/>
      <c r="I50" s="189">
        <f t="shared" si="14"/>
        <v>0</v>
      </c>
      <c r="J50" s="313"/>
      <c r="K50" s="189">
        <f t="shared" si="15"/>
        <v>0</v>
      </c>
      <c r="L50" s="313"/>
      <c r="M50" s="189">
        <f t="shared" si="16"/>
        <v>0</v>
      </c>
      <c r="N50" s="189">
        <f t="shared" si="17"/>
        <v>0</v>
      </c>
    </row>
    <row r="51" spans="2:14" x14ac:dyDescent="0.25">
      <c r="B51" s="34">
        <f t="shared" si="13"/>
        <v>28</v>
      </c>
      <c r="C51" s="186"/>
      <c r="D51" s="184"/>
      <c r="E51" s="314"/>
      <c r="F51" s="331"/>
      <c r="G51" s="188">
        <f>'CAS - PAY'!I48/31</f>
        <v>0</v>
      </c>
      <c r="H51" s="313"/>
      <c r="I51" s="189">
        <f t="shared" si="14"/>
        <v>0</v>
      </c>
      <c r="J51" s="313"/>
      <c r="K51" s="189">
        <f t="shared" si="15"/>
        <v>0</v>
      </c>
      <c r="L51" s="313"/>
      <c r="M51" s="189">
        <f t="shared" si="16"/>
        <v>0</v>
      </c>
      <c r="N51" s="189">
        <f t="shared" si="17"/>
        <v>0</v>
      </c>
    </row>
    <row r="52" spans="2:14" x14ac:dyDescent="0.25">
      <c r="B52" s="34">
        <f t="shared" si="13"/>
        <v>29</v>
      </c>
      <c r="C52" s="186"/>
      <c r="D52" s="184"/>
      <c r="E52" s="314"/>
      <c r="F52" s="331"/>
      <c r="G52" s="188">
        <f>'CAS - PAY'!I49/31</f>
        <v>0</v>
      </c>
      <c r="H52" s="313"/>
      <c r="I52" s="189">
        <f t="shared" si="14"/>
        <v>0</v>
      </c>
      <c r="J52" s="313"/>
      <c r="K52" s="189">
        <f t="shared" si="15"/>
        <v>0</v>
      </c>
      <c r="L52" s="313"/>
      <c r="M52" s="189">
        <f t="shared" si="16"/>
        <v>0</v>
      </c>
      <c r="N52" s="189">
        <f t="shared" si="17"/>
        <v>0</v>
      </c>
    </row>
    <row r="53" spans="2:14" x14ac:dyDescent="0.25">
      <c r="B53" s="34">
        <f t="shared" si="13"/>
        <v>30</v>
      </c>
      <c r="C53" s="186"/>
      <c r="D53" s="184"/>
      <c r="E53" s="314"/>
      <c r="F53" s="331"/>
      <c r="G53" s="188">
        <f>'CAS - PAY'!I50/31</f>
        <v>0</v>
      </c>
      <c r="H53" s="313"/>
      <c r="I53" s="189">
        <f t="shared" si="14"/>
        <v>0</v>
      </c>
      <c r="J53" s="313"/>
      <c r="K53" s="189">
        <f t="shared" si="15"/>
        <v>0</v>
      </c>
      <c r="L53" s="313"/>
      <c r="M53" s="189">
        <f t="shared" si="16"/>
        <v>0</v>
      </c>
      <c r="N53" s="189">
        <f t="shared" si="17"/>
        <v>0</v>
      </c>
    </row>
    <row r="54" spans="2:14" x14ac:dyDescent="0.25">
      <c r="B54" s="34">
        <f>+B37+1</f>
        <v>31</v>
      </c>
      <c r="C54" s="186"/>
      <c r="D54" s="184"/>
      <c r="E54" s="314"/>
      <c r="F54" s="331"/>
      <c r="G54" s="188">
        <f>'CAS - PAY'!I67/31</f>
        <v>0</v>
      </c>
      <c r="H54" s="313"/>
      <c r="I54" s="189">
        <f t="shared" si="9"/>
        <v>0</v>
      </c>
      <c r="J54" s="313"/>
      <c r="K54" s="189">
        <f t="shared" si="10"/>
        <v>0</v>
      </c>
      <c r="L54" s="313"/>
      <c r="M54" s="189">
        <f t="shared" si="11"/>
        <v>0</v>
      </c>
      <c r="N54" s="189">
        <f t="shared" si="12"/>
        <v>0</v>
      </c>
    </row>
    <row r="55" spans="2:14" ht="16.5" thickBot="1" x14ac:dyDescent="0.3">
      <c r="B55" s="180"/>
      <c r="C55" s="181"/>
      <c r="D55" s="29"/>
      <c r="E55" s="338"/>
      <c r="F55" s="327">
        <f>SUM(F8:F54)</f>
        <v>0</v>
      </c>
      <c r="G55" s="327"/>
      <c r="H55" s="327"/>
      <c r="I55" s="327">
        <f>SUM(I8:I54)</f>
        <v>0</v>
      </c>
      <c r="J55" s="327"/>
      <c r="K55" s="327">
        <f>SUM(K8:K54)</f>
        <v>0</v>
      </c>
      <c r="L55" s="327"/>
      <c r="M55" s="327">
        <f>SUM(M8:M54)</f>
        <v>0</v>
      </c>
      <c r="N55" s="327">
        <f>SUM(N8:N54)</f>
        <v>0</v>
      </c>
    </row>
    <row r="56" spans="2:14" x14ac:dyDescent="0.25">
      <c r="F56" s="205">
        <f>F55-'CAS - PAY'!L69</f>
        <v>0</v>
      </c>
      <c r="G56" s="205"/>
      <c r="H56" s="205"/>
      <c r="I56" s="205"/>
      <c r="J56" s="205"/>
      <c r="K56" s="205"/>
      <c r="L56" s="205"/>
      <c r="M56" s="205"/>
      <c r="N56" s="205">
        <f>N55-'CAS - PAY'!J69</f>
        <v>0</v>
      </c>
    </row>
  </sheetData>
  <mergeCells count="9">
    <mergeCell ref="B2:N2"/>
    <mergeCell ref="E4:E6"/>
    <mergeCell ref="H4:N5"/>
    <mergeCell ref="B3:N3"/>
    <mergeCell ref="G4:G6"/>
    <mergeCell ref="B4:B6"/>
    <mergeCell ref="C4:C6"/>
    <mergeCell ref="D4:D6"/>
    <mergeCell ref="F4:F6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>
    <tabColor rgb="FF002060"/>
    <pageSetUpPr fitToPage="1"/>
  </sheetPr>
  <dimension ref="A1:Z88"/>
  <sheetViews>
    <sheetView showWhiteSpace="0" topLeftCell="A25" zoomScaleNormal="100" zoomScaleSheetLayoutView="100" workbookViewId="0">
      <selection activeCell="A41" sqref="A41:XFD41"/>
    </sheetView>
  </sheetViews>
  <sheetFormatPr defaultRowHeight="30.75" x14ac:dyDescent="0.25"/>
  <cols>
    <col min="1" max="1" width="9.375" style="31" customWidth="1"/>
    <col min="2" max="2" width="6.75" style="4" customWidth="1"/>
    <col min="3" max="3" width="24.625" style="4" customWidth="1"/>
    <col min="4" max="4" width="12.875" style="4" customWidth="1"/>
    <col min="5" max="5" width="9.625" style="57" customWidth="1"/>
    <col min="6" max="6" width="13.375" style="4" customWidth="1"/>
    <col min="7" max="7" width="8.5" style="4" customWidth="1"/>
    <col min="8" max="8" width="9.75" style="4" customWidth="1"/>
    <col min="9" max="9" width="13.125" style="4" customWidth="1"/>
    <col min="10" max="10" width="11.125" style="4" customWidth="1"/>
    <col min="11" max="11" width="13.25" style="4" customWidth="1"/>
    <col min="12" max="13" width="11.5" style="4" customWidth="1"/>
    <col min="14" max="14" width="10.375" style="4" customWidth="1"/>
    <col min="15" max="15" width="11" style="4" bestFit="1" customWidth="1"/>
    <col min="16" max="16" width="11.875" style="4" customWidth="1"/>
    <col min="17" max="17" width="15.125" style="4" bestFit="1" customWidth="1"/>
    <col min="18" max="18" width="13.125" style="4" customWidth="1"/>
    <col min="19" max="19" width="12.75" style="4" customWidth="1"/>
    <col min="20" max="20" width="12.125" style="4" bestFit="1" customWidth="1"/>
    <col min="21" max="21" width="3.75" style="57" customWidth="1"/>
    <col min="22" max="22" width="14.25" style="4" customWidth="1"/>
    <col min="23" max="23" width="10.625" style="4" customWidth="1"/>
    <col min="24" max="24" width="11.625" style="4" bestFit="1" customWidth="1"/>
    <col min="25" max="25" width="11" style="4" bestFit="1" customWidth="1"/>
    <col min="26" max="26" width="5.625" style="4" customWidth="1"/>
    <col min="27" max="16384" width="9" style="4"/>
  </cols>
  <sheetData>
    <row r="1" spans="1:25" ht="23.25" customHeight="1" x14ac:dyDescent="0.25">
      <c r="A1" s="98">
        <v>94</v>
      </c>
      <c r="Q1" s="5"/>
      <c r="R1" s="5"/>
      <c r="S1" s="5"/>
      <c r="T1" s="5"/>
      <c r="U1" s="52"/>
      <c r="V1" s="3"/>
      <c r="W1" s="3"/>
    </row>
    <row r="2" spans="1:25" ht="23.25" x14ac:dyDescent="0.25">
      <c r="A2" s="98"/>
      <c r="Q2" s="5"/>
      <c r="R2" s="5"/>
      <c r="S2" s="5"/>
      <c r="T2" s="5"/>
      <c r="U2" s="53"/>
      <c r="V2" s="2"/>
      <c r="W2" s="2"/>
      <c r="X2" s="864" t="s">
        <v>40</v>
      </c>
      <c r="Y2" s="864"/>
    </row>
    <row r="3" spans="1:25" ht="15.75" customHeight="1" x14ac:dyDescent="0.25">
      <c r="A3" s="98"/>
      <c r="B3" s="877" t="s">
        <v>42</v>
      </c>
      <c r="C3" s="877"/>
      <c r="D3" s="877"/>
      <c r="E3" s="877"/>
      <c r="F3" s="877"/>
      <c r="G3" s="877"/>
      <c r="H3" s="877"/>
      <c r="I3" s="877"/>
      <c r="J3" s="877"/>
      <c r="K3" s="877"/>
      <c r="L3" s="877"/>
      <c r="M3" s="877"/>
      <c r="N3" s="877"/>
      <c r="O3" s="877"/>
      <c r="P3" s="877"/>
      <c r="Q3" s="877"/>
      <c r="R3" s="877"/>
      <c r="S3" s="877"/>
      <c r="T3" s="877"/>
      <c r="U3" s="877"/>
      <c r="V3" s="877"/>
      <c r="W3" s="877"/>
      <c r="X3" s="877"/>
      <c r="Y3" s="877"/>
    </row>
    <row r="4" spans="1:25" ht="15.75" customHeight="1" x14ac:dyDescent="0.25">
      <c r="A4" s="98"/>
      <c r="B4" s="878" t="s">
        <v>43</v>
      </c>
      <c r="C4" s="878"/>
      <c r="D4" s="878"/>
      <c r="E4" s="878"/>
      <c r="F4" s="878"/>
      <c r="G4" s="878"/>
      <c r="H4" s="878"/>
      <c r="I4" s="878"/>
      <c r="J4" s="878"/>
      <c r="K4" s="878"/>
      <c r="L4" s="878"/>
      <c r="M4" s="878"/>
      <c r="N4" s="878"/>
      <c r="O4" s="878"/>
      <c r="P4" s="878"/>
      <c r="Q4" s="878"/>
      <c r="R4" s="878"/>
      <c r="S4" s="878"/>
      <c r="T4" s="878"/>
      <c r="U4" s="878"/>
      <c r="V4" s="878"/>
      <c r="W4" s="878"/>
      <c r="X4" s="878"/>
      <c r="Y4" s="878"/>
    </row>
    <row r="5" spans="1:25" ht="15.75" customHeight="1" x14ac:dyDescent="0.25">
      <c r="A5" s="98"/>
      <c r="B5" s="878" t="s">
        <v>44</v>
      </c>
      <c r="C5" s="878"/>
      <c r="D5" s="878"/>
      <c r="E5" s="878"/>
      <c r="F5" s="878"/>
      <c r="G5" s="878"/>
      <c r="H5" s="878"/>
      <c r="I5" s="878"/>
      <c r="J5" s="878"/>
      <c r="K5" s="878"/>
      <c r="L5" s="878"/>
      <c r="M5" s="878"/>
      <c r="N5" s="878"/>
      <c r="O5" s="878"/>
      <c r="P5" s="878"/>
      <c r="Q5" s="878"/>
      <c r="R5" s="878"/>
      <c r="S5" s="878"/>
      <c r="T5" s="878"/>
      <c r="U5" s="878"/>
      <c r="V5" s="878"/>
      <c r="W5" s="878"/>
      <c r="X5" s="878"/>
      <c r="Y5" s="878"/>
    </row>
    <row r="6" spans="1:25" ht="15.75" customHeight="1" x14ac:dyDescent="0.25">
      <c r="A6" s="98"/>
      <c r="B6" s="877" t="s">
        <v>45</v>
      </c>
      <c r="C6" s="877"/>
      <c r="D6" s="877"/>
      <c r="E6" s="877"/>
      <c r="F6" s="877"/>
      <c r="G6" s="877"/>
      <c r="H6" s="877"/>
      <c r="I6" s="877"/>
      <c r="J6" s="877"/>
      <c r="K6" s="877"/>
      <c r="L6" s="877"/>
      <c r="M6" s="877"/>
      <c r="N6" s="877"/>
      <c r="O6" s="877"/>
      <c r="P6" s="877"/>
      <c r="Q6" s="877"/>
      <c r="R6" s="877"/>
      <c r="S6" s="877"/>
      <c r="T6" s="877"/>
      <c r="U6" s="877"/>
      <c r="V6" s="877"/>
      <c r="W6" s="877"/>
      <c r="X6" s="877"/>
      <c r="Y6" s="877"/>
    </row>
    <row r="7" spans="1:25" ht="15.75" customHeight="1" x14ac:dyDescent="0.25">
      <c r="A7" s="98"/>
      <c r="Q7" s="2"/>
      <c r="R7" s="2"/>
      <c r="S7" s="2"/>
      <c r="T7" s="2"/>
      <c r="U7" s="53"/>
      <c r="V7" s="2"/>
      <c r="W7" s="2"/>
      <c r="X7" s="2"/>
      <c r="Y7" s="2"/>
    </row>
    <row r="8" spans="1:25" ht="22.5" x14ac:dyDescent="0.25">
      <c r="A8" s="98"/>
      <c r="B8" s="882" t="s">
        <v>13</v>
      </c>
      <c r="C8" s="882"/>
      <c r="D8" s="882"/>
      <c r="E8" s="882"/>
      <c r="F8" s="882"/>
      <c r="G8" s="882"/>
      <c r="H8" s="882"/>
      <c r="I8" s="882"/>
      <c r="J8" s="882"/>
      <c r="K8" s="882"/>
      <c r="L8" s="882"/>
      <c r="M8" s="882"/>
      <c r="N8" s="882"/>
      <c r="O8" s="882"/>
      <c r="P8" s="882"/>
      <c r="Q8" s="882"/>
      <c r="R8" s="882"/>
      <c r="S8" s="882"/>
      <c r="T8" s="882"/>
      <c r="U8" s="882"/>
      <c r="V8" s="882"/>
      <c r="W8" s="882"/>
      <c r="X8" s="882"/>
      <c r="Y8" s="882"/>
    </row>
    <row r="9" spans="1:25" ht="20.25" x14ac:dyDescent="0.25">
      <c r="A9" s="98"/>
      <c r="B9" s="867" t="s">
        <v>142</v>
      </c>
      <c r="C9" s="867"/>
      <c r="D9" s="867"/>
      <c r="E9" s="867"/>
      <c r="F9" s="867"/>
      <c r="G9" s="867"/>
      <c r="H9" s="867"/>
      <c r="I9" s="867"/>
      <c r="J9" s="867"/>
      <c r="K9" s="867"/>
      <c r="L9" s="867"/>
      <c r="M9" s="867"/>
      <c r="N9" s="867"/>
      <c r="O9" s="867"/>
      <c r="P9" s="867"/>
      <c r="Q9" s="867"/>
      <c r="R9" s="867"/>
      <c r="S9" s="867"/>
      <c r="T9" s="867"/>
      <c r="U9" s="867"/>
      <c r="V9" s="867"/>
      <c r="W9" s="867"/>
      <c r="X9" s="867"/>
      <c r="Y9" s="867"/>
    </row>
    <row r="10" spans="1:25" ht="20.25" x14ac:dyDescent="0.25">
      <c r="A10" s="98"/>
      <c r="B10" s="879" t="s">
        <v>41</v>
      </c>
      <c r="C10" s="879"/>
      <c r="D10" s="879"/>
      <c r="E10" s="879"/>
      <c r="F10" s="879"/>
      <c r="G10" s="879"/>
      <c r="H10" s="879"/>
      <c r="I10" s="879"/>
      <c r="J10" s="879"/>
      <c r="K10" s="879"/>
      <c r="L10" s="879"/>
      <c r="M10" s="879"/>
      <c r="N10" s="879"/>
      <c r="O10" s="879"/>
      <c r="P10" s="879"/>
      <c r="Q10" s="879"/>
      <c r="R10" s="879"/>
      <c r="S10" s="879"/>
      <c r="T10" s="879"/>
      <c r="U10" s="879"/>
      <c r="V10" s="879"/>
      <c r="W10" s="879"/>
      <c r="X10" s="879"/>
      <c r="Y10" s="879"/>
    </row>
    <row r="11" spans="1:25" ht="20.25" x14ac:dyDescent="0.25">
      <c r="A11" s="98"/>
      <c r="B11" s="879" t="s">
        <v>138</v>
      </c>
      <c r="C11" s="879"/>
      <c r="D11" s="879"/>
      <c r="E11" s="879"/>
      <c r="F11" s="879"/>
      <c r="G11" s="879"/>
      <c r="H11" s="879"/>
      <c r="I11" s="879"/>
      <c r="J11" s="879"/>
      <c r="K11" s="879"/>
      <c r="L11" s="879"/>
      <c r="M11" s="879"/>
      <c r="N11" s="879"/>
      <c r="O11" s="879"/>
      <c r="P11" s="879"/>
      <c r="Q11" s="879"/>
      <c r="R11" s="879"/>
      <c r="S11" s="879"/>
      <c r="T11" s="879"/>
      <c r="U11" s="879"/>
      <c r="V11" s="879"/>
      <c r="W11" s="879"/>
      <c r="X11" s="879"/>
      <c r="Y11" s="879"/>
    </row>
    <row r="12" spans="1:25" ht="15.75" x14ac:dyDescent="0.25">
      <c r="A12" s="98"/>
      <c r="B12" s="9"/>
      <c r="C12" s="6"/>
      <c r="D12" s="866" t="s">
        <v>106</v>
      </c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</row>
    <row r="13" spans="1:25" s="8" customFormat="1" ht="24.95" customHeight="1" x14ac:dyDescent="0.25">
      <c r="A13" s="98"/>
      <c r="B13" s="865" t="s">
        <v>88</v>
      </c>
      <c r="C13" s="865"/>
      <c r="D13" s="867"/>
      <c r="E13" s="178"/>
      <c r="F13" s="169"/>
      <c r="G13" s="169"/>
      <c r="H13" s="169"/>
      <c r="I13" s="169"/>
      <c r="J13" s="169"/>
      <c r="K13" s="169"/>
      <c r="L13" s="169"/>
      <c r="M13" s="169"/>
      <c r="N13" s="169"/>
      <c r="O13" s="169"/>
      <c r="P13" s="169"/>
      <c r="Q13" s="9"/>
      <c r="R13" s="9"/>
      <c r="S13" s="9"/>
      <c r="T13" s="9"/>
      <c r="U13" s="169" t="s">
        <v>103</v>
      </c>
      <c r="V13" s="169"/>
      <c r="W13" s="832" t="str">
        <f>SUMMARY!B13</f>
        <v>2026-01-019</v>
      </c>
      <c r="X13" s="832"/>
      <c r="Y13" s="832"/>
    </row>
    <row r="14" spans="1:25" s="8" customFormat="1" ht="24.95" customHeight="1" x14ac:dyDescent="0.25">
      <c r="A14" s="98"/>
      <c r="B14" s="9"/>
      <c r="C14" s="9"/>
      <c r="D14" s="867"/>
      <c r="E14" s="6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169"/>
      <c r="V14" s="169"/>
      <c r="W14" s="9"/>
      <c r="X14" s="9"/>
      <c r="Y14" s="9"/>
    </row>
    <row r="15" spans="1:25" s="8" customFormat="1" ht="15.75" customHeight="1" x14ac:dyDescent="0.25">
      <c r="A15" s="98"/>
      <c r="B15" s="872" t="s">
        <v>0</v>
      </c>
      <c r="C15" s="872"/>
      <c r="D15" s="872"/>
      <c r="E15" s="872"/>
      <c r="F15" s="872"/>
      <c r="G15" s="872"/>
      <c r="H15" s="872"/>
      <c r="I15" s="872"/>
      <c r="J15" s="872"/>
      <c r="K15" s="872"/>
      <c r="L15" s="872"/>
      <c r="M15" s="872"/>
      <c r="N15" s="872"/>
      <c r="O15" s="872"/>
      <c r="P15" s="872"/>
      <c r="Q15" s="872"/>
      <c r="R15" s="872"/>
      <c r="S15" s="872"/>
      <c r="T15" s="872"/>
      <c r="U15" s="872"/>
      <c r="V15" s="872"/>
      <c r="W15" s="872"/>
      <c r="X15" s="872"/>
      <c r="Y15" s="872"/>
    </row>
    <row r="16" spans="1:25" ht="9" customHeight="1" thickBot="1" x14ac:dyDescent="0.3">
      <c r="A16" s="98"/>
      <c r="B16" s="9"/>
      <c r="C16" s="10"/>
      <c r="D16" s="10"/>
      <c r="E16" s="54"/>
      <c r="F16" s="10"/>
      <c r="G16" s="10"/>
      <c r="H16" s="10"/>
      <c r="I16" s="10"/>
      <c r="J16" s="9"/>
      <c r="K16" s="9"/>
      <c r="L16" s="9"/>
      <c r="M16" s="9"/>
      <c r="N16" s="9"/>
      <c r="O16" s="9"/>
      <c r="P16" s="9"/>
      <c r="Q16" s="10"/>
      <c r="R16" s="10"/>
      <c r="S16" s="10"/>
      <c r="T16" s="10"/>
      <c r="U16" s="54"/>
      <c r="V16" s="10"/>
      <c r="W16" s="10"/>
      <c r="X16" s="10"/>
      <c r="Y16" s="10"/>
    </row>
    <row r="17" spans="1:26" ht="16.5" customHeight="1" thickBot="1" x14ac:dyDescent="0.3">
      <c r="A17" s="98"/>
      <c r="B17" s="802" t="s">
        <v>6</v>
      </c>
      <c r="C17" s="777" t="s">
        <v>1</v>
      </c>
      <c r="D17" s="777" t="s">
        <v>2</v>
      </c>
      <c r="E17" s="802" t="s">
        <v>14</v>
      </c>
      <c r="F17" s="841" t="s">
        <v>4</v>
      </c>
      <c r="G17" s="833"/>
      <c r="H17" s="833"/>
      <c r="I17" s="833"/>
      <c r="J17" s="833"/>
      <c r="K17" s="834"/>
      <c r="L17" s="833" t="s">
        <v>3</v>
      </c>
      <c r="M17" s="833"/>
      <c r="N17" s="833"/>
      <c r="O17" s="833"/>
      <c r="P17" s="833"/>
      <c r="Q17" s="834"/>
      <c r="R17" s="802" t="s">
        <v>16</v>
      </c>
      <c r="S17" s="856" t="s">
        <v>51</v>
      </c>
      <c r="T17" s="861" t="s">
        <v>52</v>
      </c>
      <c r="U17" s="777" t="s">
        <v>59</v>
      </c>
      <c r="V17" s="841" t="s">
        <v>60</v>
      </c>
      <c r="W17" s="833"/>
      <c r="X17" s="833"/>
      <c r="Y17" s="834"/>
      <c r="Z17" s="11"/>
    </row>
    <row r="18" spans="1:26" ht="19.5" customHeight="1" x14ac:dyDescent="0.25">
      <c r="A18" s="98"/>
      <c r="B18" s="803"/>
      <c r="C18" s="778"/>
      <c r="D18" s="778"/>
      <c r="E18" s="803"/>
      <c r="F18" s="844" t="s">
        <v>48</v>
      </c>
      <c r="G18" s="887" t="s">
        <v>50</v>
      </c>
      <c r="H18" s="892" t="s">
        <v>49</v>
      </c>
      <c r="I18" s="859" t="s">
        <v>5</v>
      </c>
      <c r="J18" s="859" t="s">
        <v>53</v>
      </c>
      <c r="K18" s="848" t="s">
        <v>137</v>
      </c>
      <c r="L18" s="873" t="s">
        <v>54</v>
      </c>
      <c r="M18" s="859" t="s">
        <v>55</v>
      </c>
      <c r="N18" s="859" t="s">
        <v>56</v>
      </c>
      <c r="O18" s="890" t="s">
        <v>57</v>
      </c>
      <c r="P18" s="859" t="s">
        <v>58</v>
      </c>
      <c r="Q18" s="846" t="s">
        <v>17</v>
      </c>
      <c r="R18" s="803"/>
      <c r="S18" s="857"/>
      <c r="T18" s="862"/>
      <c r="U18" s="778"/>
      <c r="V18" s="850" t="s">
        <v>61</v>
      </c>
      <c r="W18" s="852" t="s">
        <v>62</v>
      </c>
      <c r="X18" s="883" t="s">
        <v>57</v>
      </c>
      <c r="Y18" s="885" t="s">
        <v>63</v>
      </c>
      <c r="Z18" s="11"/>
    </row>
    <row r="19" spans="1:26" ht="26.25" customHeight="1" thickBot="1" x14ac:dyDescent="0.3">
      <c r="A19" s="98"/>
      <c r="B19" s="803"/>
      <c r="C19" s="778"/>
      <c r="D19" s="778"/>
      <c r="E19" s="803"/>
      <c r="F19" s="845"/>
      <c r="G19" s="888"/>
      <c r="H19" s="893"/>
      <c r="I19" s="860"/>
      <c r="J19" s="860"/>
      <c r="K19" s="849"/>
      <c r="L19" s="874"/>
      <c r="M19" s="860"/>
      <c r="N19" s="860"/>
      <c r="O19" s="891"/>
      <c r="P19" s="860"/>
      <c r="Q19" s="847"/>
      <c r="R19" s="804"/>
      <c r="S19" s="858"/>
      <c r="T19" s="863"/>
      <c r="U19" s="778"/>
      <c r="V19" s="851"/>
      <c r="W19" s="853"/>
      <c r="X19" s="884"/>
      <c r="Y19" s="886"/>
      <c r="Z19" s="11"/>
    </row>
    <row r="20" spans="1:26" ht="18.75" customHeight="1" x14ac:dyDescent="0.25">
      <c r="A20" s="98"/>
      <c r="B20" s="12"/>
      <c r="C20" s="12"/>
      <c r="D20" s="12"/>
      <c r="E20" s="55"/>
      <c r="F20" s="84"/>
      <c r="G20" s="85"/>
      <c r="H20" s="85"/>
      <c r="I20" s="13"/>
      <c r="J20" s="13"/>
      <c r="K20" s="210"/>
      <c r="L20" s="39"/>
      <c r="M20" s="13"/>
      <c r="N20" s="13"/>
      <c r="O20" s="13"/>
      <c r="P20" s="13"/>
      <c r="Q20" s="14"/>
      <c r="R20" s="12"/>
      <c r="S20" s="48"/>
      <c r="T20" s="43"/>
      <c r="U20" s="55"/>
      <c r="V20" s="46"/>
      <c r="W20" s="47"/>
      <c r="X20" s="47"/>
      <c r="Y20" s="43"/>
    </row>
    <row r="21" spans="1:26" ht="18.75" customHeight="1" x14ac:dyDescent="0.25">
      <c r="A21" s="98"/>
      <c r="B21" s="33">
        <v>1</v>
      </c>
      <c r="C21" s="72">
        <f>VLOOKUP(B21,'WTAX-CAS'!B:N,2,0)</f>
        <v>0</v>
      </c>
      <c r="D21" s="72" t="e">
        <f>VLOOKUP(C21,'WTAX-CAS'!C:O,2,0)</f>
        <v>#N/A</v>
      </c>
      <c r="E21" s="306">
        <f>VLOOKUP(B21,'WTAX-CAS'!B:N,4,0)</f>
        <v>0</v>
      </c>
      <c r="F21" s="86"/>
      <c r="G21" s="88"/>
      <c r="H21" s="88"/>
      <c r="I21" s="37">
        <f t="shared" ref="I21:I39" si="0">SUM(F21:H21)</f>
        <v>0</v>
      </c>
      <c r="J21" s="332">
        <f>'WTAX-CAS'!N8</f>
        <v>0</v>
      </c>
      <c r="K21" s="211">
        <f t="shared" ref="K21:K31" si="1">ROUND(I21-J21,2)</f>
        <v>0</v>
      </c>
      <c r="L21" s="40">
        <f>'WTAX-CAS'!F8</f>
        <v>0</v>
      </c>
      <c r="M21" s="37">
        <f>'CAS - DEDS'!R20</f>
        <v>0</v>
      </c>
      <c r="N21" s="37">
        <f>'CAS - DEDS'!X20</f>
        <v>0</v>
      </c>
      <c r="O21" s="37">
        <f>'CAS - DEDS'!Y20</f>
        <v>0</v>
      </c>
      <c r="P21" s="37">
        <f>'CAS - DEDS'!AE20</f>
        <v>0</v>
      </c>
      <c r="Q21" s="38">
        <f t="shared" ref="Q21:Q31" si="2">ROUND(SUM(L21:P21),2)</f>
        <v>0</v>
      </c>
      <c r="R21" s="49">
        <f t="shared" ref="R21:R31" si="3">K21-Q21</f>
        <v>0</v>
      </c>
      <c r="S21" s="76">
        <f t="shared" ref="S21:S31" si="4">ROUND(R21/2,0)</f>
        <v>0</v>
      </c>
      <c r="T21" s="77">
        <f t="shared" ref="T21:T31" si="5">R21-S21</f>
        <v>0</v>
      </c>
      <c r="U21" s="33">
        <f>B21</f>
        <v>1</v>
      </c>
      <c r="V21" s="36">
        <f>ROUND('CAS - PAY'!I21*0.12,2)</f>
        <v>0</v>
      </c>
      <c r="W21" s="37">
        <v>100</v>
      </c>
      <c r="X21" s="37">
        <f>MIN((I21*0.05)-'CAS - DEDS'!Y20,2500)</f>
        <v>0</v>
      </c>
      <c r="Y21" s="41">
        <v>200</v>
      </c>
    </row>
    <row r="22" spans="1:26" ht="18.75" customHeight="1" x14ac:dyDescent="0.25">
      <c r="A22" s="98"/>
      <c r="B22" s="33">
        <f>+B21+1</f>
        <v>2</v>
      </c>
      <c r="C22" s="72">
        <f>VLOOKUP(B22,'WTAX-CAS'!B:N,2,0)</f>
        <v>0</v>
      </c>
      <c r="D22" s="72" t="e">
        <f>VLOOKUP(C22,'WTAX-CAS'!C:O,2,0)</f>
        <v>#N/A</v>
      </c>
      <c r="E22" s="306">
        <f>VLOOKUP(B22,'WTAX-CAS'!B:N,4,0)</f>
        <v>0</v>
      </c>
      <c r="F22" s="86"/>
      <c r="G22" s="88"/>
      <c r="H22" s="88"/>
      <c r="I22" s="37">
        <f t="shared" si="0"/>
        <v>0</v>
      </c>
      <c r="J22" s="332">
        <f>'WTAX-CAS'!N9</f>
        <v>0</v>
      </c>
      <c r="K22" s="211">
        <f t="shared" si="1"/>
        <v>0</v>
      </c>
      <c r="L22" s="40">
        <f>'WTAX-CAS'!F9</f>
        <v>0</v>
      </c>
      <c r="M22" s="37">
        <f>'CAS - DEDS'!R21</f>
        <v>0</v>
      </c>
      <c r="N22" s="37">
        <f>'CAS - DEDS'!X21</f>
        <v>0</v>
      </c>
      <c r="O22" s="37">
        <f>'CAS - DEDS'!Y21</f>
        <v>0</v>
      </c>
      <c r="P22" s="37">
        <f>'CAS - DEDS'!AE21</f>
        <v>0</v>
      </c>
      <c r="Q22" s="38">
        <f t="shared" si="2"/>
        <v>0</v>
      </c>
      <c r="R22" s="49">
        <f t="shared" si="3"/>
        <v>0</v>
      </c>
      <c r="S22" s="76">
        <f t="shared" si="4"/>
        <v>0</v>
      </c>
      <c r="T22" s="77">
        <f t="shared" si="5"/>
        <v>0</v>
      </c>
      <c r="U22" s="33">
        <f t="shared" ref="U22:U31" si="6">B22</f>
        <v>2</v>
      </c>
      <c r="V22" s="36">
        <f>ROUND('CAS - PAY'!I22*0.12,2)</f>
        <v>0</v>
      </c>
      <c r="W22" s="37">
        <f t="shared" ref="W22:W50" si="7">W21</f>
        <v>100</v>
      </c>
      <c r="X22" s="37">
        <f>MIN((I22*0.05)-'CAS - DEDS'!Y21,2500)</f>
        <v>0</v>
      </c>
      <c r="Y22" s="41">
        <f t="shared" ref="Y22:Y50" si="8">Y21</f>
        <v>200</v>
      </c>
    </row>
    <row r="23" spans="1:26" ht="18.75" customHeight="1" x14ac:dyDescent="0.25">
      <c r="A23" s="98"/>
      <c r="B23" s="33">
        <f>+B22+1</f>
        <v>3</v>
      </c>
      <c r="C23" s="72">
        <f>VLOOKUP(B23,'WTAX-CAS'!B:N,2,0)</f>
        <v>0</v>
      </c>
      <c r="D23" s="72" t="e">
        <f>VLOOKUP(C23,'WTAX-CAS'!C:O,2,0)</f>
        <v>#N/A</v>
      </c>
      <c r="E23" s="306">
        <f>VLOOKUP(B23,'WTAX-CAS'!B:N,4,0)</f>
        <v>0</v>
      </c>
      <c r="F23" s="86"/>
      <c r="G23" s="88"/>
      <c r="H23" s="88"/>
      <c r="I23" s="37">
        <f t="shared" si="0"/>
        <v>0</v>
      </c>
      <c r="J23" s="332">
        <f>'WTAX-CAS'!N10</f>
        <v>0</v>
      </c>
      <c r="K23" s="211">
        <f t="shared" si="1"/>
        <v>0</v>
      </c>
      <c r="L23" s="40">
        <f>'WTAX-CAS'!F10</f>
        <v>0</v>
      </c>
      <c r="M23" s="37">
        <f>'CAS - DEDS'!R22</f>
        <v>0</v>
      </c>
      <c r="N23" s="37">
        <f>'CAS - DEDS'!X22</f>
        <v>0</v>
      </c>
      <c r="O23" s="37">
        <f>'CAS - DEDS'!Y22</f>
        <v>0</v>
      </c>
      <c r="P23" s="37">
        <f>'CAS - DEDS'!AE22</f>
        <v>0</v>
      </c>
      <c r="Q23" s="38">
        <f t="shared" si="2"/>
        <v>0</v>
      </c>
      <c r="R23" s="49">
        <f t="shared" si="3"/>
        <v>0</v>
      </c>
      <c r="S23" s="76">
        <f t="shared" si="4"/>
        <v>0</v>
      </c>
      <c r="T23" s="77">
        <f t="shared" si="5"/>
        <v>0</v>
      </c>
      <c r="U23" s="33">
        <f t="shared" si="6"/>
        <v>3</v>
      </c>
      <c r="V23" s="36">
        <f>ROUND('CAS - PAY'!I23*0.12,2)</f>
        <v>0</v>
      </c>
      <c r="W23" s="37">
        <f t="shared" si="7"/>
        <v>100</v>
      </c>
      <c r="X23" s="37">
        <f>MIN((I23*0.05)-'CAS - DEDS'!Y22,2500)</f>
        <v>0</v>
      </c>
      <c r="Y23" s="41">
        <f t="shared" si="8"/>
        <v>200</v>
      </c>
    </row>
    <row r="24" spans="1:26" ht="18.75" customHeight="1" x14ac:dyDescent="0.25">
      <c r="A24" s="98"/>
      <c r="B24" s="33">
        <f>+B23+1</f>
        <v>4</v>
      </c>
      <c r="C24" s="72">
        <f>VLOOKUP(B24,'WTAX-CAS'!B:N,2,0)</f>
        <v>0</v>
      </c>
      <c r="D24" s="72" t="e">
        <f>VLOOKUP(C24,'WTAX-CAS'!C:O,2,0)</f>
        <v>#N/A</v>
      </c>
      <c r="E24" s="306">
        <f>VLOOKUP(B24,'WTAX-CAS'!B:N,4,0)</f>
        <v>0</v>
      </c>
      <c r="F24" s="86"/>
      <c r="G24" s="88"/>
      <c r="H24" s="88"/>
      <c r="I24" s="37">
        <f t="shared" si="0"/>
        <v>0</v>
      </c>
      <c r="J24" s="332">
        <f>'WTAX-CAS'!N11</f>
        <v>0</v>
      </c>
      <c r="K24" s="211">
        <f t="shared" si="1"/>
        <v>0</v>
      </c>
      <c r="L24" s="40">
        <f>'WTAX-CAS'!F11</f>
        <v>0</v>
      </c>
      <c r="M24" s="37">
        <f>'CAS - DEDS'!R23</f>
        <v>0</v>
      </c>
      <c r="N24" s="37">
        <f>'CAS - DEDS'!X23</f>
        <v>0</v>
      </c>
      <c r="O24" s="37">
        <f>'CAS - DEDS'!Y23</f>
        <v>0</v>
      </c>
      <c r="P24" s="37">
        <f>'CAS - DEDS'!AE23</f>
        <v>0</v>
      </c>
      <c r="Q24" s="38">
        <f t="shared" si="2"/>
        <v>0</v>
      </c>
      <c r="R24" s="49">
        <f t="shared" si="3"/>
        <v>0</v>
      </c>
      <c r="S24" s="76">
        <f t="shared" si="4"/>
        <v>0</v>
      </c>
      <c r="T24" s="77">
        <f t="shared" si="5"/>
        <v>0</v>
      </c>
      <c r="U24" s="33">
        <f t="shared" si="6"/>
        <v>4</v>
      </c>
      <c r="V24" s="36">
        <f>ROUND('CAS - PAY'!I24*0.12,2)</f>
        <v>0</v>
      </c>
      <c r="W24" s="37">
        <f t="shared" si="7"/>
        <v>100</v>
      </c>
      <c r="X24" s="37">
        <f>MIN((I24*0.05)-'CAS - DEDS'!Y23,2500)</f>
        <v>0</v>
      </c>
      <c r="Y24" s="41">
        <f t="shared" si="8"/>
        <v>200</v>
      </c>
    </row>
    <row r="25" spans="1:26" ht="18.75" customHeight="1" x14ac:dyDescent="0.25">
      <c r="A25" s="98"/>
      <c r="B25" s="33">
        <f>+B24+1</f>
        <v>5</v>
      </c>
      <c r="C25" s="72">
        <f>VLOOKUP(B25,'WTAX-CAS'!B:N,2,0)</f>
        <v>0</v>
      </c>
      <c r="D25" s="72" t="e">
        <f>VLOOKUP(C25,'WTAX-CAS'!C:O,2,0)</f>
        <v>#N/A</v>
      </c>
      <c r="E25" s="306">
        <f>VLOOKUP(B25,'WTAX-CAS'!B:N,4,0)</f>
        <v>0</v>
      </c>
      <c r="F25" s="86"/>
      <c r="G25" s="88"/>
      <c r="H25" s="88"/>
      <c r="I25" s="37">
        <f t="shared" si="0"/>
        <v>0</v>
      </c>
      <c r="J25" s="332">
        <f>'WTAX-CAS'!N12</f>
        <v>0</v>
      </c>
      <c r="K25" s="211">
        <f t="shared" si="1"/>
        <v>0</v>
      </c>
      <c r="L25" s="40">
        <f>'WTAX-CAS'!F12</f>
        <v>0</v>
      </c>
      <c r="M25" s="37">
        <f>'CAS - DEDS'!R24</f>
        <v>0</v>
      </c>
      <c r="N25" s="37">
        <f>'CAS - DEDS'!X24</f>
        <v>0</v>
      </c>
      <c r="O25" s="37">
        <f>'CAS - DEDS'!Y24</f>
        <v>0</v>
      </c>
      <c r="P25" s="37">
        <f>'CAS - DEDS'!AE24</f>
        <v>0</v>
      </c>
      <c r="Q25" s="38">
        <f t="shared" si="2"/>
        <v>0</v>
      </c>
      <c r="R25" s="49">
        <f t="shared" si="3"/>
        <v>0</v>
      </c>
      <c r="S25" s="76">
        <f t="shared" si="4"/>
        <v>0</v>
      </c>
      <c r="T25" s="77">
        <f t="shared" si="5"/>
        <v>0</v>
      </c>
      <c r="U25" s="33">
        <f t="shared" si="6"/>
        <v>5</v>
      </c>
      <c r="V25" s="36">
        <f>ROUND('CAS - PAY'!I25*0.12,2)</f>
        <v>0</v>
      </c>
      <c r="W25" s="37">
        <f t="shared" si="7"/>
        <v>100</v>
      </c>
      <c r="X25" s="37">
        <f>MIN((I25*0.05)-'CAS - DEDS'!Y24,2500)</f>
        <v>0</v>
      </c>
      <c r="Y25" s="41">
        <f t="shared" si="8"/>
        <v>200</v>
      </c>
    </row>
    <row r="26" spans="1:26" ht="18.75" customHeight="1" x14ac:dyDescent="0.25">
      <c r="A26" s="98"/>
      <c r="B26" s="33">
        <f t="shared" ref="B26:B50" si="9">+B25+1</f>
        <v>6</v>
      </c>
      <c r="C26" s="72">
        <f>VLOOKUP(B26,'WTAX-CAS'!B:N,2,0)</f>
        <v>0</v>
      </c>
      <c r="D26" s="72" t="e">
        <f>VLOOKUP(C26,'WTAX-CAS'!C:O,2,0)</f>
        <v>#N/A</v>
      </c>
      <c r="E26" s="306">
        <f>VLOOKUP(B26,'WTAX-CAS'!B:N,4,0)</f>
        <v>0</v>
      </c>
      <c r="F26" s="86"/>
      <c r="G26" s="88"/>
      <c r="H26" s="88"/>
      <c r="I26" s="37">
        <f t="shared" si="0"/>
        <v>0</v>
      </c>
      <c r="J26" s="332">
        <f>'WTAX-CAS'!N13</f>
        <v>0</v>
      </c>
      <c r="K26" s="211">
        <f t="shared" si="1"/>
        <v>0</v>
      </c>
      <c r="L26" s="40">
        <f>'WTAX-CAS'!F13</f>
        <v>0</v>
      </c>
      <c r="M26" s="37">
        <f>'CAS - DEDS'!R25</f>
        <v>0</v>
      </c>
      <c r="N26" s="37">
        <f>'CAS - DEDS'!X25</f>
        <v>0</v>
      </c>
      <c r="O26" s="37">
        <f>'CAS - DEDS'!Y25</f>
        <v>0</v>
      </c>
      <c r="P26" s="37">
        <f>'CAS - DEDS'!AE25</f>
        <v>0</v>
      </c>
      <c r="Q26" s="38">
        <f t="shared" si="2"/>
        <v>0</v>
      </c>
      <c r="R26" s="49">
        <f t="shared" si="3"/>
        <v>0</v>
      </c>
      <c r="S26" s="76">
        <f t="shared" si="4"/>
        <v>0</v>
      </c>
      <c r="T26" s="77">
        <f t="shared" si="5"/>
        <v>0</v>
      </c>
      <c r="U26" s="33">
        <f t="shared" si="6"/>
        <v>6</v>
      </c>
      <c r="V26" s="36">
        <f>ROUND('CAS - PAY'!I26*0.12,2)</f>
        <v>0</v>
      </c>
      <c r="W26" s="37">
        <f t="shared" si="7"/>
        <v>100</v>
      </c>
      <c r="X26" s="37">
        <f>MIN((I26*0.05)-'CAS - DEDS'!Y25,2500)</f>
        <v>0</v>
      </c>
      <c r="Y26" s="41">
        <f t="shared" si="8"/>
        <v>200</v>
      </c>
    </row>
    <row r="27" spans="1:26" ht="18.75" customHeight="1" x14ac:dyDescent="0.25">
      <c r="A27" s="98"/>
      <c r="B27" s="33">
        <f t="shared" si="9"/>
        <v>7</v>
      </c>
      <c r="C27" s="72">
        <f>VLOOKUP(B27,'WTAX-CAS'!B:N,2,0)</f>
        <v>0</v>
      </c>
      <c r="D27" s="72" t="e">
        <f>VLOOKUP(C27,'WTAX-CAS'!C:O,2,0)</f>
        <v>#N/A</v>
      </c>
      <c r="E27" s="306">
        <f>VLOOKUP(B27,'WTAX-CAS'!B:N,4,0)</f>
        <v>0</v>
      </c>
      <c r="F27" s="86"/>
      <c r="G27" s="88"/>
      <c r="H27" s="88"/>
      <c r="I27" s="37">
        <f t="shared" si="0"/>
        <v>0</v>
      </c>
      <c r="J27" s="332">
        <f>'WTAX-CAS'!N14</f>
        <v>0</v>
      </c>
      <c r="K27" s="211">
        <f t="shared" si="1"/>
        <v>0</v>
      </c>
      <c r="L27" s="40">
        <f>'WTAX-CAS'!F14</f>
        <v>0</v>
      </c>
      <c r="M27" s="37">
        <f>'CAS - DEDS'!R26</f>
        <v>0</v>
      </c>
      <c r="N27" s="37">
        <f>'CAS - DEDS'!X26</f>
        <v>0</v>
      </c>
      <c r="O27" s="37">
        <f>'CAS - DEDS'!Y26</f>
        <v>0</v>
      </c>
      <c r="P27" s="37">
        <f>'CAS - DEDS'!AE26</f>
        <v>0</v>
      </c>
      <c r="Q27" s="38">
        <f t="shared" si="2"/>
        <v>0</v>
      </c>
      <c r="R27" s="49">
        <f t="shared" si="3"/>
        <v>0</v>
      </c>
      <c r="S27" s="76">
        <f t="shared" si="4"/>
        <v>0</v>
      </c>
      <c r="T27" s="77">
        <f t="shared" si="5"/>
        <v>0</v>
      </c>
      <c r="U27" s="33">
        <f t="shared" si="6"/>
        <v>7</v>
      </c>
      <c r="V27" s="36">
        <f>ROUND('CAS - PAY'!I27*0.12,2)</f>
        <v>0</v>
      </c>
      <c r="W27" s="37">
        <f t="shared" si="7"/>
        <v>100</v>
      </c>
      <c r="X27" s="37">
        <f>MIN((I27*0.05)-'CAS - DEDS'!Y26,2500)</f>
        <v>0</v>
      </c>
      <c r="Y27" s="41">
        <f t="shared" si="8"/>
        <v>200</v>
      </c>
    </row>
    <row r="28" spans="1:26" ht="18.75" customHeight="1" x14ac:dyDescent="0.25">
      <c r="A28" s="98"/>
      <c r="B28" s="33">
        <f t="shared" si="9"/>
        <v>8</v>
      </c>
      <c r="C28" s="72">
        <f>VLOOKUP(B28,'WTAX-CAS'!B:N,2,0)</f>
        <v>0</v>
      </c>
      <c r="D28" s="72" t="e">
        <f>VLOOKUP(C28,'WTAX-CAS'!C:O,2,0)</f>
        <v>#N/A</v>
      </c>
      <c r="E28" s="306">
        <f>VLOOKUP(B28,'WTAX-CAS'!B:N,4,0)</f>
        <v>0</v>
      </c>
      <c r="F28" s="86"/>
      <c r="G28" s="88"/>
      <c r="H28" s="88"/>
      <c r="I28" s="37">
        <f t="shared" si="0"/>
        <v>0</v>
      </c>
      <c r="J28" s="332">
        <f>'WTAX-CAS'!N15</f>
        <v>0</v>
      </c>
      <c r="K28" s="211">
        <f t="shared" si="1"/>
        <v>0</v>
      </c>
      <c r="L28" s="40">
        <f>'WTAX-CAS'!F15</f>
        <v>0</v>
      </c>
      <c r="M28" s="37">
        <f>'CAS - DEDS'!R27</f>
        <v>0</v>
      </c>
      <c r="N28" s="37">
        <f>'CAS - DEDS'!X27</f>
        <v>0</v>
      </c>
      <c r="O28" s="37">
        <f>'CAS - DEDS'!Y27</f>
        <v>0</v>
      </c>
      <c r="P28" s="37">
        <f>'CAS - DEDS'!AE27</f>
        <v>0</v>
      </c>
      <c r="Q28" s="38">
        <f t="shared" si="2"/>
        <v>0</v>
      </c>
      <c r="R28" s="49">
        <f t="shared" si="3"/>
        <v>0</v>
      </c>
      <c r="S28" s="76">
        <f t="shared" si="4"/>
        <v>0</v>
      </c>
      <c r="T28" s="77">
        <f t="shared" si="5"/>
        <v>0</v>
      </c>
      <c r="U28" s="33">
        <f t="shared" si="6"/>
        <v>8</v>
      </c>
      <c r="V28" s="36">
        <f>ROUND('CAS - PAY'!I28*0.12,2)</f>
        <v>0</v>
      </c>
      <c r="W28" s="37">
        <f t="shared" si="7"/>
        <v>100</v>
      </c>
      <c r="X28" s="37">
        <f>MIN((I28*0.05)-'CAS - DEDS'!Y27,2500)</f>
        <v>0</v>
      </c>
      <c r="Y28" s="41">
        <f t="shared" si="8"/>
        <v>200</v>
      </c>
    </row>
    <row r="29" spans="1:26" ht="18.75" customHeight="1" x14ac:dyDescent="0.25">
      <c r="A29" s="98"/>
      <c r="B29" s="33">
        <f t="shared" si="9"/>
        <v>9</v>
      </c>
      <c r="C29" s="72">
        <f>VLOOKUP(B29,'WTAX-CAS'!B:N,2,0)</f>
        <v>0</v>
      </c>
      <c r="D29" s="72" t="e">
        <f>VLOOKUP(C29,'WTAX-CAS'!C:O,2,0)</f>
        <v>#N/A</v>
      </c>
      <c r="E29" s="306">
        <f>VLOOKUP(B29,'WTAX-CAS'!B:N,4,0)</f>
        <v>0</v>
      </c>
      <c r="F29" s="86"/>
      <c r="G29" s="88"/>
      <c r="H29" s="88"/>
      <c r="I29" s="37">
        <f t="shared" si="0"/>
        <v>0</v>
      </c>
      <c r="J29" s="332">
        <f>'WTAX-CAS'!N16</f>
        <v>0</v>
      </c>
      <c r="K29" s="211">
        <f t="shared" si="1"/>
        <v>0</v>
      </c>
      <c r="L29" s="40">
        <f>'WTAX-CAS'!F16</f>
        <v>0</v>
      </c>
      <c r="M29" s="37">
        <f>'CAS - DEDS'!R28</f>
        <v>0</v>
      </c>
      <c r="N29" s="37">
        <f>'CAS - DEDS'!X28</f>
        <v>0</v>
      </c>
      <c r="O29" s="37">
        <f>'CAS - DEDS'!Y28</f>
        <v>0</v>
      </c>
      <c r="P29" s="37">
        <f>'CAS - DEDS'!AE28</f>
        <v>0</v>
      </c>
      <c r="Q29" s="38">
        <f t="shared" si="2"/>
        <v>0</v>
      </c>
      <c r="R29" s="49">
        <f t="shared" si="3"/>
        <v>0</v>
      </c>
      <c r="S29" s="76">
        <f t="shared" si="4"/>
        <v>0</v>
      </c>
      <c r="T29" s="77">
        <f t="shared" si="5"/>
        <v>0</v>
      </c>
      <c r="U29" s="33">
        <f t="shared" si="6"/>
        <v>9</v>
      </c>
      <c r="V29" s="36">
        <f>ROUND('CAS - PAY'!I29*0.12,2)</f>
        <v>0</v>
      </c>
      <c r="W29" s="37">
        <f t="shared" si="7"/>
        <v>100</v>
      </c>
      <c r="X29" s="37">
        <f>MIN((I29*0.05)-'CAS - DEDS'!Y28,2500)</f>
        <v>0</v>
      </c>
      <c r="Y29" s="41">
        <f t="shared" si="8"/>
        <v>200</v>
      </c>
    </row>
    <row r="30" spans="1:26" ht="18.75" customHeight="1" x14ac:dyDescent="0.25">
      <c r="A30" s="98"/>
      <c r="B30" s="33">
        <f t="shared" si="9"/>
        <v>10</v>
      </c>
      <c r="C30" s="72">
        <f>VLOOKUP(B30,'WTAX-CAS'!B:N,2,0)</f>
        <v>0</v>
      </c>
      <c r="D30" s="72" t="e">
        <f>VLOOKUP(C30,'WTAX-CAS'!C:O,2,0)</f>
        <v>#N/A</v>
      </c>
      <c r="E30" s="306">
        <f>VLOOKUP(B30,'WTAX-CAS'!B:N,4,0)</f>
        <v>0</v>
      </c>
      <c r="F30" s="89"/>
      <c r="G30" s="91"/>
      <c r="H30" s="91"/>
      <c r="I30" s="37">
        <f t="shared" si="0"/>
        <v>0</v>
      </c>
      <c r="J30" s="332">
        <f>'WTAX-CAS'!N17</f>
        <v>0</v>
      </c>
      <c r="K30" s="211">
        <f t="shared" si="1"/>
        <v>0</v>
      </c>
      <c r="L30" s="40">
        <f>'WTAX-CAS'!F17</f>
        <v>0</v>
      </c>
      <c r="M30" s="37">
        <f>'CAS - DEDS'!R29</f>
        <v>0</v>
      </c>
      <c r="N30" s="37">
        <f>'CAS - DEDS'!X29</f>
        <v>0</v>
      </c>
      <c r="O30" s="37">
        <f>'CAS - DEDS'!Y29</f>
        <v>0</v>
      </c>
      <c r="P30" s="37">
        <f>'CAS - DEDS'!AE29</f>
        <v>0</v>
      </c>
      <c r="Q30" s="38">
        <f t="shared" si="2"/>
        <v>0</v>
      </c>
      <c r="R30" s="49">
        <f t="shared" si="3"/>
        <v>0</v>
      </c>
      <c r="S30" s="76">
        <f t="shared" si="4"/>
        <v>0</v>
      </c>
      <c r="T30" s="77">
        <f t="shared" si="5"/>
        <v>0</v>
      </c>
      <c r="U30" s="33">
        <f t="shared" si="6"/>
        <v>10</v>
      </c>
      <c r="V30" s="36">
        <f>ROUND('CAS - PAY'!I30*0.12,2)</f>
        <v>0</v>
      </c>
      <c r="W30" s="37">
        <f t="shared" si="7"/>
        <v>100</v>
      </c>
      <c r="X30" s="37">
        <f>MIN((I30*0.05)-'CAS - DEDS'!Y29,2500)</f>
        <v>0</v>
      </c>
      <c r="Y30" s="41">
        <f t="shared" si="8"/>
        <v>200</v>
      </c>
    </row>
    <row r="31" spans="1:26" ht="18.75" customHeight="1" x14ac:dyDescent="0.25">
      <c r="A31" s="98"/>
      <c r="B31" s="33">
        <f t="shared" si="9"/>
        <v>11</v>
      </c>
      <c r="C31" s="72">
        <f>VLOOKUP(B31,'WTAX-CAS'!B:N,2,0)</f>
        <v>0</v>
      </c>
      <c r="D31" s="72" t="e">
        <f>VLOOKUP(C31,'WTAX-CAS'!C:O,2,0)</f>
        <v>#N/A</v>
      </c>
      <c r="E31" s="306">
        <f>VLOOKUP(B31,'WTAX-CAS'!B:N,4,0)</f>
        <v>0</v>
      </c>
      <c r="F31" s="89"/>
      <c r="G31" s="91"/>
      <c r="H31" s="91"/>
      <c r="I31" s="37">
        <f t="shared" si="0"/>
        <v>0</v>
      </c>
      <c r="J31" s="332">
        <f>'WTAX-CAS'!N18</f>
        <v>0</v>
      </c>
      <c r="K31" s="211">
        <f t="shared" si="1"/>
        <v>0</v>
      </c>
      <c r="L31" s="40">
        <f>'WTAX-CAS'!F18</f>
        <v>0</v>
      </c>
      <c r="M31" s="37">
        <f>'CAS - DEDS'!R30</f>
        <v>0</v>
      </c>
      <c r="N31" s="37">
        <f>'CAS - DEDS'!X30</f>
        <v>0</v>
      </c>
      <c r="O31" s="37">
        <f>'CAS - DEDS'!Y30</f>
        <v>0</v>
      </c>
      <c r="P31" s="37">
        <f>'CAS - DEDS'!AE30</f>
        <v>0</v>
      </c>
      <c r="Q31" s="38">
        <f t="shared" si="2"/>
        <v>0</v>
      </c>
      <c r="R31" s="49">
        <f t="shared" si="3"/>
        <v>0</v>
      </c>
      <c r="S31" s="76">
        <f t="shared" si="4"/>
        <v>0</v>
      </c>
      <c r="T31" s="77">
        <f t="shared" si="5"/>
        <v>0</v>
      </c>
      <c r="U31" s="33">
        <f t="shared" si="6"/>
        <v>11</v>
      </c>
      <c r="V31" s="36">
        <f>ROUND('CAS - PAY'!I31*0.12,2)</f>
        <v>0</v>
      </c>
      <c r="W31" s="37">
        <f t="shared" si="7"/>
        <v>100</v>
      </c>
      <c r="X31" s="37">
        <f>MIN((I31*0.05)-'CAS - DEDS'!Y30,2500)</f>
        <v>0</v>
      </c>
      <c r="Y31" s="41">
        <f t="shared" si="8"/>
        <v>200</v>
      </c>
    </row>
    <row r="32" spans="1:26" ht="18.75" customHeight="1" x14ac:dyDescent="0.25">
      <c r="A32" s="98"/>
      <c r="B32" s="33">
        <f t="shared" si="9"/>
        <v>12</v>
      </c>
      <c r="C32" s="72">
        <f>VLOOKUP(B32,'WTAX-CAS'!B:N,2,0)</f>
        <v>0</v>
      </c>
      <c r="D32" s="72" t="e">
        <f>VLOOKUP(C32,'WTAX-CAS'!C:O,2,0)</f>
        <v>#N/A</v>
      </c>
      <c r="E32" s="306">
        <f>VLOOKUP(B32,'WTAX-CAS'!B:N,4,0)</f>
        <v>0</v>
      </c>
      <c r="F32" s="89"/>
      <c r="G32" s="91"/>
      <c r="H32" s="91"/>
      <c r="I32" s="37">
        <f t="shared" si="0"/>
        <v>0</v>
      </c>
      <c r="J32" s="332">
        <f>'WTAX-CAS'!N19</f>
        <v>0</v>
      </c>
      <c r="K32" s="211">
        <f t="shared" ref="K32:K42" si="10">ROUND(I32-J32,2)</f>
        <v>0</v>
      </c>
      <c r="L32" s="40">
        <f>'WTAX-CAS'!F19</f>
        <v>0</v>
      </c>
      <c r="M32" s="37">
        <f>'CAS - DEDS'!R31</f>
        <v>0</v>
      </c>
      <c r="N32" s="37">
        <f>'CAS - DEDS'!X31</f>
        <v>0</v>
      </c>
      <c r="O32" s="37">
        <f>'CAS - DEDS'!Y31</f>
        <v>0</v>
      </c>
      <c r="P32" s="37">
        <f>'CAS - DEDS'!AE31</f>
        <v>0</v>
      </c>
      <c r="Q32" s="38">
        <f t="shared" ref="Q32:Q42" si="11">ROUND(SUM(L32:P32),2)</f>
        <v>0</v>
      </c>
      <c r="R32" s="49">
        <f t="shared" ref="R32:R42" si="12">K32-Q32</f>
        <v>0</v>
      </c>
      <c r="S32" s="76">
        <f t="shared" ref="S32:S42" si="13">ROUND(R32/2,0)</f>
        <v>0</v>
      </c>
      <c r="T32" s="77">
        <f t="shared" ref="T32:T42" si="14">R32-S32</f>
        <v>0</v>
      </c>
      <c r="U32" s="33">
        <f t="shared" ref="U32:U42" si="15">B32</f>
        <v>12</v>
      </c>
      <c r="V32" s="36">
        <f>ROUND('CAS - PAY'!I32*0.12,2)</f>
        <v>0</v>
      </c>
      <c r="W32" s="37">
        <f t="shared" si="7"/>
        <v>100</v>
      </c>
      <c r="X32" s="37">
        <f>MIN((I32*0.05)-'CAS - DEDS'!Y31,2500)</f>
        <v>0</v>
      </c>
      <c r="Y32" s="41">
        <f t="shared" si="8"/>
        <v>200</v>
      </c>
    </row>
    <row r="33" spans="1:25" ht="18.75" customHeight="1" x14ac:dyDescent="0.25">
      <c r="A33" s="98"/>
      <c r="B33" s="33">
        <f t="shared" si="9"/>
        <v>13</v>
      </c>
      <c r="C33" s="72">
        <f>VLOOKUP(B33,'WTAX-CAS'!B:N,2,0)</f>
        <v>0</v>
      </c>
      <c r="D33" s="72" t="e">
        <f>VLOOKUP(C33,'WTAX-CAS'!C:O,2,0)</f>
        <v>#N/A</v>
      </c>
      <c r="E33" s="306">
        <f>VLOOKUP(B33,'WTAX-CAS'!B:N,4,0)</f>
        <v>0</v>
      </c>
      <c r="F33" s="86"/>
      <c r="G33" s="91"/>
      <c r="H33" s="91"/>
      <c r="I33" s="37">
        <f t="shared" si="0"/>
        <v>0</v>
      </c>
      <c r="J33" s="332">
        <f>'WTAX-CAS'!N20</f>
        <v>0</v>
      </c>
      <c r="K33" s="211">
        <f t="shared" si="10"/>
        <v>0</v>
      </c>
      <c r="L33" s="40">
        <f>'WTAX-CAS'!F20</f>
        <v>0</v>
      </c>
      <c r="M33" s="37">
        <f>'CAS - DEDS'!R32</f>
        <v>0</v>
      </c>
      <c r="N33" s="37">
        <f>'CAS - DEDS'!X32</f>
        <v>0</v>
      </c>
      <c r="O33" s="37">
        <f>'CAS - DEDS'!Y32</f>
        <v>0</v>
      </c>
      <c r="P33" s="37">
        <f>'CAS - DEDS'!AE32</f>
        <v>0</v>
      </c>
      <c r="Q33" s="38">
        <f t="shared" si="11"/>
        <v>0</v>
      </c>
      <c r="R33" s="49">
        <f t="shared" si="12"/>
        <v>0</v>
      </c>
      <c r="S33" s="76">
        <f t="shared" si="13"/>
        <v>0</v>
      </c>
      <c r="T33" s="77">
        <f t="shared" si="14"/>
        <v>0</v>
      </c>
      <c r="U33" s="33">
        <f t="shared" si="15"/>
        <v>13</v>
      </c>
      <c r="V33" s="36">
        <f>ROUND('CAS - PAY'!I33*0.12,2)</f>
        <v>0</v>
      </c>
      <c r="W33" s="37">
        <f t="shared" si="7"/>
        <v>100</v>
      </c>
      <c r="X33" s="37">
        <f>MIN((I33*0.05)-'CAS - DEDS'!Y32,2500)</f>
        <v>0</v>
      </c>
      <c r="Y33" s="41">
        <f t="shared" si="8"/>
        <v>200</v>
      </c>
    </row>
    <row r="34" spans="1:25" ht="18.75" customHeight="1" x14ac:dyDescent="0.25">
      <c r="A34" s="98"/>
      <c r="B34" s="33">
        <f t="shared" si="9"/>
        <v>14</v>
      </c>
      <c r="C34" s="72">
        <f>VLOOKUP(B34,'WTAX-CAS'!B:N,2,0)</f>
        <v>0</v>
      </c>
      <c r="D34" s="72" t="e">
        <f>VLOOKUP(C34,'WTAX-CAS'!C:O,2,0)</f>
        <v>#N/A</v>
      </c>
      <c r="E34" s="306">
        <f>VLOOKUP(B34,'WTAX-CAS'!B:N,4,0)</f>
        <v>0</v>
      </c>
      <c r="F34" s="89"/>
      <c r="G34" s="91"/>
      <c r="H34" s="91"/>
      <c r="I34" s="37">
        <f t="shared" si="0"/>
        <v>0</v>
      </c>
      <c r="J34" s="332">
        <f>'WTAX-CAS'!N21</f>
        <v>0</v>
      </c>
      <c r="K34" s="211">
        <f t="shared" si="10"/>
        <v>0</v>
      </c>
      <c r="L34" s="40">
        <f>'WTAX-CAS'!F21</f>
        <v>0</v>
      </c>
      <c r="M34" s="37">
        <f>'CAS - DEDS'!R33</f>
        <v>0</v>
      </c>
      <c r="N34" s="37">
        <f>'CAS - DEDS'!X33</f>
        <v>0</v>
      </c>
      <c r="O34" s="37">
        <f>'CAS - DEDS'!Y33</f>
        <v>0</v>
      </c>
      <c r="P34" s="37">
        <f>'CAS - DEDS'!AE33</f>
        <v>0</v>
      </c>
      <c r="Q34" s="38">
        <f t="shared" si="11"/>
        <v>0</v>
      </c>
      <c r="R34" s="49">
        <f t="shared" si="12"/>
        <v>0</v>
      </c>
      <c r="S34" s="76">
        <f t="shared" si="13"/>
        <v>0</v>
      </c>
      <c r="T34" s="77">
        <f t="shared" si="14"/>
        <v>0</v>
      </c>
      <c r="U34" s="33">
        <f t="shared" si="15"/>
        <v>14</v>
      </c>
      <c r="V34" s="36">
        <f>ROUND('CAS - PAY'!I34*0.12,2)</f>
        <v>0</v>
      </c>
      <c r="W34" s="37">
        <f t="shared" si="7"/>
        <v>100</v>
      </c>
      <c r="X34" s="37">
        <f>MIN((I34*0.05)-'CAS - DEDS'!Y33,2500)</f>
        <v>0</v>
      </c>
      <c r="Y34" s="41">
        <f t="shared" si="8"/>
        <v>200</v>
      </c>
    </row>
    <row r="35" spans="1:25" ht="18.75" customHeight="1" x14ac:dyDescent="0.25">
      <c r="A35" s="98"/>
      <c r="B35" s="33">
        <f t="shared" si="9"/>
        <v>15</v>
      </c>
      <c r="C35" s="72">
        <f>VLOOKUP(B35,'WTAX-CAS'!B:N,2,0)</f>
        <v>0</v>
      </c>
      <c r="D35" s="72" t="e">
        <f>VLOOKUP(C35,'WTAX-CAS'!C:O,2,0)</f>
        <v>#N/A</v>
      </c>
      <c r="E35" s="306">
        <f>VLOOKUP(B35,'WTAX-CAS'!B:N,4,0)</f>
        <v>0</v>
      </c>
      <c r="F35" s="86"/>
      <c r="G35" s="91"/>
      <c r="H35" s="91"/>
      <c r="I35" s="37">
        <f t="shared" si="0"/>
        <v>0</v>
      </c>
      <c r="J35" s="332">
        <f>'WTAX-CAS'!N22</f>
        <v>0</v>
      </c>
      <c r="K35" s="211">
        <f t="shared" si="10"/>
        <v>0</v>
      </c>
      <c r="L35" s="40">
        <f>'WTAX-CAS'!F22</f>
        <v>0</v>
      </c>
      <c r="M35" s="37">
        <f>'CAS - DEDS'!R34</f>
        <v>0</v>
      </c>
      <c r="N35" s="37">
        <f>'CAS - DEDS'!X34</f>
        <v>0</v>
      </c>
      <c r="O35" s="37">
        <f>'CAS - DEDS'!Y34</f>
        <v>0</v>
      </c>
      <c r="P35" s="37">
        <f>'CAS - DEDS'!AE34</f>
        <v>0</v>
      </c>
      <c r="Q35" s="38">
        <f t="shared" si="11"/>
        <v>0</v>
      </c>
      <c r="R35" s="49">
        <f t="shared" si="12"/>
        <v>0</v>
      </c>
      <c r="S35" s="76">
        <f t="shared" si="13"/>
        <v>0</v>
      </c>
      <c r="T35" s="77">
        <f t="shared" si="14"/>
        <v>0</v>
      </c>
      <c r="U35" s="33">
        <f t="shared" si="15"/>
        <v>15</v>
      </c>
      <c r="V35" s="36">
        <f>ROUND('CAS - PAY'!I35*0.12,2)</f>
        <v>0</v>
      </c>
      <c r="W35" s="37">
        <f t="shared" si="7"/>
        <v>100</v>
      </c>
      <c r="X35" s="37">
        <f>MIN((I35*0.05)-'CAS - DEDS'!Y34,2500)</f>
        <v>0</v>
      </c>
      <c r="Y35" s="41">
        <f t="shared" si="8"/>
        <v>200</v>
      </c>
    </row>
    <row r="36" spans="1:25" ht="18.75" customHeight="1" x14ac:dyDescent="0.25">
      <c r="A36" s="98"/>
      <c r="B36" s="33">
        <f t="shared" si="9"/>
        <v>16</v>
      </c>
      <c r="C36" s="72">
        <f>VLOOKUP(B36,'WTAX-CAS'!B:N,2,0)</f>
        <v>0</v>
      </c>
      <c r="D36" s="72" t="e">
        <f>VLOOKUP(C36,'WTAX-CAS'!C:O,2,0)</f>
        <v>#N/A</v>
      </c>
      <c r="E36" s="306">
        <f>VLOOKUP(B36,'WTAX-CAS'!B:N,4,0)</f>
        <v>0</v>
      </c>
      <c r="F36" s="89"/>
      <c r="G36" s="91"/>
      <c r="H36" s="91"/>
      <c r="I36" s="37">
        <f t="shared" si="0"/>
        <v>0</v>
      </c>
      <c r="J36" s="332">
        <f>'WTAX-CAS'!N23</f>
        <v>0</v>
      </c>
      <c r="K36" s="211">
        <f t="shared" si="10"/>
        <v>0</v>
      </c>
      <c r="L36" s="40">
        <f>'WTAX-CAS'!F23</f>
        <v>0</v>
      </c>
      <c r="M36" s="37">
        <f>'CAS - DEDS'!R35</f>
        <v>0</v>
      </c>
      <c r="N36" s="37">
        <f>'CAS - DEDS'!X35</f>
        <v>0</v>
      </c>
      <c r="O36" s="37">
        <f>'CAS - DEDS'!Y35</f>
        <v>0</v>
      </c>
      <c r="P36" s="37">
        <f>'CAS - DEDS'!AE35</f>
        <v>0</v>
      </c>
      <c r="Q36" s="38">
        <f t="shared" si="11"/>
        <v>0</v>
      </c>
      <c r="R36" s="49">
        <f t="shared" si="12"/>
        <v>0</v>
      </c>
      <c r="S36" s="76">
        <f t="shared" si="13"/>
        <v>0</v>
      </c>
      <c r="T36" s="77">
        <f t="shared" si="14"/>
        <v>0</v>
      </c>
      <c r="U36" s="33">
        <f t="shared" si="15"/>
        <v>16</v>
      </c>
      <c r="V36" s="36">
        <f>ROUND('CAS - PAY'!I36*0.12,2)</f>
        <v>0</v>
      </c>
      <c r="W36" s="37">
        <f t="shared" si="7"/>
        <v>100</v>
      </c>
      <c r="X36" s="37">
        <f>MIN((I36*0.05)-'CAS - DEDS'!Y35,2500)</f>
        <v>0</v>
      </c>
      <c r="Y36" s="41">
        <f t="shared" si="8"/>
        <v>200</v>
      </c>
    </row>
    <row r="37" spans="1:25" ht="18.75" customHeight="1" x14ac:dyDescent="0.25">
      <c r="A37" s="98"/>
      <c r="B37" s="33">
        <f t="shared" si="9"/>
        <v>17</v>
      </c>
      <c r="C37" s="72">
        <f>VLOOKUP(B37,'WTAX-CAS'!B:N,2,0)</f>
        <v>0</v>
      </c>
      <c r="D37" s="72" t="e">
        <f>VLOOKUP(C37,'WTAX-CAS'!C:O,2,0)</f>
        <v>#N/A</v>
      </c>
      <c r="E37" s="306">
        <f>VLOOKUP(B37,'WTAX-CAS'!B:N,4,0)</f>
        <v>0</v>
      </c>
      <c r="F37" s="89"/>
      <c r="G37" s="91"/>
      <c r="H37" s="91"/>
      <c r="I37" s="37">
        <f t="shared" si="0"/>
        <v>0</v>
      </c>
      <c r="J37" s="332">
        <f>'WTAX-CAS'!N24</f>
        <v>0</v>
      </c>
      <c r="K37" s="211">
        <f t="shared" si="10"/>
        <v>0</v>
      </c>
      <c r="L37" s="40">
        <f>'WTAX-CAS'!F24</f>
        <v>0</v>
      </c>
      <c r="M37" s="37">
        <f>'CAS - DEDS'!R36</f>
        <v>0</v>
      </c>
      <c r="N37" s="37">
        <f>'CAS - DEDS'!X36</f>
        <v>0</v>
      </c>
      <c r="O37" s="37">
        <f>'CAS - DEDS'!Y36</f>
        <v>0</v>
      </c>
      <c r="P37" s="37">
        <f>'CAS - DEDS'!AE36</f>
        <v>0</v>
      </c>
      <c r="Q37" s="38">
        <f t="shared" si="11"/>
        <v>0</v>
      </c>
      <c r="R37" s="49">
        <f t="shared" si="12"/>
        <v>0</v>
      </c>
      <c r="S37" s="76">
        <f t="shared" si="13"/>
        <v>0</v>
      </c>
      <c r="T37" s="77">
        <f t="shared" si="14"/>
        <v>0</v>
      </c>
      <c r="U37" s="33">
        <f t="shared" si="15"/>
        <v>17</v>
      </c>
      <c r="V37" s="36">
        <f>ROUND('CAS - PAY'!I37*0.12,2)</f>
        <v>0</v>
      </c>
      <c r="W37" s="37">
        <f t="shared" si="7"/>
        <v>100</v>
      </c>
      <c r="X37" s="37">
        <f>MIN((I37*0.05)-'CAS - DEDS'!Y36,2500)</f>
        <v>0</v>
      </c>
      <c r="Y37" s="41">
        <f t="shared" si="8"/>
        <v>200</v>
      </c>
    </row>
    <row r="38" spans="1:25" ht="18.75" customHeight="1" x14ac:dyDescent="0.25">
      <c r="A38" s="98"/>
      <c r="B38" s="33">
        <f t="shared" si="9"/>
        <v>18</v>
      </c>
      <c r="C38" s="72">
        <f>VLOOKUP(B38,'WTAX-CAS'!B:N,2,0)</f>
        <v>0</v>
      </c>
      <c r="D38" s="72" t="e">
        <f>VLOOKUP(C38,'WTAX-CAS'!C:O,2,0)</f>
        <v>#N/A</v>
      </c>
      <c r="E38" s="306">
        <f>VLOOKUP(B38,'WTAX-CAS'!B:N,4,0)</f>
        <v>0</v>
      </c>
      <c r="F38" s="89"/>
      <c r="G38" s="91"/>
      <c r="H38" s="91"/>
      <c r="I38" s="37">
        <f t="shared" si="0"/>
        <v>0</v>
      </c>
      <c r="J38" s="332">
        <f>'WTAX-CAS'!N25</f>
        <v>0</v>
      </c>
      <c r="K38" s="211">
        <f t="shared" si="10"/>
        <v>0</v>
      </c>
      <c r="L38" s="40">
        <f>'WTAX-CAS'!F25</f>
        <v>0</v>
      </c>
      <c r="M38" s="37">
        <f>'CAS - DEDS'!R37</f>
        <v>0</v>
      </c>
      <c r="N38" s="37">
        <f>'CAS - DEDS'!X37</f>
        <v>0</v>
      </c>
      <c r="O38" s="37">
        <f>'CAS - DEDS'!Y37</f>
        <v>0</v>
      </c>
      <c r="P38" s="37">
        <f>'CAS - DEDS'!AE37</f>
        <v>0</v>
      </c>
      <c r="Q38" s="38">
        <f t="shared" si="11"/>
        <v>0</v>
      </c>
      <c r="R38" s="49">
        <f t="shared" si="12"/>
        <v>0</v>
      </c>
      <c r="S38" s="76">
        <f t="shared" si="13"/>
        <v>0</v>
      </c>
      <c r="T38" s="77">
        <f t="shared" si="14"/>
        <v>0</v>
      </c>
      <c r="U38" s="33">
        <f t="shared" si="15"/>
        <v>18</v>
      </c>
      <c r="V38" s="36">
        <f>ROUND('CAS - PAY'!I38*0.12,2)</f>
        <v>0</v>
      </c>
      <c r="W38" s="37">
        <f t="shared" si="7"/>
        <v>100</v>
      </c>
      <c r="X38" s="37">
        <f>MIN((I38*0.05)-'CAS - DEDS'!Y37,2500)</f>
        <v>0</v>
      </c>
      <c r="Y38" s="41">
        <f t="shared" si="8"/>
        <v>200</v>
      </c>
    </row>
    <row r="39" spans="1:25" ht="18.75" customHeight="1" x14ac:dyDescent="0.25">
      <c r="A39" s="98"/>
      <c r="B39" s="33">
        <f t="shared" si="9"/>
        <v>19</v>
      </c>
      <c r="C39" s="72">
        <f>VLOOKUP(B39,'WTAX-CAS'!B:N,2,0)</f>
        <v>0</v>
      </c>
      <c r="D39" s="72" t="e">
        <f>VLOOKUP(C39,'WTAX-CAS'!C:O,2,0)</f>
        <v>#N/A</v>
      </c>
      <c r="E39" s="306">
        <f>VLOOKUP(B39,'WTAX-CAS'!B:N,4,0)</f>
        <v>0</v>
      </c>
      <c r="F39" s="89"/>
      <c r="G39" s="91"/>
      <c r="H39" s="91"/>
      <c r="I39" s="37">
        <f t="shared" si="0"/>
        <v>0</v>
      </c>
      <c r="J39" s="332">
        <f>'WTAX-CAS'!N26</f>
        <v>0</v>
      </c>
      <c r="K39" s="211">
        <f t="shared" si="10"/>
        <v>0</v>
      </c>
      <c r="L39" s="40">
        <f>'WTAX-CAS'!F26</f>
        <v>0</v>
      </c>
      <c r="M39" s="37">
        <f>'CAS - DEDS'!R38</f>
        <v>0</v>
      </c>
      <c r="N39" s="37">
        <f>'CAS - DEDS'!X38</f>
        <v>0</v>
      </c>
      <c r="O39" s="37">
        <f>'CAS - DEDS'!Y38</f>
        <v>0</v>
      </c>
      <c r="P39" s="37">
        <f>'CAS - DEDS'!AE38</f>
        <v>0</v>
      </c>
      <c r="Q39" s="38">
        <f t="shared" si="11"/>
        <v>0</v>
      </c>
      <c r="R39" s="49">
        <f t="shared" si="12"/>
        <v>0</v>
      </c>
      <c r="S39" s="76">
        <f t="shared" si="13"/>
        <v>0</v>
      </c>
      <c r="T39" s="77">
        <f t="shared" si="14"/>
        <v>0</v>
      </c>
      <c r="U39" s="33">
        <f t="shared" si="15"/>
        <v>19</v>
      </c>
      <c r="V39" s="36">
        <f>ROUND('CAS - PAY'!I39*0.12,2)</f>
        <v>0</v>
      </c>
      <c r="W39" s="37">
        <f t="shared" si="7"/>
        <v>100</v>
      </c>
      <c r="X39" s="37">
        <f>MIN((I39*0.05)-'CAS - DEDS'!Y38,2500)</f>
        <v>0</v>
      </c>
      <c r="Y39" s="41">
        <f t="shared" si="8"/>
        <v>200</v>
      </c>
    </row>
    <row r="40" spans="1:25" ht="18.75" customHeight="1" x14ac:dyDescent="0.25">
      <c r="A40" s="98"/>
      <c r="B40" s="33">
        <f t="shared" si="9"/>
        <v>20</v>
      </c>
      <c r="C40" s="72">
        <f>VLOOKUP(B40,'WTAX-CAS'!B:N,2,0)</f>
        <v>0</v>
      </c>
      <c r="D40" s="72" t="e">
        <f>VLOOKUP(C40,'WTAX-CAS'!C:O,2,0)</f>
        <v>#N/A</v>
      </c>
      <c r="E40" s="306">
        <f>VLOOKUP(B40,'WTAX-CAS'!B:N,4,0)</f>
        <v>0</v>
      </c>
      <c r="F40" s="86"/>
      <c r="G40" s="91"/>
      <c r="H40" s="91"/>
      <c r="I40" s="37">
        <f>SUM(F40:H40)</f>
        <v>0</v>
      </c>
      <c r="J40" s="332">
        <f>'WTAX-CAS'!N27</f>
        <v>0</v>
      </c>
      <c r="K40" s="211">
        <f t="shared" si="10"/>
        <v>0</v>
      </c>
      <c r="L40" s="40">
        <f>'WTAX-CAS'!F27</f>
        <v>0</v>
      </c>
      <c r="M40" s="37">
        <f>'CAS - DEDS'!R39</f>
        <v>0</v>
      </c>
      <c r="N40" s="37">
        <f>'CAS - DEDS'!X39</f>
        <v>0</v>
      </c>
      <c r="O40" s="37">
        <f>'CAS - DEDS'!Y39</f>
        <v>0</v>
      </c>
      <c r="P40" s="37">
        <f>'CAS - DEDS'!AE39</f>
        <v>0</v>
      </c>
      <c r="Q40" s="38">
        <f t="shared" si="11"/>
        <v>0</v>
      </c>
      <c r="R40" s="49">
        <f t="shared" si="12"/>
        <v>0</v>
      </c>
      <c r="S40" s="76">
        <f t="shared" si="13"/>
        <v>0</v>
      </c>
      <c r="T40" s="77">
        <f t="shared" si="14"/>
        <v>0</v>
      </c>
      <c r="U40" s="33">
        <f t="shared" si="15"/>
        <v>20</v>
      </c>
      <c r="V40" s="36">
        <f>ROUND('CAS - PAY'!I40*0.12,2)</f>
        <v>0</v>
      </c>
      <c r="W40" s="37">
        <f t="shared" si="7"/>
        <v>100</v>
      </c>
      <c r="X40" s="37">
        <f>MIN((I40*0.05)-'CAS - DEDS'!Y39,2500)</f>
        <v>0</v>
      </c>
      <c r="Y40" s="41">
        <f t="shared" si="8"/>
        <v>200</v>
      </c>
    </row>
    <row r="41" spans="1:25" ht="18.75" customHeight="1" x14ac:dyDescent="0.25">
      <c r="A41" s="98"/>
      <c r="B41" s="33">
        <f t="shared" si="9"/>
        <v>21</v>
      </c>
      <c r="C41" s="72">
        <f>VLOOKUP(B41,'WTAX-CAS'!B:N,2,0)</f>
        <v>0</v>
      </c>
      <c r="D41" s="72" t="e">
        <f>VLOOKUP(C41,'WTAX-CAS'!C:O,2,0)</f>
        <v>#N/A</v>
      </c>
      <c r="E41" s="306">
        <f>VLOOKUP(B41,'WTAX-CAS'!B:N,4,0)</f>
        <v>0</v>
      </c>
      <c r="F41" s="89"/>
      <c r="G41" s="91"/>
      <c r="H41" s="91"/>
      <c r="I41" s="37">
        <f>SUM(F41:H41)</f>
        <v>0</v>
      </c>
      <c r="J41" s="332">
        <f>'WTAX-CAS'!N28</f>
        <v>0</v>
      </c>
      <c r="K41" s="211">
        <f t="shared" si="10"/>
        <v>0</v>
      </c>
      <c r="L41" s="40">
        <f>'WTAX-CAS'!F28</f>
        <v>0</v>
      </c>
      <c r="M41" s="37">
        <f>'CAS - DEDS'!R40</f>
        <v>0</v>
      </c>
      <c r="N41" s="37">
        <f>'CAS - DEDS'!X40</f>
        <v>0</v>
      </c>
      <c r="O41" s="37">
        <f>'CAS - DEDS'!Y40</f>
        <v>0</v>
      </c>
      <c r="P41" s="37">
        <f>'CAS - DEDS'!AE40</f>
        <v>0</v>
      </c>
      <c r="Q41" s="38">
        <f t="shared" si="11"/>
        <v>0</v>
      </c>
      <c r="R41" s="49">
        <f t="shared" si="12"/>
        <v>0</v>
      </c>
      <c r="S41" s="76">
        <f t="shared" si="13"/>
        <v>0</v>
      </c>
      <c r="T41" s="77">
        <f t="shared" si="14"/>
        <v>0</v>
      </c>
      <c r="U41" s="33">
        <f t="shared" si="15"/>
        <v>21</v>
      </c>
      <c r="V41" s="36">
        <f>ROUND('CAS - PAY'!I41*0.12,2)</f>
        <v>0</v>
      </c>
      <c r="W41" s="37">
        <f t="shared" si="7"/>
        <v>100</v>
      </c>
      <c r="X41" s="37">
        <f>MIN((I41*0.05)-'CAS - DEDS'!Y40,2500)</f>
        <v>0</v>
      </c>
      <c r="Y41" s="41">
        <f t="shared" si="8"/>
        <v>200</v>
      </c>
    </row>
    <row r="42" spans="1:25" ht="18.75" customHeight="1" x14ac:dyDescent="0.25">
      <c r="A42" s="98"/>
      <c r="B42" s="33">
        <f t="shared" si="9"/>
        <v>22</v>
      </c>
      <c r="C42" s="72">
        <f>VLOOKUP(B42,'WTAX-CAS'!B:N,2,0)</f>
        <v>0</v>
      </c>
      <c r="D42" s="72" t="e">
        <f>VLOOKUP(C42,'WTAX-CAS'!C:O,2,0)</f>
        <v>#N/A</v>
      </c>
      <c r="E42" s="306">
        <f>VLOOKUP(B42,'WTAX-CAS'!B:N,4,0)</f>
        <v>0</v>
      </c>
      <c r="F42" s="89"/>
      <c r="G42" s="91"/>
      <c r="H42" s="91"/>
      <c r="I42" s="37">
        <f>SUM(F42:H42)</f>
        <v>0</v>
      </c>
      <c r="J42" s="332">
        <f>'WTAX-CAS'!N29</f>
        <v>0</v>
      </c>
      <c r="K42" s="211">
        <f t="shared" si="10"/>
        <v>0</v>
      </c>
      <c r="L42" s="40">
        <f>'WTAX-CAS'!F29</f>
        <v>0</v>
      </c>
      <c r="M42" s="37">
        <f>'CAS - DEDS'!R41</f>
        <v>0</v>
      </c>
      <c r="N42" s="37">
        <f>'CAS - DEDS'!X41</f>
        <v>0</v>
      </c>
      <c r="O42" s="37">
        <f>'CAS - DEDS'!Y41</f>
        <v>0</v>
      </c>
      <c r="P42" s="37">
        <f>'CAS - DEDS'!AE41</f>
        <v>0</v>
      </c>
      <c r="Q42" s="38">
        <f t="shared" si="11"/>
        <v>0</v>
      </c>
      <c r="R42" s="49">
        <f t="shared" si="12"/>
        <v>0</v>
      </c>
      <c r="S42" s="76">
        <f t="shared" si="13"/>
        <v>0</v>
      </c>
      <c r="T42" s="77">
        <f t="shared" si="14"/>
        <v>0</v>
      </c>
      <c r="U42" s="33">
        <f t="shared" si="15"/>
        <v>22</v>
      </c>
      <c r="V42" s="36">
        <f>ROUND('CAS - PAY'!I42*0.12,2)</f>
        <v>0</v>
      </c>
      <c r="W42" s="37">
        <f t="shared" si="7"/>
        <v>100</v>
      </c>
      <c r="X42" s="37">
        <f>MIN((I42*0.05)-'CAS - DEDS'!Y41,2500)</f>
        <v>0</v>
      </c>
      <c r="Y42" s="41">
        <f t="shared" si="8"/>
        <v>200</v>
      </c>
    </row>
    <row r="43" spans="1:25" ht="18.75" customHeight="1" x14ac:dyDescent="0.25">
      <c r="A43" s="98"/>
      <c r="B43" s="33">
        <f t="shared" si="9"/>
        <v>23</v>
      </c>
      <c r="C43" s="72">
        <f>VLOOKUP(B43,'WTAX-CAS'!B:N,2,0)</f>
        <v>0</v>
      </c>
      <c r="D43" s="72" t="e">
        <f>VLOOKUP(C43,'WTAX-CAS'!C:O,2,0)</f>
        <v>#N/A</v>
      </c>
      <c r="E43" s="306">
        <f>VLOOKUP(B43,'WTAX-CAS'!B:N,4,0)</f>
        <v>0</v>
      </c>
      <c r="F43" s="89"/>
      <c r="G43" s="91"/>
      <c r="H43" s="91"/>
      <c r="I43" s="37">
        <f t="shared" ref="I43:I67" si="16">SUM(F43:H43)</f>
        <v>0</v>
      </c>
      <c r="J43" s="332">
        <f>'WTAX-CAS'!N30</f>
        <v>0</v>
      </c>
      <c r="K43" s="211">
        <f t="shared" ref="K43:K67" si="17">ROUND(I43-J43,2)</f>
        <v>0</v>
      </c>
      <c r="L43" s="40">
        <f>'WTAX-CAS'!F30</f>
        <v>0</v>
      </c>
      <c r="M43" s="37">
        <f>'CAS - DEDS'!R42</f>
        <v>0</v>
      </c>
      <c r="N43" s="37">
        <f>'CAS - DEDS'!X42</f>
        <v>0</v>
      </c>
      <c r="O43" s="37">
        <f>'CAS - DEDS'!Y42</f>
        <v>0</v>
      </c>
      <c r="P43" s="37">
        <f>'CAS - DEDS'!AE42</f>
        <v>0</v>
      </c>
      <c r="Q43" s="38">
        <f t="shared" ref="Q43:Q67" si="18">ROUND(SUM(L43:P43),2)</f>
        <v>0</v>
      </c>
      <c r="R43" s="49">
        <f t="shared" ref="R43:R67" si="19">K43-Q43</f>
        <v>0</v>
      </c>
      <c r="S43" s="76">
        <f t="shared" ref="S43:S67" si="20">ROUND(R43/2,0)</f>
        <v>0</v>
      </c>
      <c r="T43" s="77">
        <f t="shared" ref="T43:T67" si="21">R43-S43</f>
        <v>0</v>
      </c>
      <c r="U43" s="33">
        <f t="shared" ref="U43:U67" si="22">B43</f>
        <v>23</v>
      </c>
      <c r="V43" s="36">
        <f>ROUND('CAS - PAY'!I43*0.12,2)</f>
        <v>0</v>
      </c>
      <c r="W43" s="37">
        <f t="shared" si="7"/>
        <v>100</v>
      </c>
      <c r="X43" s="37">
        <f>MIN((I43*0.05)-'CAS - DEDS'!Y42,2500)</f>
        <v>0</v>
      </c>
      <c r="Y43" s="41">
        <f t="shared" si="8"/>
        <v>200</v>
      </c>
    </row>
    <row r="44" spans="1:25" ht="18.75" customHeight="1" x14ac:dyDescent="0.25">
      <c r="A44" s="98"/>
      <c r="B44" s="33">
        <f t="shared" si="9"/>
        <v>24</v>
      </c>
      <c r="C44" s="72">
        <f>VLOOKUP(B44,'WTAX-CAS'!B:N,2,0)</f>
        <v>0</v>
      </c>
      <c r="D44" s="72" t="e">
        <f>VLOOKUP(C44,'WTAX-CAS'!C:O,2,0)</f>
        <v>#N/A</v>
      </c>
      <c r="E44" s="306">
        <f>VLOOKUP(B44,'WTAX-CAS'!B:N,4,0)</f>
        <v>0</v>
      </c>
      <c r="F44" s="89"/>
      <c r="G44" s="91"/>
      <c r="H44" s="91"/>
      <c r="I44" s="37">
        <f t="shared" si="16"/>
        <v>0</v>
      </c>
      <c r="J44" s="332">
        <f>'WTAX-CAS'!N31</f>
        <v>0</v>
      </c>
      <c r="K44" s="211">
        <f t="shared" si="17"/>
        <v>0</v>
      </c>
      <c r="L44" s="40">
        <f>'WTAX-CAS'!F31</f>
        <v>0</v>
      </c>
      <c r="M44" s="37">
        <f>'CAS - DEDS'!R43</f>
        <v>0</v>
      </c>
      <c r="N44" s="37">
        <f>'CAS - DEDS'!X43</f>
        <v>0</v>
      </c>
      <c r="O44" s="37">
        <f>'CAS - DEDS'!Y43</f>
        <v>0</v>
      </c>
      <c r="P44" s="37">
        <f>'CAS - DEDS'!AE43</f>
        <v>0</v>
      </c>
      <c r="Q44" s="38">
        <f t="shared" si="18"/>
        <v>0</v>
      </c>
      <c r="R44" s="49">
        <f t="shared" si="19"/>
        <v>0</v>
      </c>
      <c r="S44" s="76">
        <f t="shared" si="20"/>
        <v>0</v>
      </c>
      <c r="T44" s="77">
        <f t="shared" si="21"/>
        <v>0</v>
      </c>
      <c r="U44" s="33">
        <f t="shared" si="22"/>
        <v>24</v>
      </c>
      <c r="V44" s="36">
        <f>ROUND('CAS - PAY'!I44*0.12,2)</f>
        <v>0</v>
      </c>
      <c r="W44" s="37">
        <f t="shared" si="7"/>
        <v>100</v>
      </c>
      <c r="X44" s="37">
        <f>MIN((I44*0.05)-'CAS - DEDS'!Y43,2500)</f>
        <v>0</v>
      </c>
      <c r="Y44" s="41">
        <f t="shared" si="8"/>
        <v>200</v>
      </c>
    </row>
    <row r="45" spans="1:25" ht="18.75" customHeight="1" x14ac:dyDescent="0.25">
      <c r="A45" s="98"/>
      <c r="B45" s="33">
        <f t="shared" si="9"/>
        <v>25</v>
      </c>
      <c r="C45" s="72">
        <f>VLOOKUP(B45,'WTAX-CAS'!B:N,2,0)</f>
        <v>0</v>
      </c>
      <c r="D45" s="72" t="e">
        <f>VLOOKUP(C45,'WTAX-CAS'!C:O,2,0)</f>
        <v>#N/A</v>
      </c>
      <c r="E45" s="306">
        <f>VLOOKUP(B45,'WTAX-CAS'!B:N,4,0)</f>
        <v>0</v>
      </c>
      <c r="F45" s="89"/>
      <c r="G45" s="91"/>
      <c r="H45" s="91"/>
      <c r="I45" s="37">
        <f t="shared" si="16"/>
        <v>0</v>
      </c>
      <c r="J45" s="332">
        <f>'WTAX-CAS'!N32</f>
        <v>0</v>
      </c>
      <c r="K45" s="211">
        <f t="shared" si="17"/>
        <v>0</v>
      </c>
      <c r="L45" s="40">
        <f>'WTAX-CAS'!F32</f>
        <v>0</v>
      </c>
      <c r="M45" s="37">
        <f>'CAS - DEDS'!R44</f>
        <v>0</v>
      </c>
      <c r="N45" s="37">
        <f>'CAS - DEDS'!X44</f>
        <v>0</v>
      </c>
      <c r="O45" s="37">
        <f>'CAS - DEDS'!Y44</f>
        <v>0</v>
      </c>
      <c r="P45" s="37">
        <f>'CAS - DEDS'!AE44</f>
        <v>0</v>
      </c>
      <c r="Q45" s="38">
        <f t="shared" si="18"/>
        <v>0</v>
      </c>
      <c r="R45" s="49">
        <f t="shared" si="19"/>
        <v>0</v>
      </c>
      <c r="S45" s="76">
        <f t="shared" si="20"/>
        <v>0</v>
      </c>
      <c r="T45" s="77">
        <f t="shared" si="21"/>
        <v>0</v>
      </c>
      <c r="U45" s="33">
        <f t="shared" si="22"/>
        <v>25</v>
      </c>
      <c r="V45" s="36">
        <f>ROUND('CAS - PAY'!I45*0.12,2)</f>
        <v>0</v>
      </c>
      <c r="W45" s="37">
        <f t="shared" si="7"/>
        <v>100</v>
      </c>
      <c r="X45" s="37">
        <f>MIN((I45*0.05)-'CAS - DEDS'!Y44,2500)</f>
        <v>0</v>
      </c>
      <c r="Y45" s="41">
        <f t="shared" si="8"/>
        <v>200</v>
      </c>
    </row>
    <row r="46" spans="1:25" ht="18.75" customHeight="1" x14ac:dyDescent="0.25">
      <c r="A46" s="98"/>
      <c r="B46" s="33">
        <f t="shared" si="9"/>
        <v>26</v>
      </c>
      <c r="C46" s="72">
        <f>VLOOKUP(B46,'WTAX-CAS'!B:N,2,0)</f>
        <v>0</v>
      </c>
      <c r="D46" s="72" t="e">
        <f>VLOOKUP(C46,'WTAX-CAS'!C:O,2,0)</f>
        <v>#N/A</v>
      </c>
      <c r="E46" s="306">
        <f>VLOOKUP(B46,'WTAX-CAS'!B:N,4,0)</f>
        <v>0</v>
      </c>
      <c r="F46" s="89"/>
      <c r="G46" s="91"/>
      <c r="H46" s="91"/>
      <c r="I46" s="37">
        <f t="shared" si="16"/>
        <v>0</v>
      </c>
      <c r="J46" s="332">
        <f>'WTAX-CAS'!N33</f>
        <v>0</v>
      </c>
      <c r="K46" s="211">
        <f t="shared" si="17"/>
        <v>0</v>
      </c>
      <c r="L46" s="40">
        <f>'WTAX-CAS'!F33</f>
        <v>0</v>
      </c>
      <c r="M46" s="37">
        <f>'CAS - DEDS'!R45</f>
        <v>0</v>
      </c>
      <c r="N46" s="37">
        <f>'CAS - DEDS'!X45</f>
        <v>0</v>
      </c>
      <c r="O46" s="37">
        <f>'CAS - DEDS'!Y45</f>
        <v>0</v>
      </c>
      <c r="P46" s="37">
        <f>'CAS - DEDS'!AE45</f>
        <v>0</v>
      </c>
      <c r="Q46" s="38">
        <f t="shared" si="18"/>
        <v>0</v>
      </c>
      <c r="R46" s="49">
        <f t="shared" si="19"/>
        <v>0</v>
      </c>
      <c r="S46" s="76">
        <f t="shared" si="20"/>
        <v>0</v>
      </c>
      <c r="T46" s="77">
        <f t="shared" si="21"/>
        <v>0</v>
      </c>
      <c r="U46" s="33">
        <f t="shared" si="22"/>
        <v>26</v>
      </c>
      <c r="V46" s="36">
        <f>ROUND('CAS - PAY'!I46*0.12,2)</f>
        <v>0</v>
      </c>
      <c r="W46" s="37">
        <f t="shared" si="7"/>
        <v>100</v>
      </c>
      <c r="X46" s="37">
        <f>MIN((I46*0.05)-'CAS - DEDS'!Y45,2500)</f>
        <v>0</v>
      </c>
      <c r="Y46" s="41">
        <f t="shared" si="8"/>
        <v>200</v>
      </c>
    </row>
    <row r="47" spans="1:25" ht="18.75" customHeight="1" x14ac:dyDescent="0.25">
      <c r="A47" s="98"/>
      <c r="B47" s="33">
        <f t="shared" si="9"/>
        <v>27</v>
      </c>
      <c r="C47" s="72">
        <f>VLOOKUP(B47,'WTAX-CAS'!B:N,2,0)</f>
        <v>0</v>
      </c>
      <c r="D47" s="72" t="e">
        <f>VLOOKUP(C47,'WTAX-CAS'!C:O,2,0)</f>
        <v>#N/A</v>
      </c>
      <c r="E47" s="306">
        <f>VLOOKUP(B47,'WTAX-CAS'!B:N,4,0)</f>
        <v>0</v>
      </c>
      <c r="F47" s="86"/>
      <c r="G47" s="88"/>
      <c r="H47" s="88"/>
      <c r="I47" s="37">
        <f t="shared" si="16"/>
        <v>0</v>
      </c>
      <c r="J47" s="332">
        <f>'WTAX-CAS'!N34</f>
        <v>0</v>
      </c>
      <c r="K47" s="211">
        <f t="shared" si="17"/>
        <v>0</v>
      </c>
      <c r="L47" s="40">
        <f>'WTAX-CAS'!F34</f>
        <v>0</v>
      </c>
      <c r="M47" s="37">
        <f>'CAS - DEDS'!R46</f>
        <v>0</v>
      </c>
      <c r="N47" s="37">
        <f>'CAS - DEDS'!X46</f>
        <v>0</v>
      </c>
      <c r="O47" s="37">
        <f>'CAS - DEDS'!Y46</f>
        <v>0</v>
      </c>
      <c r="P47" s="37">
        <f>'CAS - DEDS'!AE46</f>
        <v>0</v>
      </c>
      <c r="Q47" s="38">
        <f t="shared" si="18"/>
        <v>0</v>
      </c>
      <c r="R47" s="49">
        <f t="shared" si="19"/>
        <v>0</v>
      </c>
      <c r="S47" s="76">
        <f t="shared" si="20"/>
        <v>0</v>
      </c>
      <c r="T47" s="77">
        <f t="shared" si="21"/>
        <v>0</v>
      </c>
      <c r="U47" s="33">
        <f t="shared" si="22"/>
        <v>27</v>
      </c>
      <c r="V47" s="36">
        <f>ROUND('CAS - PAY'!I47*0.12,2)</f>
        <v>0</v>
      </c>
      <c r="W47" s="37">
        <f t="shared" si="7"/>
        <v>100</v>
      </c>
      <c r="X47" s="37">
        <f>MIN((I47*0.05)-'CAS - DEDS'!Y46,2500)</f>
        <v>0</v>
      </c>
      <c r="Y47" s="41">
        <f t="shared" si="8"/>
        <v>200</v>
      </c>
    </row>
    <row r="48" spans="1:25" ht="18.75" customHeight="1" x14ac:dyDescent="0.25">
      <c r="A48" s="98"/>
      <c r="B48" s="33">
        <f t="shared" si="9"/>
        <v>28</v>
      </c>
      <c r="C48" s="72">
        <f>VLOOKUP(B48,'WTAX-CAS'!B:N,2,0)</f>
        <v>0</v>
      </c>
      <c r="D48" s="72" t="e">
        <f>VLOOKUP(C48,'WTAX-CAS'!C:O,2,0)</f>
        <v>#N/A</v>
      </c>
      <c r="E48" s="306">
        <f>VLOOKUP(B48,'WTAX-CAS'!B:N,4,0)</f>
        <v>0</v>
      </c>
      <c r="F48" s="86"/>
      <c r="G48" s="91"/>
      <c r="H48" s="91"/>
      <c r="I48" s="37">
        <f t="shared" si="16"/>
        <v>0</v>
      </c>
      <c r="J48" s="332">
        <f>'WTAX-CAS'!N35</f>
        <v>0</v>
      </c>
      <c r="K48" s="211">
        <f t="shared" si="17"/>
        <v>0</v>
      </c>
      <c r="L48" s="40">
        <f>'WTAX-CAS'!F35</f>
        <v>0</v>
      </c>
      <c r="M48" s="37">
        <f>'CAS - DEDS'!R47</f>
        <v>0</v>
      </c>
      <c r="N48" s="37">
        <f>'CAS - DEDS'!X47</f>
        <v>0</v>
      </c>
      <c r="O48" s="37">
        <f>'CAS - DEDS'!Y47</f>
        <v>0</v>
      </c>
      <c r="P48" s="37">
        <f>'CAS - DEDS'!AE47</f>
        <v>0</v>
      </c>
      <c r="Q48" s="38">
        <f t="shared" si="18"/>
        <v>0</v>
      </c>
      <c r="R48" s="49">
        <f t="shared" si="19"/>
        <v>0</v>
      </c>
      <c r="S48" s="76">
        <f t="shared" si="20"/>
        <v>0</v>
      </c>
      <c r="T48" s="77">
        <f t="shared" si="21"/>
        <v>0</v>
      </c>
      <c r="U48" s="33">
        <f t="shared" si="22"/>
        <v>28</v>
      </c>
      <c r="V48" s="36">
        <f>ROUND('CAS - PAY'!I48*0.12,2)</f>
        <v>0</v>
      </c>
      <c r="W48" s="37">
        <f t="shared" si="7"/>
        <v>100</v>
      </c>
      <c r="X48" s="37">
        <f>MIN((I48*0.05)-'CAS - DEDS'!Y47,2500)</f>
        <v>0</v>
      </c>
      <c r="Y48" s="41">
        <f t="shared" si="8"/>
        <v>200</v>
      </c>
    </row>
    <row r="49" spans="1:25" ht="18.75" customHeight="1" x14ac:dyDescent="0.25">
      <c r="A49" s="98"/>
      <c r="B49" s="33">
        <f t="shared" si="9"/>
        <v>29</v>
      </c>
      <c r="C49" s="72">
        <f>VLOOKUP(B49,'WTAX-CAS'!B:N,2,0)</f>
        <v>0</v>
      </c>
      <c r="D49" s="72" t="e">
        <f>VLOOKUP(C49,'WTAX-CAS'!C:O,2,0)</f>
        <v>#N/A</v>
      </c>
      <c r="E49" s="306">
        <f>VLOOKUP(B49,'WTAX-CAS'!B:N,4,0)</f>
        <v>0</v>
      </c>
      <c r="F49" s="89"/>
      <c r="G49" s="91"/>
      <c r="H49" s="91"/>
      <c r="I49" s="37">
        <f t="shared" si="16"/>
        <v>0</v>
      </c>
      <c r="J49" s="332">
        <f>'WTAX-CAS'!N36</f>
        <v>0</v>
      </c>
      <c r="K49" s="211">
        <f t="shared" si="17"/>
        <v>0</v>
      </c>
      <c r="L49" s="40">
        <f>'WTAX-CAS'!F36</f>
        <v>0</v>
      </c>
      <c r="M49" s="37">
        <f>'CAS - DEDS'!R48</f>
        <v>0</v>
      </c>
      <c r="N49" s="37">
        <f>'CAS - DEDS'!X48</f>
        <v>0</v>
      </c>
      <c r="O49" s="37">
        <f>'CAS - DEDS'!Y48</f>
        <v>0</v>
      </c>
      <c r="P49" s="37">
        <f>'CAS - DEDS'!AE48</f>
        <v>0</v>
      </c>
      <c r="Q49" s="38">
        <f t="shared" si="18"/>
        <v>0</v>
      </c>
      <c r="R49" s="49">
        <f t="shared" si="19"/>
        <v>0</v>
      </c>
      <c r="S49" s="76">
        <f t="shared" si="20"/>
        <v>0</v>
      </c>
      <c r="T49" s="77">
        <f t="shared" si="21"/>
        <v>0</v>
      </c>
      <c r="U49" s="33">
        <f t="shared" si="22"/>
        <v>29</v>
      </c>
      <c r="V49" s="36">
        <f>ROUND('CAS - PAY'!I49*0.12,2)</f>
        <v>0</v>
      </c>
      <c r="W49" s="37">
        <f t="shared" si="7"/>
        <v>100</v>
      </c>
      <c r="X49" s="37">
        <f>MIN((I49*0.05)-'CAS - DEDS'!Y48,2500)</f>
        <v>0</v>
      </c>
      <c r="Y49" s="41">
        <f t="shared" si="8"/>
        <v>200</v>
      </c>
    </row>
    <row r="50" spans="1:25" ht="18.75" customHeight="1" x14ac:dyDescent="0.25">
      <c r="A50" s="98"/>
      <c r="B50" s="33">
        <f t="shared" si="9"/>
        <v>30</v>
      </c>
      <c r="C50" s="72">
        <f>VLOOKUP(B50,'WTAX-CAS'!B:N,2,0)</f>
        <v>0</v>
      </c>
      <c r="D50" s="72" t="e">
        <f>VLOOKUP(C50,'WTAX-CAS'!C:O,2,0)</f>
        <v>#N/A</v>
      </c>
      <c r="E50" s="306">
        <f>VLOOKUP(B50,'WTAX-CAS'!B:N,4,0)</f>
        <v>0</v>
      </c>
      <c r="F50" s="86"/>
      <c r="G50" s="91"/>
      <c r="H50" s="91"/>
      <c r="I50" s="37">
        <f t="shared" si="16"/>
        <v>0</v>
      </c>
      <c r="J50" s="332">
        <f>'WTAX-CAS'!N37</f>
        <v>0</v>
      </c>
      <c r="K50" s="211">
        <f t="shared" si="17"/>
        <v>0</v>
      </c>
      <c r="L50" s="40">
        <f>'WTAX-CAS'!F37</f>
        <v>0</v>
      </c>
      <c r="M50" s="37">
        <f>'CAS - DEDS'!R49</f>
        <v>0</v>
      </c>
      <c r="N50" s="37">
        <f>'CAS - DEDS'!X49</f>
        <v>0</v>
      </c>
      <c r="O50" s="37">
        <f>'CAS - DEDS'!Y49</f>
        <v>0</v>
      </c>
      <c r="P50" s="37">
        <f>'CAS - DEDS'!AE49</f>
        <v>0</v>
      </c>
      <c r="Q50" s="38">
        <f t="shared" si="18"/>
        <v>0</v>
      </c>
      <c r="R50" s="49">
        <f t="shared" si="19"/>
        <v>0</v>
      </c>
      <c r="S50" s="76">
        <f t="shared" si="20"/>
        <v>0</v>
      </c>
      <c r="T50" s="77">
        <f t="shared" si="21"/>
        <v>0</v>
      </c>
      <c r="U50" s="33">
        <f t="shared" si="22"/>
        <v>30</v>
      </c>
      <c r="V50" s="36">
        <f>ROUND('CAS - PAY'!I50*0.12,2)</f>
        <v>0</v>
      </c>
      <c r="W50" s="37">
        <f t="shared" si="7"/>
        <v>100</v>
      </c>
      <c r="X50" s="37">
        <f>MIN((I50*0.05)-'CAS - DEDS'!Y49,2500)</f>
        <v>0</v>
      </c>
      <c r="Y50" s="41">
        <f t="shared" si="8"/>
        <v>200</v>
      </c>
    </row>
    <row r="51" spans="1:25" ht="18.75" customHeight="1" x14ac:dyDescent="0.25">
      <c r="A51" s="98"/>
      <c r="B51" s="33">
        <f t="shared" ref="B51:B66" si="23">+B34+1</f>
        <v>15</v>
      </c>
      <c r="C51" s="72">
        <f>VLOOKUP(B51,'WTAX-CAS'!B:N,2,0)</f>
        <v>0</v>
      </c>
      <c r="D51" s="72" t="e">
        <f>VLOOKUP(C51,'WTAX-CAS'!C:O,2,0)</f>
        <v>#N/A</v>
      </c>
      <c r="E51" s="306">
        <f>VLOOKUP(B51,'WTAX-CAS'!B:N,4,0)</f>
        <v>0</v>
      </c>
      <c r="F51" s="89"/>
      <c r="G51" s="91"/>
      <c r="H51" s="91"/>
      <c r="I51" s="37">
        <f t="shared" ref="I51:I66" si="24">SUM(F51:H51)</f>
        <v>0</v>
      </c>
      <c r="J51" s="332">
        <f>'WTAX-CAS'!N38</f>
        <v>0</v>
      </c>
      <c r="K51" s="211">
        <f t="shared" ref="K51:K66" si="25">ROUND(I51-J51,2)</f>
        <v>0</v>
      </c>
      <c r="L51" s="40">
        <f>'WTAX-CAS'!F38</f>
        <v>0</v>
      </c>
      <c r="M51" s="37">
        <f>'CAS - DEDS'!R34</f>
        <v>0</v>
      </c>
      <c r="N51" s="37">
        <f>'CAS - DEDS'!X34</f>
        <v>0</v>
      </c>
      <c r="O51" s="37">
        <f>'CAS - DEDS'!Y34</f>
        <v>0</v>
      </c>
      <c r="P51" s="37">
        <f>'CAS - DEDS'!AE34</f>
        <v>0</v>
      </c>
      <c r="Q51" s="38">
        <f t="shared" ref="Q51:Q66" si="26">ROUND(SUM(L51:P51),2)</f>
        <v>0</v>
      </c>
      <c r="R51" s="49">
        <f t="shared" ref="R51:R66" si="27">K51-Q51</f>
        <v>0</v>
      </c>
      <c r="S51" s="76">
        <f t="shared" ref="S51:S66" si="28">ROUND(R51/2,0)</f>
        <v>0</v>
      </c>
      <c r="T51" s="77">
        <f t="shared" ref="T51:T66" si="29">R51-S51</f>
        <v>0</v>
      </c>
      <c r="U51" s="33">
        <f t="shared" ref="U51:U66" si="30">B51</f>
        <v>15</v>
      </c>
      <c r="V51" s="36">
        <f>ROUND('CAS - PAY'!I51*0.12,2)</f>
        <v>0</v>
      </c>
      <c r="W51" s="37">
        <f t="shared" ref="W51:W66" si="31">W34</f>
        <v>100</v>
      </c>
      <c r="X51" s="37">
        <f>MIN((I51*0.05)-'CAS - DEDS'!Y34,2500)</f>
        <v>0</v>
      </c>
      <c r="Y51" s="41">
        <f t="shared" ref="Y51:Y66" si="32">Y34</f>
        <v>200</v>
      </c>
    </row>
    <row r="52" spans="1:25" ht="18.75" customHeight="1" x14ac:dyDescent="0.25">
      <c r="A52" s="98"/>
      <c r="B52" s="33">
        <f t="shared" si="23"/>
        <v>16</v>
      </c>
      <c r="C52" s="72">
        <f>VLOOKUP(B52,'WTAX-CAS'!B:N,2,0)</f>
        <v>0</v>
      </c>
      <c r="D52" s="72" t="e">
        <f>VLOOKUP(C52,'WTAX-CAS'!C:O,2,0)</f>
        <v>#N/A</v>
      </c>
      <c r="E52" s="306">
        <f>VLOOKUP(B52,'WTAX-CAS'!B:N,4,0)</f>
        <v>0</v>
      </c>
      <c r="F52" s="89"/>
      <c r="G52" s="91"/>
      <c r="H52" s="91"/>
      <c r="I52" s="37">
        <f t="shared" si="24"/>
        <v>0</v>
      </c>
      <c r="J52" s="332">
        <f>'WTAX-CAS'!N39</f>
        <v>0</v>
      </c>
      <c r="K52" s="211">
        <f t="shared" si="25"/>
        <v>0</v>
      </c>
      <c r="L52" s="40">
        <f>'WTAX-CAS'!F39</f>
        <v>0</v>
      </c>
      <c r="M52" s="37">
        <f>'CAS - DEDS'!R35</f>
        <v>0</v>
      </c>
      <c r="N52" s="37">
        <f>'CAS - DEDS'!X35</f>
        <v>0</v>
      </c>
      <c r="O52" s="37">
        <f>'CAS - DEDS'!Y35</f>
        <v>0</v>
      </c>
      <c r="P52" s="37">
        <f>'CAS - DEDS'!AE35</f>
        <v>0</v>
      </c>
      <c r="Q52" s="38">
        <f t="shared" si="26"/>
        <v>0</v>
      </c>
      <c r="R52" s="49">
        <f t="shared" si="27"/>
        <v>0</v>
      </c>
      <c r="S52" s="76">
        <f t="shared" si="28"/>
        <v>0</v>
      </c>
      <c r="T52" s="77">
        <f t="shared" si="29"/>
        <v>0</v>
      </c>
      <c r="U52" s="33">
        <f t="shared" si="30"/>
        <v>16</v>
      </c>
      <c r="V52" s="36">
        <f>ROUND('CAS - PAY'!I52*0.12,2)</f>
        <v>0</v>
      </c>
      <c r="W52" s="37">
        <f t="shared" si="31"/>
        <v>100</v>
      </c>
      <c r="X52" s="37">
        <f>MIN((I52*0.05)-'CAS - DEDS'!Y35,2500)</f>
        <v>0</v>
      </c>
      <c r="Y52" s="41">
        <f t="shared" si="32"/>
        <v>200</v>
      </c>
    </row>
    <row r="53" spans="1:25" ht="18.75" customHeight="1" x14ac:dyDescent="0.25">
      <c r="A53" s="98"/>
      <c r="B53" s="33">
        <f t="shared" si="23"/>
        <v>17</v>
      </c>
      <c r="C53" s="72">
        <f>VLOOKUP(B53,'WTAX-CAS'!B:N,2,0)</f>
        <v>0</v>
      </c>
      <c r="D53" s="72" t="e">
        <f>VLOOKUP(C53,'WTAX-CAS'!C:O,2,0)</f>
        <v>#N/A</v>
      </c>
      <c r="E53" s="306">
        <f>VLOOKUP(B53,'WTAX-CAS'!B:N,4,0)</f>
        <v>0</v>
      </c>
      <c r="F53" s="89"/>
      <c r="G53" s="91"/>
      <c r="H53" s="91"/>
      <c r="I53" s="37">
        <f t="shared" si="24"/>
        <v>0</v>
      </c>
      <c r="J53" s="332">
        <f>'WTAX-CAS'!N40</f>
        <v>0</v>
      </c>
      <c r="K53" s="211">
        <f t="shared" si="25"/>
        <v>0</v>
      </c>
      <c r="L53" s="40">
        <f>'WTAX-CAS'!F40</f>
        <v>0</v>
      </c>
      <c r="M53" s="37">
        <f>'CAS - DEDS'!R36</f>
        <v>0</v>
      </c>
      <c r="N53" s="37">
        <f>'CAS - DEDS'!X36</f>
        <v>0</v>
      </c>
      <c r="O53" s="37">
        <f>'CAS - DEDS'!Y36</f>
        <v>0</v>
      </c>
      <c r="P53" s="37">
        <f>'CAS - DEDS'!AE36</f>
        <v>0</v>
      </c>
      <c r="Q53" s="38">
        <f t="shared" si="26"/>
        <v>0</v>
      </c>
      <c r="R53" s="49">
        <f t="shared" si="27"/>
        <v>0</v>
      </c>
      <c r="S53" s="76">
        <f t="shared" si="28"/>
        <v>0</v>
      </c>
      <c r="T53" s="77">
        <f t="shared" si="29"/>
        <v>0</v>
      </c>
      <c r="U53" s="33">
        <f t="shared" si="30"/>
        <v>17</v>
      </c>
      <c r="V53" s="36">
        <f>ROUND('CAS - PAY'!I53*0.12,2)</f>
        <v>0</v>
      </c>
      <c r="W53" s="37">
        <f t="shared" si="31"/>
        <v>100</v>
      </c>
      <c r="X53" s="37">
        <f>MIN((I53*0.05)-'CAS - DEDS'!Y36,2500)</f>
        <v>0</v>
      </c>
      <c r="Y53" s="41">
        <f t="shared" si="32"/>
        <v>200</v>
      </c>
    </row>
    <row r="54" spans="1:25" ht="18.75" customHeight="1" x14ac:dyDescent="0.25">
      <c r="A54" s="98"/>
      <c r="B54" s="33">
        <f t="shared" si="23"/>
        <v>18</v>
      </c>
      <c r="C54" s="72">
        <f>VLOOKUP(B54,'WTAX-CAS'!B:N,2,0)</f>
        <v>0</v>
      </c>
      <c r="D54" s="72" t="e">
        <f>VLOOKUP(C54,'WTAX-CAS'!C:O,2,0)</f>
        <v>#N/A</v>
      </c>
      <c r="E54" s="306">
        <f>VLOOKUP(B54,'WTAX-CAS'!B:N,4,0)</f>
        <v>0</v>
      </c>
      <c r="F54" s="89"/>
      <c r="G54" s="91"/>
      <c r="H54" s="91"/>
      <c r="I54" s="37">
        <f t="shared" si="24"/>
        <v>0</v>
      </c>
      <c r="J54" s="332">
        <f>'WTAX-CAS'!N41</f>
        <v>0</v>
      </c>
      <c r="K54" s="211">
        <f t="shared" si="25"/>
        <v>0</v>
      </c>
      <c r="L54" s="40">
        <f>'WTAX-CAS'!F41</f>
        <v>0</v>
      </c>
      <c r="M54" s="37">
        <f>'CAS - DEDS'!R37</f>
        <v>0</v>
      </c>
      <c r="N54" s="37">
        <f>'CAS - DEDS'!X37</f>
        <v>0</v>
      </c>
      <c r="O54" s="37">
        <f>'CAS - DEDS'!Y37</f>
        <v>0</v>
      </c>
      <c r="P54" s="37">
        <f>'CAS - DEDS'!AE37</f>
        <v>0</v>
      </c>
      <c r="Q54" s="38">
        <f t="shared" si="26"/>
        <v>0</v>
      </c>
      <c r="R54" s="49">
        <f t="shared" si="27"/>
        <v>0</v>
      </c>
      <c r="S54" s="76">
        <f t="shared" si="28"/>
        <v>0</v>
      </c>
      <c r="T54" s="77">
        <f t="shared" si="29"/>
        <v>0</v>
      </c>
      <c r="U54" s="33">
        <f t="shared" si="30"/>
        <v>18</v>
      </c>
      <c r="V54" s="36">
        <f>ROUND('CAS - PAY'!I54*0.12,2)</f>
        <v>0</v>
      </c>
      <c r="W54" s="37">
        <f t="shared" si="31"/>
        <v>100</v>
      </c>
      <c r="X54" s="37">
        <f>MIN((I54*0.05)-'CAS - DEDS'!Y37,2500)</f>
        <v>0</v>
      </c>
      <c r="Y54" s="41">
        <f t="shared" si="32"/>
        <v>200</v>
      </c>
    </row>
    <row r="55" spans="1:25" ht="18.75" customHeight="1" x14ac:dyDescent="0.25">
      <c r="A55" s="98"/>
      <c r="B55" s="33">
        <f t="shared" si="23"/>
        <v>19</v>
      </c>
      <c r="C55" s="72">
        <f>VLOOKUP(B55,'WTAX-CAS'!B:N,2,0)</f>
        <v>0</v>
      </c>
      <c r="D55" s="72" t="e">
        <f>VLOOKUP(C55,'WTAX-CAS'!C:O,2,0)</f>
        <v>#N/A</v>
      </c>
      <c r="E55" s="306">
        <f>VLOOKUP(B55,'WTAX-CAS'!B:N,4,0)</f>
        <v>0</v>
      </c>
      <c r="F55" s="89"/>
      <c r="G55" s="91"/>
      <c r="H55" s="91"/>
      <c r="I55" s="37">
        <f t="shared" si="24"/>
        <v>0</v>
      </c>
      <c r="J55" s="332">
        <f>'WTAX-CAS'!N42</f>
        <v>0</v>
      </c>
      <c r="K55" s="211">
        <f t="shared" si="25"/>
        <v>0</v>
      </c>
      <c r="L55" s="40">
        <f>'WTAX-CAS'!F42</f>
        <v>0</v>
      </c>
      <c r="M55" s="37">
        <f>'CAS - DEDS'!R38</f>
        <v>0</v>
      </c>
      <c r="N55" s="37">
        <f>'CAS - DEDS'!X38</f>
        <v>0</v>
      </c>
      <c r="O55" s="37">
        <f>'CAS - DEDS'!Y38</f>
        <v>0</v>
      </c>
      <c r="P55" s="37">
        <f>'CAS - DEDS'!AE38</f>
        <v>0</v>
      </c>
      <c r="Q55" s="38">
        <f t="shared" si="26"/>
        <v>0</v>
      </c>
      <c r="R55" s="49">
        <f t="shared" si="27"/>
        <v>0</v>
      </c>
      <c r="S55" s="76">
        <f t="shared" si="28"/>
        <v>0</v>
      </c>
      <c r="T55" s="77">
        <f t="shared" si="29"/>
        <v>0</v>
      </c>
      <c r="U55" s="33">
        <f t="shared" si="30"/>
        <v>19</v>
      </c>
      <c r="V55" s="36">
        <f>ROUND('CAS - PAY'!I55*0.12,2)</f>
        <v>0</v>
      </c>
      <c r="W55" s="37">
        <f t="shared" si="31"/>
        <v>100</v>
      </c>
      <c r="X55" s="37">
        <f>MIN((I55*0.05)-'CAS - DEDS'!Y38,2500)</f>
        <v>0</v>
      </c>
      <c r="Y55" s="41">
        <f t="shared" si="32"/>
        <v>200</v>
      </c>
    </row>
    <row r="56" spans="1:25" ht="18.75" customHeight="1" x14ac:dyDescent="0.25">
      <c r="A56" s="98"/>
      <c r="B56" s="33">
        <f t="shared" si="23"/>
        <v>20</v>
      </c>
      <c r="C56" s="72">
        <f>VLOOKUP(B56,'WTAX-CAS'!B:N,2,0)</f>
        <v>0</v>
      </c>
      <c r="D56" s="72" t="e">
        <f>VLOOKUP(C56,'WTAX-CAS'!C:O,2,0)</f>
        <v>#N/A</v>
      </c>
      <c r="E56" s="306">
        <f>VLOOKUP(B56,'WTAX-CAS'!B:N,4,0)</f>
        <v>0</v>
      </c>
      <c r="F56" s="89"/>
      <c r="G56" s="91"/>
      <c r="H56" s="91"/>
      <c r="I56" s="37">
        <f t="shared" si="24"/>
        <v>0</v>
      </c>
      <c r="J56" s="332">
        <f>'WTAX-CAS'!N43</f>
        <v>0</v>
      </c>
      <c r="K56" s="211">
        <f t="shared" si="25"/>
        <v>0</v>
      </c>
      <c r="L56" s="40">
        <f>'WTAX-CAS'!F43</f>
        <v>0</v>
      </c>
      <c r="M56" s="37">
        <f>'CAS - DEDS'!R39</f>
        <v>0</v>
      </c>
      <c r="N56" s="37">
        <f>'CAS - DEDS'!X39</f>
        <v>0</v>
      </c>
      <c r="O56" s="37">
        <f>'CAS - DEDS'!Y39</f>
        <v>0</v>
      </c>
      <c r="P56" s="37">
        <f>'CAS - DEDS'!AE39</f>
        <v>0</v>
      </c>
      <c r="Q56" s="38">
        <f t="shared" si="26"/>
        <v>0</v>
      </c>
      <c r="R56" s="49">
        <f t="shared" si="27"/>
        <v>0</v>
      </c>
      <c r="S56" s="76">
        <f t="shared" si="28"/>
        <v>0</v>
      </c>
      <c r="T56" s="77">
        <f t="shared" si="29"/>
        <v>0</v>
      </c>
      <c r="U56" s="33">
        <f t="shared" si="30"/>
        <v>20</v>
      </c>
      <c r="V56" s="36">
        <f>ROUND('CAS - PAY'!I56*0.12,2)</f>
        <v>0</v>
      </c>
      <c r="W56" s="37">
        <f t="shared" si="31"/>
        <v>100</v>
      </c>
      <c r="X56" s="37">
        <f>MIN((I56*0.05)-'CAS - DEDS'!Y39,2500)</f>
        <v>0</v>
      </c>
      <c r="Y56" s="41">
        <f t="shared" si="32"/>
        <v>200</v>
      </c>
    </row>
    <row r="57" spans="1:25" ht="18.75" customHeight="1" x14ac:dyDescent="0.25">
      <c r="A57" s="98"/>
      <c r="B57" s="33">
        <f t="shared" si="23"/>
        <v>21</v>
      </c>
      <c r="C57" s="72">
        <f>VLOOKUP(B57,'WTAX-CAS'!B:N,2,0)</f>
        <v>0</v>
      </c>
      <c r="D57" s="72" t="e">
        <f>VLOOKUP(C57,'WTAX-CAS'!C:O,2,0)</f>
        <v>#N/A</v>
      </c>
      <c r="E57" s="306">
        <f>VLOOKUP(B57,'WTAX-CAS'!B:N,4,0)</f>
        <v>0</v>
      </c>
      <c r="F57" s="89"/>
      <c r="G57" s="91"/>
      <c r="H57" s="91"/>
      <c r="I57" s="37">
        <f t="shared" si="24"/>
        <v>0</v>
      </c>
      <c r="J57" s="332">
        <f>'WTAX-CAS'!N44</f>
        <v>0</v>
      </c>
      <c r="K57" s="211">
        <f t="shared" si="25"/>
        <v>0</v>
      </c>
      <c r="L57" s="40">
        <f>'WTAX-CAS'!F44</f>
        <v>0</v>
      </c>
      <c r="M57" s="37">
        <f>'CAS - DEDS'!R40</f>
        <v>0</v>
      </c>
      <c r="N57" s="37">
        <f>'CAS - DEDS'!X40</f>
        <v>0</v>
      </c>
      <c r="O57" s="37">
        <f>'CAS - DEDS'!Y40</f>
        <v>0</v>
      </c>
      <c r="P57" s="37">
        <f>'CAS - DEDS'!AE40</f>
        <v>0</v>
      </c>
      <c r="Q57" s="38">
        <f t="shared" si="26"/>
        <v>0</v>
      </c>
      <c r="R57" s="49">
        <f t="shared" si="27"/>
        <v>0</v>
      </c>
      <c r="S57" s="76">
        <f t="shared" si="28"/>
        <v>0</v>
      </c>
      <c r="T57" s="77">
        <f t="shared" si="29"/>
        <v>0</v>
      </c>
      <c r="U57" s="33">
        <f t="shared" si="30"/>
        <v>21</v>
      </c>
      <c r="V57" s="36">
        <f>ROUND('CAS - PAY'!I57*0.12,2)</f>
        <v>0</v>
      </c>
      <c r="W57" s="37">
        <f t="shared" si="31"/>
        <v>100</v>
      </c>
      <c r="X57" s="37">
        <f>MIN((I57*0.05)-'CAS - DEDS'!Y40,2500)</f>
        <v>0</v>
      </c>
      <c r="Y57" s="41">
        <f t="shared" si="32"/>
        <v>200</v>
      </c>
    </row>
    <row r="58" spans="1:25" ht="18.75" customHeight="1" x14ac:dyDescent="0.25">
      <c r="A58" s="98"/>
      <c r="B58" s="33">
        <f t="shared" si="23"/>
        <v>22</v>
      </c>
      <c r="C58" s="72">
        <f>VLOOKUP(B58,'WTAX-CAS'!B:N,2,0)</f>
        <v>0</v>
      </c>
      <c r="D58" s="72" t="e">
        <f>VLOOKUP(C58,'WTAX-CAS'!C:O,2,0)</f>
        <v>#N/A</v>
      </c>
      <c r="E58" s="306">
        <f>VLOOKUP(B58,'WTAX-CAS'!B:N,4,0)</f>
        <v>0</v>
      </c>
      <c r="F58" s="89"/>
      <c r="G58" s="91"/>
      <c r="H58" s="91"/>
      <c r="I58" s="37">
        <f t="shared" si="24"/>
        <v>0</v>
      </c>
      <c r="J58" s="332">
        <f>'WTAX-CAS'!N45</f>
        <v>0</v>
      </c>
      <c r="K58" s="211">
        <f t="shared" si="25"/>
        <v>0</v>
      </c>
      <c r="L58" s="40">
        <f>'WTAX-CAS'!F45</f>
        <v>0</v>
      </c>
      <c r="M58" s="37">
        <f>'CAS - DEDS'!R41</f>
        <v>0</v>
      </c>
      <c r="N58" s="37">
        <f>'CAS - DEDS'!X41</f>
        <v>0</v>
      </c>
      <c r="O58" s="37">
        <f>'CAS - DEDS'!Y41</f>
        <v>0</v>
      </c>
      <c r="P58" s="37">
        <f>'CAS - DEDS'!AE41</f>
        <v>0</v>
      </c>
      <c r="Q58" s="38">
        <f t="shared" si="26"/>
        <v>0</v>
      </c>
      <c r="R58" s="49">
        <f t="shared" si="27"/>
        <v>0</v>
      </c>
      <c r="S58" s="76">
        <f t="shared" si="28"/>
        <v>0</v>
      </c>
      <c r="T58" s="77">
        <f t="shared" si="29"/>
        <v>0</v>
      </c>
      <c r="U58" s="33">
        <f t="shared" si="30"/>
        <v>22</v>
      </c>
      <c r="V58" s="36">
        <f>ROUND('CAS - PAY'!I58*0.12,2)</f>
        <v>0</v>
      </c>
      <c r="W58" s="37">
        <f t="shared" si="31"/>
        <v>100</v>
      </c>
      <c r="X58" s="37">
        <f>MIN((I58*0.05)-'CAS - DEDS'!Y41,2500)</f>
        <v>0</v>
      </c>
      <c r="Y58" s="41">
        <f t="shared" si="32"/>
        <v>200</v>
      </c>
    </row>
    <row r="59" spans="1:25" ht="18.75" customHeight="1" x14ac:dyDescent="0.25">
      <c r="A59" s="98"/>
      <c r="B59" s="33">
        <f t="shared" si="23"/>
        <v>23</v>
      </c>
      <c r="C59" s="72">
        <f>VLOOKUP(B59,'WTAX-CAS'!B:N,2,0)</f>
        <v>0</v>
      </c>
      <c r="D59" s="72" t="e">
        <f>VLOOKUP(C59,'WTAX-CAS'!C:O,2,0)</f>
        <v>#N/A</v>
      </c>
      <c r="E59" s="306">
        <f>VLOOKUP(B59,'WTAX-CAS'!B:N,4,0)</f>
        <v>0</v>
      </c>
      <c r="F59" s="89"/>
      <c r="G59" s="91"/>
      <c r="H59" s="91"/>
      <c r="I59" s="37">
        <f t="shared" si="24"/>
        <v>0</v>
      </c>
      <c r="J59" s="332">
        <f>'WTAX-CAS'!N46</f>
        <v>0</v>
      </c>
      <c r="K59" s="211">
        <f t="shared" si="25"/>
        <v>0</v>
      </c>
      <c r="L59" s="40">
        <f>'WTAX-CAS'!F46</f>
        <v>0</v>
      </c>
      <c r="M59" s="37">
        <f>'CAS - DEDS'!R42</f>
        <v>0</v>
      </c>
      <c r="N59" s="37">
        <f>'CAS - DEDS'!X42</f>
        <v>0</v>
      </c>
      <c r="O59" s="37">
        <f>'CAS - DEDS'!Y42</f>
        <v>0</v>
      </c>
      <c r="P59" s="37">
        <f>'CAS - DEDS'!AE42</f>
        <v>0</v>
      </c>
      <c r="Q59" s="38">
        <f t="shared" si="26"/>
        <v>0</v>
      </c>
      <c r="R59" s="49">
        <f t="shared" si="27"/>
        <v>0</v>
      </c>
      <c r="S59" s="76">
        <f t="shared" si="28"/>
        <v>0</v>
      </c>
      <c r="T59" s="77">
        <f t="shared" si="29"/>
        <v>0</v>
      </c>
      <c r="U59" s="33">
        <f t="shared" si="30"/>
        <v>23</v>
      </c>
      <c r="V59" s="36">
        <f>ROUND('CAS - PAY'!I59*0.12,2)</f>
        <v>0</v>
      </c>
      <c r="W59" s="37">
        <f t="shared" si="31"/>
        <v>100</v>
      </c>
      <c r="X59" s="37">
        <f>MIN((I59*0.05)-'CAS - DEDS'!Y42,2500)</f>
        <v>0</v>
      </c>
      <c r="Y59" s="41">
        <f t="shared" si="32"/>
        <v>200</v>
      </c>
    </row>
    <row r="60" spans="1:25" ht="18.75" customHeight="1" x14ac:dyDescent="0.25">
      <c r="A60" s="98"/>
      <c r="B60" s="33">
        <f t="shared" si="23"/>
        <v>24</v>
      </c>
      <c r="C60" s="72">
        <f>VLOOKUP(B60,'WTAX-CAS'!B:N,2,0)</f>
        <v>0</v>
      </c>
      <c r="D60" s="72" t="e">
        <f>VLOOKUP(C60,'WTAX-CAS'!C:O,2,0)</f>
        <v>#N/A</v>
      </c>
      <c r="E60" s="306">
        <f>VLOOKUP(B60,'WTAX-CAS'!B:N,4,0)</f>
        <v>0</v>
      </c>
      <c r="F60" s="89"/>
      <c r="G60" s="91"/>
      <c r="H60" s="91"/>
      <c r="I60" s="37">
        <f t="shared" si="24"/>
        <v>0</v>
      </c>
      <c r="J60" s="332">
        <f>'WTAX-CAS'!N47</f>
        <v>0</v>
      </c>
      <c r="K60" s="211">
        <f t="shared" si="25"/>
        <v>0</v>
      </c>
      <c r="L60" s="40">
        <f>'WTAX-CAS'!F47</f>
        <v>0</v>
      </c>
      <c r="M60" s="37">
        <f>'CAS - DEDS'!R43</f>
        <v>0</v>
      </c>
      <c r="N60" s="37">
        <f>'CAS - DEDS'!X43</f>
        <v>0</v>
      </c>
      <c r="O60" s="37">
        <f>'CAS - DEDS'!Y43</f>
        <v>0</v>
      </c>
      <c r="P60" s="37">
        <f>'CAS - DEDS'!AE43</f>
        <v>0</v>
      </c>
      <c r="Q60" s="38">
        <f t="shared" si="26"/>
        <v>0</v>
      </c>
      <c r="R60" s="49">
        <f t="shared" si="27"/>
        <v>0</v>
      </c>
      <c r="S60" s="76">
        <f t="shared" si="28"/>
        <v>0</v>
      </c>
      <c r="T60" s="77">
        <f t="shared" si="29"/>
        <v>0</v>
      </c>
      <c r="U60" s="33">
        <f t="shared" si="30"/>
        <v>24</v>
      </c>
      <c r="V60" s="36">
        <f>ROUND('CAS - PAY'!I60*0.12,2)</f>
        <v>0</v>
      </c>
      <c r="W60" s="37">
        <f t="shared" si="31"/>
        <v>100</v>
      </c>
      <c r="X60" s="37">
        <f>MIN((I60*0.05)-'CAS - DEDS'!Y43,2500)</f>
        <v>0</v>
      </c>
      <c r="Y60" s="41">
        <f t="shared" si="32"/>
        <v>200</v>
      </c>
    </row>
    <row r="61" spans="1:25" ht="18.75" customHeight="1" x14ac:dyDescent="0.25">
      <c r="A61" s="98"/>
      <c r="B61" s="33">
        <f t="shared" si="23"/>
        <v>25</v>
      </c>
      <c r="C61" s="72">
        <f>VLOOKUP(B61,'WTAX-CAS'!B:N,2,0)</f>
        <v>0</v>
      </c>
      <c r="D61" s="72" t="e">
        <f>VLOOKUP(C61,'WTAX-CAS'!C:O,2,0)</f>
        <v>#N/A</v>
      </c>
      <c r="E61" s="306">
        <f>VLOOKUP(B61,'WTAX-CAS'!B:N,4,0)</f>
        <v>0</v>
      </c>
      <c r="F61" s="89"/>
      <c r="G61" s="91"/>
      <c r="H61" s="91"/>
      <c r="I61" s="37">
        <f t="shared" si="24"/>
        <v>0</v>
      </c>
      <c r="J61" s="332">
        <f>'WTAX-CAS'!N48</f>
        <v>0</v>
      </c>
      <c r="K61" s="211">
        <f t="shared" si="25"/>
        <v>0</v>
      </c>
      <c r="L61" s="40">
        <f>'WTAX-CAS'!F48</f>
        <v>0</v>
      </c>
      <c r="M61" s="37">
        <f>'CAS - DEDS'!R44</f>
        <v>0</v>
      </c>
      <c r="N61" s="37">
        <f>'CAS - DEDS'!X44</f>
        <v>0</v>
      </c>
      <c r="O61" s="37">
        <f>'CAS - DEDS'!Y44</f>
        <v>0</v>
      </c>
      <c r="P61" s="37">
        <f>'CAS - DEDS'!AE44</f>
        <v>0</v>
      </c>
      <c r="Q61" s="38">
        <f t="shared" si="26"/>
        <v>0</v>
      </c>
      <c r="R61" s="49">
        <f t="shared" si="27"/>
        <v>0</v>
      </c>
      <c r="S61" s="76">
        <f t="shared" si="28"/>
        <v>0</v>
      </c>
      <c r="T61" s="77">
        <f t="shared" si="29"/>
        <v>0</v>
      </c>
      <c r="U61" s="33">
        <f t="shared" si="30"/>
        <v>25</v>
      </c>
      <c r="V61" s="36">
        <f>ROUND('CAS - PAY'!I61*0.12,2)</f>
        <v>0</v>
      </c>
      <c r="W61" s="37">
        <f t="shared" si="31"/>
        <v>100</v>
      </c>
      <c r="X61" s="37">
        <f>MIN((I61*0.05)-'CAS - DEDS'!Y44,2500)</f>
        <v>0</v>
      </c>
      <c r="Y61" s="41">
        <f t="shared" si="32"/>
        <v>200</v>
      </c>
    </row>
    <row r="62" spans="1:25" ht="18.75" customHeight="1" x14ac:dyDescent="0.25">
      <c r="A62" s="98"/>
      <c r="B62" s="33">
        <f t="shared" si="23"/>
        <v>26</v>
      </c>
      <c r="C62" s="72">
        <f>VLOOKUP(B62,'WTAX-CAS'!B:N,2,0)</f>
        <v>0</v>
      </c>
      <c r="D62" s="72" t="e">
        <f>VLOOKUP(C62,'WTAX-CAS'!C:O,2,0)</f>
        <v>#N/A</v>
      </c>
      <c r="E62" s="306">
        <f>VLOOKUP(B62,'WTAX-CAS'!B:N,4,0)</f>
        <v>0</v>
      </c>
      <c r="F62" s="89"/>
      <c r="G62" s="91"/>
      <c r="H62" s="91"/>
      <c r="I62" s="37">
        <f t="shared" si="24"/>
        <v>0</v>
      </c>
      <c r="J62" s="332">
        <f>'WTAX-CAS'!N49</f>
        <v>0</v>
      </c>
      <c r="K62" s="211">
        <f t="shared" si="25"/>
        <v>0</v>
      </c>
      <c r="L62" s="40">
        <f>'WTAX-CAS'!F49</f>
        <v>0</v>
      </c>
      <c r="M62" s="37">
        <f>'CAS - DEDS'!R45</f>
        <v>0</v>
      </c>
      <c r="N62" s="37">
        <f>'CAS - DEDS'!X45</f>
        <v>0</v>
      </c>
      <c r="O62" s="37">
        <f>'CAS - DEDS'!Y45</f>
        <v>0</v>
      </c>
      <c r="P62" s="37">
        <f>'CAS - DEDS'!AE45</f>
        <v>0</v>
      </c>
      <c r="Q62" s="38">
        <f t="shared" si="26"/>
        <v>0</v>
      </c>
      <c r="R62" s="49">
        <f t="shared" si="27"/>
        <v>0</v>
      </c>
      <c r="S62" s="76">
        <f t="shared" si="28"/>
        <v>0</v>
      </c>
      <c r="T62" s="77">
        <f t="shared" si="29"/>
        <v>0</v>
      </c>
      <c r="U62" s="33">
        <f t="shared" si="30"/>
        <v>26</v>
      </c>
      <c r="V62" s="36">
        <f>ROUND('CAS - PAY'!I62*0.12,2)</f>
        <v>0</v>
      </c>
      <c r="W62" s="37">
        <f t="shared" si="31"/>
        <v>100</v>
      </c>
      <c r="X62" s="37">
        <f>MIN((I62*0.05)-'CAS - DEDS'!Y45,2500)</f>
        <v>0</v>
      </c>
      <c r="Y62" s="41">
        <f t="shared" si="32"/>
        <v>200</v>
      </c>
    </row>
    <row r="63" spans="1:25" ht="18.75" customHeight="1" x14ac:dyDescent="0.25">
      <c r="A63" s="98"/>
      <c r="B63" s="33">
        <f t="shared" si="23"/>
        <v>27</v>
      </c>
      <c r="C63" s="72">
        <f>VLOOKUP(B63,'WTAX-CAS'!B:N,2,0)</f>
        <v>0</v>
      </c>
      <c r="D63" s="72" t="e">
        <f>VLOOKUP(C63,'WTAX-CAS'!C:O,2,0)</f>
        <v>#N/A</v>
      </c>
      <c r="E63" s="306">
        <f>VLOOKUP(B63,'WTAX-CAS'!B:N,4,0)</f>
        <v>0</v>
      </c>
      <c r="F63" s="89"/>
      <c r="G63" s="91"/>
      <c r="H63" s="91"/>
      <c r="I63" s="37">
        <f t="shared" si="24"/>
        <v>0</v>
      </c>
      <c r="J63" s="332">
        <f>'WTAX-CAS'!N50</f>
        <v>0</v>
      </c>
      <c r="K63" s="211">
        <f t="shared" si="25"/>
        <v>0</v>
      </c>
      <c r="L63" s="40">
        <f>'WTAX-CAS'!F50</f>
        <v>0</v>
      </c>
      <c r="M63" s="37">
        <f>'CAS - DEDS'!R46</f>
        <v>0</v>
      </c>
      <c r="N63" s="37">
        <f>'CAS - DEDS'!X46</f>
        <v>0</v>
      </c>
      <c r="O63" s="37">
        <f>'CAS - DEDS'!Y46</f>
        <v>0</v>
      </c>
      <c r="P63" s="37">
        <f>'CAS - DEDS'!AE46</f>
        <v>0</v>
      </c>
      <c r="Q63" s="38">
        <f t="shared" si="26"/>
        <v>0</v>
      </c>
      <c r="R63" s="49">
        <f t="shared" si="27"/>
        <v>0</v>
      </c>
      <c r="S63" s="76">
        <f t="shared" si="28"/>
        <v>0</v>
      </c>
      <c r="T63" s="77">
        <f t="shared" si="29"/>
        <v>0</v>
      </c>
      <c r="U63" s="33">
        <f t="shared" si="30"/>
        <v>27</v>
      </c>
      <c r="V63" s="36">
        <f>ROUND('CAS - PAY'!I63*0.12,2)</f>
        <v>0</v>
      </c>
      <c r="W63" s="37">
        <f t="shared" si="31"/>
        <v>100</v>
      </c>
      <c r="X63" s="37">
        <f>MIN((I63*0.05)-'CAS - DEDS'!Y46,2500)</f>
        <v>0</v>
      </c>
      <c r="Y63" s="41">
        <f t="shared" si="32"/>
        <v>200</v>
      </c>
    </row>
    <row r="64" spans="1:25" ht="18.75" customHeight="1" x14ac:dyDescent="0.25">
      <c r="A64" s="98"/>
      <c r="B64" s="33">
        <f t="shared" si="23"/>
        <v>28</v>
      </c>
      <c r="C64" s="72">
        <f>VLOOKUP(B64,'WTAX-CAS'!B:N,2,0)</f>
        <v>0</v>
      </c>
      <c r="D64" s="72" t="e">
        <f>VLOOKUP(C64,'WTAX-CAS'!C:O,2,0)</f>
        <v>#N/A</v>
      </c>
      <c r="E64" s="306">
        <f>VLOOKUP(B64,'WTAX-CAS'!B:N,4,0)</f>
        <v>0</v>
      </c>
      <c r="F64" s="89"/>
      <c r="G64" s="91"/>
      <c r="H64" s="91"/>
      <c r="I64" s="37">
        <f t="shared" si="24"/>
        <v>0</v>
      </c>
      <c r="J64" s="332">
        <f>'WTAX-CAS'!N51</f>
        <v>0</v>
      </c>
      <c r="K64" s="211">
        <f t="shared" si="25"/>
        <v>0</v>
      </c>
      <c r="L64" s="40">
        <f>'WTAX-CAS'!F51</f>
        <v>0</v>
      </c>
      <c r="M64" s="37">
        <f>'CAS - DEDS'!R47</f>
        <v>0</v>
      </c>
      <c r="N64" s="37">
        <f>'CAS - DEDS'!X47</f>
        <v>0</v>
      </c>
      <c r="O64" s="37">
        <f>'CAS - DEDS'!Y47</f>
        <v>0</v>
      </c>
      <c r="P64" s="37">
        <f>'CAS - DEDS'!AE47</f>
        <v>0</v>
      </c>
      <c r="Q64" s="38">
        <f t="shared" si="26"/>
        <v>0</v>
      </c>
      <c r="R64" s="49">
        <f t="shared" si="27"/>
        <v>0</v>
      </c>
      <c r="S64" s="76">
        <f t="shared" si="28"/>
        <v>0</v>
      </c>
      <c r="T64" s="77">
        <f t="shared" si="29"/>
        <v>0</v>
      </c>
      <c r="U64" s="33">
        <f t="shared" si="30"/>
        <v>28</v>
      </c>
      <c r="V64" s="36">
        <f>ROUND('CAS - PAY'!I64*0.12,2)</f>
        <v>0</v>
      </c>
      <c r="W64" s="37">
        <f t="shared" si="31"/>
        <v>100</v>
      </c>
      <c r="X64" s="37">
        <f>MIN((I64*0.05)-'CAS - DEDS'!Y47,2500)</f>
        <v>0</v>
      </c>
      <c r="Y64" s="41">
        <f t="shared" si="32"/>
        <v>200</v>
      </c>
    </row>
    <row r="65" spans="1:26" ht="18.75" customHeight="1" x14ac:dyDescent="0.25">
      <c r="A65" s="98"/>
      <c r="B65" s="33">
        <f t="shared" si="23"/>
        <v>29</v>
      </c>
      <c r="C65" s="72">
        <f>VLOOKUP(B65,'WTAX-CAS'!B:N,2,0)</f>
        <v>0</v>
      </c>
      <c r="D65" s="72" t="e">
        <f>VLOOKUP(C65,'WTAX-CAS'!C:O,2,0)</f>
        <v>#N/A</v>
      </c>
      <c r="E65" s="306">
        <f>VLOOKUP(B65,'WTAX-CAS'!B:N,4,0)</f>
        <v>0</v>
      </c>
      <c r="F65" s="89"/>
      <c r="G65" s="91"/>
      <c r="H65" s="91"/>
      <c r="I65" s="37">
        <f t="shared" si="24"/>
        <v>0</v>
      </c>
      <c r="J65" s="332">
        <f>'WTAX-CAS'!N52</f>
        <v>0</v>
      </c>
      <c r="K65" s="211">
        <f t="shared" si="25"/>
        <v>0</v>
      </c>
      <c r="L65" s="40">
        <f>'WTAX-CAS'!F52</f>
        <v>0</v>
      </c>
      <c r="M65" s="37">
        <f>'CAS - DEDS'!R48</f>
        <v>0</v>
      </c>
      <c r="N65" s="37">
        <f>'CAS - DEDS'!X48</f>
        <v>0</v>
      </c>
      <c r="O65" s="37">
        <f>'CAS - DEDS'!Y48</f>
        <v>0</v>
      </c>
      <c r="P65" s="37">
        <f>'CAS - DEDS'!AE48</f>
        <v>0</v>
      </c>
      <c r="Q65" s="38">
        <f t="shared" si="26"/>
        <v>0</v>
      </c>
      <c r="R65" s="49">
        <f t="shared" si="27"/>
        <v>0</v>
      </c>
      <c r="S65" s="76">
        <f t="shared" si="28"/>
        <v>0</v>
      </c>
      <c r="T65" s="77">
        <f t="shared" si="29"/>
        <v>0</v>
      </c>
      <c r="U65" s="33">
        <f t="shared" si="30"/>
        <v>29</v>
      </c>
      <c r="V65" s="36">
        <f>ROUND('CAS - PAY'!I65*0.12,2)</f>
        <v>0</v>
      </c>
      <c r="W65" s="37">
        <f t="shared" si="31"/>
        <v>100</v>
      </c>
      <c r="X65" s="37">
        <f>MIN((I65*0.05)-'CAS - DEDS'!Y48,2500)</f>
        <v>0</v>
      </c>
      <c r="Y65" s="41">
        <f t="shared" si="32"/>
        <v>200</v>
      </c>
    </row>
    <row r="66" spans="1:26" ht="18.75" customHeight="1" x14ac:dyDescent="0.25">
      <c r="A66" s="98"/>
      <c r="B66" s="33">
        <f t="shared" si="23"/>
        <v>30</v>
      </c>
      <c r="C66" s="72">
        <f>VLOOKUP(B66,'WTAX-CAS'!B:N,2,0)</f>
        <v>0</v>
      </c>
      <c r="D66" s="72" t="e">
        <f>VLOOKUP(C66,'WTAX-CAS'!C:O,2,0)</f>
        <v>#N/A</v>
      </c>
      <c r="E66" s="306">
        <f>VLOOKUP(B66,'WTAX-CAS'!B:N,4,0)</f>
        <v>0</v>
      </c>
      <c r="F66" s="89"/>
      <c r="G66" s="91"/>
      <c r="H66" s="91"/>
      <c r="I66" s="37">
        <f t="shared" si="24"/>
        <v>0</v>
      </c>
      <c r="J66" s="332">
        <f>'WTAX-CAS'!N53</f>
        <v>0</v>
      </c>
      <c r="K66" s="211">
        <f t="shared" si="25"/>
        <v>0</v>
      </c>
      <c r="L66" s="40">
        <f>'WTAX-CAS'!F53</f>
        <v>0</v>
      </c>
      <c r="M66" s="37">
        <f>'CAS - DEDS'!R49</f>
        <v>0</v>
      </c>
      <c r="N66" s="37">
        <f>'CAS - DEDS'!X49</f>
        <v>0</v>
      </c>
      <c r="O66" s="37">
        <f>'CAS - DEDS'!Y49</f>
        <v>0</v>
      </c>
      <c r="P66" s="37">
        <f>'CAS - DEDS'!AE49</f>
        <v>0</v>
      </c>
      <c r="Q66" s="38">
        <f t="shared" si="26"/>
        <v>0</v>
      </c>
      <c r="R66" s="49">
        <f t="shared" si="27"/>
        <v>0</v>
      </c>
      <c r="S66" s="76">
        <f t="shared" si="28"/>
        <v>0</v>
      </c>
      <c r="T66" s="77">
        <f t="shared" si="29"/>
        <v>0</v>
      </c>
      <c r="U66" s="33">
        <f t="shared" si="30"/>
        <v>30</v>
      </c>
      <c r="V66" s="36">
        <f>ROUND('CAS - PAY'!I66*0.12,2)</f>
        <v>0</v>
      </c>
      <c r="W66" s="37">
        <f t="shared" si="31"/>
        <v>100</v>
      </c>
      <c r="X66" s="37">
        <f>MIN((I66*0.05)-'CAS - DEDS'!Y49,2500)</f>
        <v>0</v>
      </c>
      <c r="Y66" s="41">
        <f t="shared" si="32"/>
        <v>200</v>
      </c>
    </row>
    <row r="67" spans="1:26" ht="18.75" customHeight="1" x14ac:dyDescent="0.25">
      <c r="A67" s="98"/>
      <c r="B67" s="33">
        <f>+B50+1</f>
        <v>31</v>
      </c>
      <c r="C67" s="72">
        <f>VLOOKUP(B67,'WTAX-CAS'!B:N,2,0)</f>
        <v>0</v>
      </c>
      <c r="D67" s="72" t="e">
        <f>VLOOKUP(C67,'WTAX-CAS'!C:O,2,0)</f>
        <v>#N/A</v>
      </c>
      <c r="E67" s="306">
        <f>VLOOKUP(B67,'WTAX-CAS'!B:N,4,0)</f>
        <v>0</v>
      </c>
      <c r="F67" s="89"/>
      <c r="G67" s="91"/>
      <c r="H67" s="91"/>
      <c r="I67" s="37">
        <f t="shared" si="16"/>
        <v>0</v>
      </c>
      <c r="J67" s="332">
        <f>'WTAX-CAS'!N54</f>
        <v>0</v>
      </c>
      <c r="K67" s="211">
        <f t="shared" si="17"/>
        <v>0</v>
      </c>
      <c r="L67" s="40">
        <f>'WTAX-CAS'!F54</f>
        <v>0</v>
      </c>
      <c r="M67" s="37">
        <f>'CAS - DEDS'!R66</f>
        <v>0</v>
      </c>
      <c r="N67" s="37">
        <f>'CAS - DEDS'!X66</f>
        <v>0</v>
      </c>
      <c r="O67" s="37">
        <f>'CAS - DEDS'!Y66</f>
        <v>0</v>
      </c>
      <c r="P67" s="37">
        <f>'CAS - DEDS'!AE66</f>
        <v>0</v>
      </c>
      <c r="Q67" s="38">
        <f t="shared" si="18"/>
        <v>0</v>
      </c>
      <c r="R67" s="49">
        <f t="shared" si="19"/>
        <v>0</v>
      </c>
      <c r="S67" s="76">
        <f t="shared" si="20"/>
        <v>0</v>
      </c>
      <c r="T67" s="77">
        <f t="shared" si="21"/>
        <v>0</v>
      </c>
      <c r="U67" s="33">
        <f t="shared" si="22"/>
        <v>31</v>
      </c>
      <c r="V67" s="36">
        <f>ROUND('CAS - PAY'!I67*0.12,2)</f>
        <v>0</v>
      </c>
      <c r="W67" s="37">
        <f>W50</f>
        <v>100</v>
      </c>
      <c r="X67" s="37">
        <f>MIN((I67*0.05)-'CAS - DEDS'!Y66,2500)</f>
        <v>0</v>
      </c>
      <c r="Y67" s="41">
        <f>Y50</f>
        <v>200</v>
      </c>
    </row>
    <row r="68" spans="1:26" ht="18.75" customHeight="1" x14ac:dyDescent="0.25">
      <c r="A68" s="98"/>
      <c r="B68" s="63"/>
      <c r="C68" s="64"/>
      <c r="D68" s="64"/>
      <c r="E68" s="63"/>
      <c r="F68" s="89"/>
      <c r="G68" s="91"/>
      <c r="H68" s="91"/>
      <c r="I68" s="66"/>
      <c r="J68" s="333"/>
      <c r="K68" s="212"/>
      <c r="L68" s="68"/>
      <c r="M68" s="66"/>
      <c r="N68" s="66"/>
      <c r="O68" s="66"/>
      <c r="P68" s="66"/>
      <c r="Q68" s="69"/>
      <c r="R68" s="70"/>
      <c r="S68" s="68"/>
      <c r="T68" s="71"/>
      <c r="U68" s="63"/>
      <c r="V68" s="65"/>
      <c r="W68" s="66"/>
      <c r="X68" s="66"/>
      <c r="Y68" s="71"/>
    </row>
    <row r="69" spans="1:26" ht="18.75" customHeight="1" thickBot="1" x14ac:dyDescent="0.3">
      <c r="A69" s="98"/>
      <c r="B69" s="64"/>
      <c r="C69" s="64"/>
      <c r="D69" s="64"/>
      <c r="E69" s="63"/>
      <c r="F69" s="92">
        <f>SUM(F21:F68)</f>
        <v>0</v>
      </c>
      <c r="G69" s="93"/>
      <c r="H69" s="93">
        <f t="shared" ref="H69:T69" si="33">SUM(H21:H68)</f>
        <v>0</v>
      </c>
      <c r="I69" s="79">
        <f t="shared" si="33"/>
        <v>0</v>
      </c>
      <c r="J69" s="334">
        <f t="shared" si="33"/>
        <v>0</v>
      </c>
      <c r="K69" s="213">
        <f t="shared" si="33"/>
        <v>0</v>
      </c>
      <c r="L69" s="155">
        <f t="shared" si="33"/>
        <v>0</v>
      </c>
      <c r="M69" s="152">
        <f t="shared" si="33"/>
        <v>0</v>
      </c>
      <c r="N69" s="152">
        <f t="shared" si="33"/>
        <v>0</v>
      </c>
      <c r="O69" s="152">
        <f t="shared" si="33"/>
        <v>0</v>
      </c>
      <c r="P69" s="152">
        <f t="shared" si="33"/>
        <v>0</v>
      </c>
      <c r="Q69" s="153">
        <f t="shared" si="33"/>
        <v>0</v>
      </c>
      <c r="R69" s="154">
        <f t="shared" si="33"/>
        <v>0</v>
      </c>
      <c r="S69" s="155">
        <f t="shared" si="33"/>
        <v>0</v>
      </c>
      <c r="T69" s="156">
        <f t="shared" si="33"/>
        <v>0</v>
      </c>
      <c r="U69" s="63"/>
      <c r="V69" s="157">
        <f>SUM(V21:V68)</f>
        <v>0</v>
      </c>
      <c r="W69" s="152">
        <f>SUM(W21:W68)</f>
        <v>4700</v>
      </c>
      <c r="X69" s="152">
        <f>SUM(X21:X68)</f>
        <v>0</v>
      </c>
      <c r="Y69" s="156">
        <f>SUM(Y21:Y68)</f>
        <v>9400</v>
      </c>
    </row>
    <row r="70" spans="1:26" ht="21" customHeight="1" thickBot="1" x14ac:dyDescent="0.3">
      <c r="A70" s="98"/>
      <c r="B70" s="1" t="s">
        <v>21</v>
      </c>
      <c r="C70" s="854" t="s">
        <v>104</v>
      </c>
      <c r="D70" s="855"/>
      <c r="E70" s="855"/>
      <c r="F70" s="855"/>
      <c r="G70" s="855"/>
      <c r="H70" s="167"/>
      <c r="I70" s="167"/>
      <c r="J70" s="167"/>
      <c r="K70" s="158"/>
      <c r="L70" s="158"/>
      <c r="M70" s="158"/>
      <c r="N70" s="159"/>
      <c r="O70" s="1" t="s">
        <v>23</v>
      </c>
      <c r="P70" s="170" t="s">
        <v>89</v>
      </c>
      <c r="Q70" s="158"/>
      <c r="R70" s="158"/>
      <c r="S70" s="875"/>
      <c r="T70" s="875"/>
      <c r="U70" s="875"/>
      <c r="V70" s="875"/>
      <c r="W70" s="875"/>
      <c r="X70" s="875"/>
      <c r="Y70" s="876"/>
    </row>
    <row r="71" spans="1:26" ht="30.75" customHeight="1" x14ac:dyDescent="0.25">
      <c r="A71" s="98"/>
      <c r="B71" s="17" t="s">
        <v>22</v>
      </c>
      <c r="D71" s="8"/>
      <c r="E71" s="50"/>
      <c r="F71" s="8"/>
      <c r="G71" s="8"/>
      <c r="H71" s="8"/>
      <c r="I71" s="160"/>
      <c r="J71" s="160"/>
      <c r="K71" s="160"/>
      <c r="L71" s="160"/>
      <c r="M71" s="160"/>
      <c r="N71" s="147"/>
      <c r="O71" s="870" t="e" cm="1">
        <f t="array" aca="1" ref="O71" ca="1">PesosInWords2Caps(W71)</f>
        <v>#NAME?</v>
      </c>
      <c r="P71" s="871"/>
      <c r="Q71" s="871"/>
      <c r="R71" s="871"/>
      <c r="S71" s="871"/>
      <c r="T71" s="871"/>
      <c r="U71" s="871"/>
      <c r="V71" s="871"/>
      <c r="W71" s="868">
        <f>S69</f>
        <v>0</v>
      </c>
      <c r="X71" s="868"/>
      <c r="Y71" s="869"/>
    </row>
    <row r="72" spans="1:26" ht="21.75" customHeight="1" x14ac:dyDescent="0.25">
      <c r="A72" s="98"/>
      <c r="B72" s="17"/>
      <c r="C72" s="8"/>
      <c r="D72" s="8"/>
      <c r="E72" s="50"/>
      <c r="F72" s="8"/>
      <c r="G72" s="8"/>
      <c r="H72" s="8"/>
      <c r="I72" s="8"/>
      <c r="J72" s="8"/>
      <c r="K72" s="8"/>
      <c r="L72" s="8"/>
      <c r="M72" s="8"/>
      <c r="N72" s="18"/>
      <c r="O72" s="25"/>
      <c r="P72" s="8"/>
      <c r="Q72" s="8"/>
      <c r="R72" s="8"/>
      <c r="S72" s="9"/>
      <c r="T72" s="9"/>
      <c r="U72" s="6"/>
      <c r="V72" s="9"/>
      <c r="W72" s="9"/>
      <c r="X72" s="9"/>
      <c r="Y72" s="19"/>
    </row>
    <row r="73" spans="1:26" ht="21.75" customHeight="1" x14ac:dyDescent="0.25">
      <c r="A73" s="98"/>
      <c r="B73" s="17"/>
      <c r="N73" s="56"/>
      <c r="O73" s="149"/>
      <c r="P73" s="50"/>
      <c r="U73" s="6"/>
      <c r="Y73" s="19"/>
    </row>
    <row r="74" spans="1:26" ht="16.5" customHeight="1" x14ac:dyDescent="0.25">
      <c r="A74" s="98"/>
      <c r="B74" s="17"/>
      <c r="C74" s="820" t="s">
        <v>47</v>
      </c>
      <c r="D74" s="820"/>
      <c r="E74" s="325"/>
      <c r="F74" s="342">
        <f ca="1">NOW()</f>
        <v>46275.505203009256</v>
      </c>
      <c r="G74" s="164"/>
      <c r="H74" s="820" t="s">
        <v>95</v>
      </c>
      <c r="I74" s="820"/>
      <c r="J74" s="820"/>
      <c r="K74" s="820"/>
      <c r="L74" s="8"/>
      <c r="M74" s="342">
        <f ca="1">NOW()</f>
        <v>46275.505203009256</v>
      </c>
      <c r="N74" s="165"/>
      <c r="O74" s="161"/>
      <c r="P74" s="51"/>
      <c r="Q74" s="820" t="s">
        <v>97</v>
      </c>
      <c r="R74" s="820"/>
      <c r="S74" s="820"/>
      <c r="U74" s="6"/>
      <c r="V74" s="839"/>
      <c r="W74" s="839"/>
      <c r="X74" s="839"/>
      <c r="Y74" s="19"/>
    </row>
    <row r="75" spans="1:26" ht="15.75" x14ac:dyDescent="0.25">
      <c r="A75" s="98"/>
      <c r="B75" s="17"/>
      <c r="C75" s="827" t="s">
        <v>93</v>
      </c>
      <c r="D75" s="827"/>
      <c r="E75" s="6"/>
      <c r="F75" s="171" t="s">
        <v>29</v>
      </c>
      <c r="G75" s="9"/>
      <c r="H75" s="827" t="s">
        <v>94</v>
      </c>
      <c r="I75" s="827"/>
      <c r="J75" s="827"/>
      <c r="K75" s="827"/>
      <c r="L75" s="9"/>
      <c r="M75" s="171" t="s">
        <v>29</v>
      </c>
      <c r="N75" s="172"/>
      <c r="O75" s="161"/>
      <c r="P75" s="51"/>
      <c r="Q75" s="827" t="s">
        <v>96</v>
      </c>
      <c r="R75" s="827"/>
      <c r="S75" s="827"/>
      <c r="T75" s="9"/>
      <c r="U75" s="6"/>
      <c r="V75" s="840" t="s">
        <v>29</v>
      </c>
      <c r="W75" s="840"/>
      <c r="X75" s="840"/>
      <c r="Y75" s="19"/>
    </row>
    <row r="76" spans="1:26" ht="16.5" thickBot="1" x14ac:dyDescent="0.3">
      <c r="A76" s="98"/>
      <c r="B76" s="20"/>
      <c r="C76" s="21"/>
      <c r="D76" s="21"/>
      <c r="E76" s="326"/>
      <c r="F76" s="21"/>
      <c r="G76" s="21"/>
      <c r="H76" s="21"/>
      <c r="I76" s="21"/>
      <c r="J76" s="21"/>
      <c r="K76" s="29"/>
      <c r="L76" s="29"/>
      <c r="M76" s="29"/>
      <c r="N76" s="168"/>
      <c r="O76" s="162"/>
      <c r="P76" s="22"/>
      <c r="Q76" s="30"/>
      <c r="R76" s="30"/>
      <c r="S76" s="30"/>
      <c r="T76" s="10"/>
      <c r="U76" s="54"/>
      <c r="V76" s="10"/>
      <c r="W76" s="10"/>
      <c r="X76" s="10"/>
      <c r="Y76" s="23"/>
      <c r="Z76" s="842"/>
    </row>
    <row r="77" spans="1:26" ht="21" customHeight="1" thickBot="1" x14ac:dyDescent="0.3">
      <c r="A77" s="98"/>
      <c r="B77" s="1" t="s">
        <v>24</v>
      </c>
      <c r="C77" s="818" t="s">
        <v>105</v>
      </c>
      <c r="D77" s="818" t="s">
        <v>100</v>
      </c>
      <c r="E77" s="818"/>
      <c r="F77" s="818"/>
      <c r="G77" s="818"/>
      <c r="H77" s="818"/>
      <c r="I77" s="818"/>
      <c r="J77" s="818"/>
      <c r="K77" s="818"/>
      <c r="L77" s="828">
        <f>S69</f>
        <v>0</v>
      </c>
      <c r="M77" s="828"/>
      <c r="N77" s="829"/>
      <c r="O77" s="1" t="s">
        <v>25</v>
      </c>
      <c r="P77" s="835" t="s">
        <v>35</v>
      </c>
      <c r="Q77" s="835"/>
      <c r="R77" s="835"/>
      <c r="S77" s="835"/>
      <c r="T77" s="836"/>
      <c r="U77" s="1" t="s">
        <v>27</v>
      </c>
      <c r="V77" s="148"/>
      <c r="W77" s="148"/>
      <c r="X77" s="148"/>
      <c r="Y77" s="24"/>
      <c r="Z77" s="843"/>
    </row>
    <row r="78" spans="1:26" ht="30.75" customHeight="1" x14ac:dyDescent="0.25">
      <c r="A78" s="98"/>
      <c r="B78" s="17" t="s">
        <v>26</v>
      </c>
      <c r="C78" s="819"/>
      <c r="D78" s="819"/>
      <c r="E78" s="819"/>
      <c r="F78" s="819"/>
      <c r="G78" s="819"/>
      <c r="H78" s="819"/>
      <c r="I78" s="819"/>
      <c r="J78" s="819"/>
      <c r="K78" s="819"/>
      <c r="L78" s="830"/>
      <c r="M78" s="830"/>
      <c r="N78" s="831"/>
      <c r="O78" s="25"/>
      <c r="P78" s="837"/>
      <c r="Q78" s="837"/>
      <c r="R78" s="837"/>
      <c r="S78" s="837"/>
      <c r="T78" s="838"/>
      <c r="U78" s="149"/>
      <c r="V78" s="61" t="s">
        <v>90</v>
      </c>
      <c r="W78" s="820" t="str">
        <f>'GEN.AD - PAY'!$W$172</f>
        <v>01-101101-2026-01-0003</v>
      </c>
      <c r="X78" s="820"/>
      <c r="Y78" s="822"/>
      <c r="Z78" s="843"/>
    </row>
    <row r="79" spans="1:26" ht="24.95" customHeight="1" x14ac:dyDescent="0.25">
      <c r="A79" s="98"/>
      <c r="B79" s="17"/>
      <c r="C79" s="8" t="s">
        <v>28</v>
      </c>
      <c r="D79" s="8"/>
      <c r="E79" s="50"/>
      <c r="F79" s="8"/>
      <c r="G79" s="8"/>
      <c r="H79" s="8"/>
      <c r="I79" s="8"/>
      <c r="J79" s="8"/>
      <c r="K79" s="8"/>
      <c r="L79" s="8"/>
      <c r="M79" s="8"/>
      <c r="N79" s="18"/>
      <c r="O79" s="25"/>
      <c r="P79" s="8"/>
      <c r="T79" s="26"/>
      <c r="U79" s="150"/>
      <c r="V79" s="61" t="s">
        <v>91</v>
      </c>
      <c r="W79" s="918">
        <f>'GEN.AD - PAY'!$W$173</f>
        <v>46038</v>
      </c>
      <c r="X79" s="918"/>
      <c r="Y79" s="919"/>
      <c r="Z79" s="843"/>
    </row>
    <row r="80" spans="1:26" ht="24.95" customHeight="1" x14ac:dyDescent="0.25">
      <c r="A80" s="98"/>
      <c r="B80" s="17"/>
      <c r="E80" s="820" t="s">
        <v>102</v>
      </c>
      <c r="F80" s="820"/>
      <c r="G80" s="820"/>
      <c r="H80" s="820"/>
      <c r="I80" s="820"/>
      <c r="K80" s="821"/>
      <c r="L80" s="821"/>
      <c r="M80" s="8"/>
      <c r="N80" s="18"/>
      <c r="O80" s="25"/>
      <c r="P80" s="820" t="s">
        <v>99</v>
      </c>
      <c r="Q80" s="820"/>
      <c r="R80" s="820"/>
      <c r="S80" s="820"/>
      <c r="T80" s="26"/>
      <c r="U80" s="149"/>
      <c r="V80" s="61" t="s">
        <v>92</v>
      </c>
      <c r="W80" s="820" t="str">
        <f>'GEN.AD - PAY'!$W$174</f>
        <v>01-2026-01-0019</v>
      </c>
      <c r="X80" s="820"/>
      <c r="Y80" s="822"/>
      <c r="Z80" s="843"/>
    </row>
    <row r="81" spans="1:26" ht="24.95" customHeight="1" x14ac:dyDescent="0.25">
      <c r="A81" s="98"/>
      <c r="B81" s="17"/>
      <c r="E81" s="881" t="s">
        <v>101</v>
      </c>
      <c r="F81" s="881"/>
      <c r="G81" s="881"/>
      <c r="H81" s="881"/>
      <c r="I81" s="881"/>
      <c r="J81" s="9"/>
      <c r="K81" s="889" t="s">
        <v>29</v>
      </c>
      <c r="L81" s="889"/>
      <c r="M81" s="27"/>
      <c r="N81" s="165"/>
      <c r="O81" s="161"/>
      <c r="P81" s="827" t="s">
        <v>98</v>
      </c>
      <c r="Q81" s="827"/>
      <c r="R81" s="827"/>
      <c r="S81" s="827"/>
      <c r="T81" s="26"/>
      <c r="U81" s="150"/>
      <c r="V81" s="61" t="s">
        <v>91</v>
      </c>
      <c r="W81" s="918">
        <f>'GEN.AD - PAY'!$W$175</f>
        <v>46038</v>
      </c>
      <c r="X81" s="918"/>
      <c r="Y81" s="919"/>
      <c r="Z81" s="28"/>
    </row>
    <row r="82" spans="1:26" ht="16.5" thickBot="1" x14ac:dyDescent="0.3">
      <c r="A82" s="98"/>
      <c r="B82" s="20"/>
      <c r="C82" s="29"/>
      <c r="D82" s="29"/>
      <c r="E82" s="880"/>
      <c r="F82" s="880"/>
      <c r="G82" s="880"/>
      <c r="H82" s="880"/>
      <c r="I82" s="29"/>
      <c r="J82" s="29"/>
      <c r="K82" s="30"/>
      <c r="L82" s="30"/>
      <c r="M82" s="30"/>
      <c r="N82" s="168"/>
      <c r="O82" s="162"/>
      <c r="P82" s="30"/>
      <c r="Q82" s="30"/>
      <c r="R82" s="30"/>
      <c r="S82" s="30"/>
      <c r="T82" s="23"/>
      <c r="U82" s="151"/>
      <c r="V82" s="10"/>
      <c r="W82" s="10"/>
      <c r="X82" s="10"/>
      <c r="Y82" s="23"/>
    </row>
    <row r="84" spans="1:26" x14ac:dyDescent="0.25">
      <c r="C84" s="32"/>
    </row>
    <row r="85" spans="1:26" x14ac:dyDescent="0.25">
      <c r="C85" s="32"/>
    </row>
    <row r="86" spans="1:26" x14ac:dyDescent="0.25">
      <c r="C86" s="32"/>
    </row>
    <row r="87" spans="1:26" x14ac:dyDescent="0.25">
      <c r="C87" s="32"/>
    </row>
    <row r="88" spans="1:26" x14ac:dyDescent="0.25">
      <c r="C88" s="32"/>
    </row>
  </sheetData>
  <mergeCells count="68">
    <mergeCell ref="B8:Y8"/>
    <mergeCell ref="V18:V19"/>
    <mergeCell ref="W18:W19"/>
    <mergeCell ref="X2:Y2"/>
    <mergeCell ref="B3:Y3"/>
    <mergeCell ref="B4:Y4"/>
    <mergeCell ref="B5:Y5"/>
    <mergeCell ref="B6:Y6"/>
    <mergeCell ref="B9:Y9"/>
    <mergeCell ref="B10:Y10"/>
    <mergeCell ref="B11:Y11"/>
    <mergeCell ref="D12:D14"/>
    <mergeCell ref="B13:C13"/>
    <mergeCell ref="W13:Y13"/>
    <mergeCell ref="B15:Y15"/>
    <mergeCell ref="B17:B19"/>
    <mergeCell ref="S17:S19"/>
    <mergeCell ref="T17:T19"/>
    <mergeCell ref="C17:C19"/>
    <mergeCell ref="D17:D19"/>
    <mergeCell ref="E17:E19"/>
    <mergeCell ref="F17:K17"/>
    <mergeCell ref="L17:Q17"/>
    <mergeCell ref="J18:J19"/>
    <mergeCell ref="K18:K19"/>
    <mergeCell ref="R17:R19"/>
    <mergeCell ref="F18:F19"/>
    <mergeCell ref="G18:G19"/>
    <mergeCell ref="C70:G70"/>
    <mergeCell ref="O71:V71"/>
    <mergeCell ref="W71:Y71"/>
    <mergeCell ref="N18:N19"/>
    <mergeCell ref="O18:O19"/>
    <mergeCell ref="P18:P19"/>
    <mergeCell ref="Q18:Q19"/>
    <mergeCell ref="U17:U19"/>
    <mergeCell ref="V17:Y17"/>
    <mergeCell ref="S70:Y70"/>
    <mergeCell ref="X18:X19"/>
    <mergeCell ref="Y18:Y19"/>
    <mergeCell ref="L18:L19"/>
    <mergeCell ref="M18:M19"/>
    <mergeCell ref="H18:H19"/>
    <mergeCell ref="I18:I19"/>
    <mergeCell ref="C74:D74"/>
    <mergeCell ref="H74:K74"/>
    <mergeCell ref="Q74:S74"/>
    <mergeCell ref="V74:X74"/>
    <mergeCell ref="C75:D75"/>
    <mergeCell ref="H75:K75"/>
    <mergeCell ref="Q75:S75"/>
    <mergeCell ref="V75:X75"/>
    <mergeCell ref="E82:H82"/>
    <mergeCell ref="Z76:Z80"/>
    <mergeCell ref="C77:C78"/>
    <mergeCell ref="D77:K78"/>
    <mergeCell ref="L77:N78"/>
    <mergeCell ref="P77:T78"/>
    <mergeCell ref="W78:Y78"/>
    <mergeCell ref="W79:Y79"/>
    <mergeCell ref="E80:I80"/>
    <mergeCell ref="K80:L80"/>
    <mergeCell ref="P80:S80"/>
    <mergeCell ref="W80:Y80"/>
    <mergeCell ref="E81:I81"/>
    <mergeCell ref="K81:L81"/>
    <mergeCell ref="P81:S81"/>
    <mergeCell ref="W81:Y81"/>
  </mergeCells>
  <conditionalFormatting sqref="S21:T67">
    <cfRule type="cellIs" dxfId="8" priority="1" stopIfTrue="1" operator="equal">
      <formula>2500</formula>
    </cfRule>
  </conditionalFormatting>
  <printOptions horizontalCentered="1"/>
  <pageMargins left="0.39370078740157483" right="0.39370078740157483" top="0.39370078740157483" bottom="0.19685039370078741" header="0" footer="0"/>
  <pageSetup paperSize="14" scale="51" fitToHeight="0" orientation="landscape" r:id="rId1"/>
  <headerFooter alignWithMargins="0">
    <oddHeader>&amp;R
&amp;16Sheet &amp;"Times New Roman,Bold"&amp;U&amp;P&amp;"Times New Roman,Regular"&amp;U of &amp;"Times New Roman,Bold"&amp;U&amp;N&amp;"Times New Roman,Regular"&amp;U Sheet/s</oddHeader>
  </headerFooter>
  <rowBreaks count="1" manualBreakCount="1">
    <brk id="47" min="1" max="24" man="1"/>
  </row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>
    <tabColor rgb="FF002060"/>
    <pageSetUpPr fitToPage="1"/>
  </sheetPr>
  <dimension ref="A1:AG74"/>
  <sheetViews>
    <sheetView showWhiteSpace="0" topLeftCell="A16" zoomScaleNormal="100" zoomScaleSheetLayoutView="100" workbookViewId="0">
      <pane xSplit="6" ySplit="3" topLeftCell="G19" activePane="bottomRight" state="frozen"/>
      <selection activeCell="W45" sqref="W45:Y48"/>
      <selection pane="topRight" activeCell="W45" sqref="W45:Y48"/>
      <selection pane="bottomLeft" activeCell="W45" sqref="W45:Y48"/>
      <selection pane="bottomRight" activeCell="W45" sqref="W45:Y48"/>
    </sheetView>
  </sheetViews>
  <sheetFormatPr defaultRowHeight="30.75" x14ac:dyDescent="0.25"/>
  <cols>
    <col min="1" max="1" width="9.375" style="31" customWidth="1"/>
    <col min="2" max="2" width="6.75" style="4" customWidth="1"/>
    <col min="3" max="3" width="24.625" style="4" customWidth="1"/>
    <col min="4" max="4" width="12.875" style="4" customWidth="1"/>
    <col min="5" max="5" width="9.625" style="57" customWidth="1"/>
    <col min="6" max="6" width="11.875" style="4" customWidth="1"/>
    <col min="7" max="7" width="12" style="4" customWidth="1"/>
    <col min="8" max="12" width="10.625" style="4" customWidth="1"/>
    <col min="13" max="13" width="12.25" style="4" customWidth="1"/>
    <col min="14" max="17" width="10.625" style="4" customWidth="1"/>
    <col min="18" max="18" width="11.75" style="4" customWidth="1"/>
    <col min="19" max="19" width="11.25" style="4" customWidth="1"/>
    <col min="20" max="20" width="10.625" style="4" customWidth="1"/>
    <col min="21" max="21" width="10.75" style="4" customWidth="1"/>
    <col min="22" max="23" width="9.875" style="4" customWidth="1"/>
    <col min="24" max="24" width="11.125" style="4" customWidth="1"/>
    <col min="25" max="25" width="10.875" style="4" customWidth="1"/>
    <col min="26" max="26" width="12.375" style="4" customWidth="1"/>
    <col min="27" max="27" width="11.125" style="4" customWidth="1"/>
    <col min="28" max="28" width="11.25" style="4" customWidth="1"/>
    <col min="29" max="30" width="9.875" style="4" customWidth="1"/>
    <col min="31" max="31" width="11.5" style="4" customWidth="1"/>
    <col min="32" max="32" width="13.875" style="4" customWidth="1"/>
    <col min="33" max="33" width="10.375" style="4" bestFit="1" customWidth="1"/>
    <col min="34" max="16384" width="9" style="4"/>
  </cols>
  <sheetData>
    <row r="1" spans="1:33" ht="23.25" customHeight="1" x14ac:dyDescent="0.25">
      <c r="A1" s="98">
        <v>94</v>
      </c>
      <c r="F1" s="5"/>
      <c r="X1" s="5"/>
      <c r="Y1" s="5"/>
      <c r="AE1" s="5"/>
      <c r="AF1" s="3"/>
    </row>
    <row r="2" spans="1:33" ht="23.25" x14ac:dyDescent="0.25">
      <c r="A2" s="98"/>
      <c r="F2" s="5"/>
      <c r="X2" s="5"/>
      <c r="Y2" s="5"/>
      <c r="AE2" s="864" t="s">
        <v>40</v>
      </c>
      <c r="AF2" s="864"/>
    </row>
    <row r="3" spans="1:33" ht="15.75" customHeight="1" x14ac:dyDescent="0.25">
      <c r="A3" s="98"/>
      <c r="B3" s="877" t="s">
        <v>42</v>
      </c>
      <c r="C3" s="877"/>
      <c r="D3" s="877"/>
      <c r="E3" s="877"/>
      <c r="F3" s="877"/>
      <c r="G3" s="877"/>
      <c r="H3" s="877"/>
      <c r="I3" s="877"/>
      <c r="J3" s="877"/>
      <c r="K3" s="877"/>
      <c r="L3" s="877"/>
      <c r="M3" s="877"/>
      <c r="N3" s="877"/>
      <c r="O3" s="877"/>
      <c r="P3" s="877"/>
      <c r="Q3" s="877"/>
      <c r="R3" s="877"/>
      <c r="S3" s="877"/>
      <c r="T3" s="877"/>
      <c r="U3" s="877"/>
      <c r="V3" s="877"/>
      <c r="W3" s="877"/>
      <c r="X3" s="877"/>
      <c r="Y3" s="877"/>
      <c r="Z3" s="877"/>
      <c r="AA3" s="877"/>
      <c r="AB3" s="877"/>
      <c r="AC3" s="877"/>
      <c r="AD3" s="877"/>
      <c r="AE3" s="877"/>
      <c r="AF3" s="877"/>
    </row>
    <row r="4" spans="1:33" ht="15.75" customHeight="1" x14ac:dyDescent="0.25">
      <c r="A4" s="98"/>
      <c r="B4" s="878" t="s">
        <v>43</v>
      </c>
      <c r="C4" s="878"/>
      <c r="D4" s="878"/>
      <c r="E4" s="878"/>
      <c r="F4" s="878"/>
      <c r="G4" s="878"/>
      <c r="H4" s="878"/>
      <c r="I4" s="878"/>
      <c r="J4" s="878"/>
      <c r="K4" s="878"/>
      <c r="L4" s="878"/>
      <c r="M4" s="878"/>
      <c r="N4" s="878"/>
      <c r="O4" s="878"/>
      <c r="P4" s="878"/>
      <c r="Q4" s="878"/>
      <c r="R4" s="878"/>
      <c r="S4" s="878"/>
      <c r="T4" s="878"/>
      <c r="U4" s="878"/>
      <c r="V4" s="878"/>
      <c r="W4" s="878"/>
      <c r="X4" s="878"/>
      <c r="Y4" s="878"/>
      <c r="Z4" s="878"/>
      <c r="AA4" s="878"/>
      <c r="AB4" s="878"/>
      <c r="AC4" s="878"/>
      <c r="AD4" s="878"/>
      <c r="AE4" s="878"/>
      <c r="AF4" s="878"/>
    </row>
    <row r="5" spans="1:33" ht="15.75" customHeight="1" x14ac:dyDescent="0.25">
      <c r="A5" s="98"/>
      <c r="B5" s="878" t="s">
        <v>44</v>
      </c>
      <c r="C5" s="878"/>
      <c r="D5" s="878"/>
      <c r="E5" s="878"/>
      <c r="F5" s="878"/>
      <c r="G5" s="878"/>
      <c r="H5" s="878"/>
      <c r="I5" s="878"/>
      <c r="J5" s="878"/>
      <c r="K5" s="878"/>
      <c r="L5" s="878"/>
      <c r="M5" s="878"/>
      <c r="N5" s="878"/>
      <c r="O5" s="878"/>
      <c r="P5" s="878"/>
      <c r="Q5" s="878"/>
      <c r="R5" s="878"/>
      <c r="S5" s="878"/>
      <c r="T5" s="878"/>
      <c r="U5" s="878"/>
      <c r="V5" s="878"/>
      <c r="W5" s="878"/>
      <c r="X5" s="878"/>
      <c r="Y5" s="878"/>
      <c r="Z5" s="878"/>
      <c r="AA5" s="878"/>
      <c r="AB5" s="878"/>
      <c r="AC5" s="878"/>
      <c r="AD5" s="878"/>
      <c r="AE5" s="878"/>
      <c r="AF5" s="878"/>
    </row>
    <row r="6" spans="1:33" ht="15.75" customHeight="1" x14ac:dyDescent="0.25">
      <c r="A6" s="98"/>
      <c r="B6" s="877" t="s">
        <v>45</v>
      </c>
      <c r="C6" s="877"/>
      <c r="D6" s="877"/>
      <c r="E6" s="877"/>
      <c r="F6" s="877"/>
      <c r="G6" s="877"/>
      <c r="H6" s="877"/>
      <c r="I6" s="877"/>
      <c r="J6" s="877"/>
      <c r="K6" s="877"/>
      <c r="L6" s="877"/>
      <c r="M6" s="877"/>
      <c r="N6" s="877"/>
      <c r="O6" s="877"/>
      <c r="P6" s="877"/>
      <c r="Q6" s="877"/>
      <c r="R6" s="877"/>
      <c r="S6" s="877"/>
      <c r="T6" s="877"/>
      <c r="U6" s="877"/>
      <c r="V6" s="877"/>
      <c r="W6" s="877"/>
      <c r="X6" s="877"/>
      <c r="Y6" s="877"/>
      <c r="Z6" s="877"/>
      <c r="AA6" s="877"/>
      <c r="AB6" s="877"/>
      <c r="AC6" s="877"/>
      <c r="AD6" s="877"/>
      <c r="AE6" s="877"/>
      <c r="AF6" s="877"/>
    </row>
    <row r="7" spans="1:33" ht="15.75" customHeight="1" x14ac:dyDescent="0.25">
      <c r="A7" s="98"/>
      <c r="F7" s="2"/>
      <c r="X7" s="2"/>
      <c r="Y7" s="2"/>
      <c r="AE7" s="2"/>
      <c r="AF7" s="2"/>
    </row>
    <row r="8" spans="1:33" ht="22.5" x14ac:dyDescent="0.25">
      <c r="A8" s="98"/>
      <c r="B8" s="882" t="s">
        <v>64</v>
      </c>
      <c r="C8" s="882"/>
      <c r="D8" s="882"/>
      <c r="E8" s="882"/>
      <c r="F8" s="882"/>
      <c r="G8" s="882"/>
      <c r="H8" s="882"/>
      <c r="I8" s="882"/>
      <c r="J8" s="882"/>
      <c r="K8" s="882"/>
      <c r="L8" s="882"/>
      <c r="M8" s="882"/>
      <c r="N8" s="882"/>
      <c r="O8" s="882"/>
      <c r="P8" s="882"/>
      <c r="Q8" s="882"/>
      <c r="R8" s="882"/>
      <c r="S8" s="882"/>
      <c r="T8" s="882"/>
      <c r="U8" s="882"/>
      <c r="V8" s="882"/>
      <c r="W8" s="882"/>
      <c r="X8" s="882"/>
      <c r="Y8" s="882"/>
      <c r="Z8" s="882"/>
      <c r="AA8" s="882"/>
      <c r="AB8" s="882"/>
      <c r="AC8" s="882"/>
      <c r="AD8" s="882"/>
      <c r="AE8" s="882"/>
      <c r="AF8" s="882"/>
    </row>
    <row r="9" spans="1:33" ht="20.25" x14ac:dyDescent="0.25">
      <c r="A9" s="98"/>
      <c r="B9" s="867" t="str">
        <f>'CAS - PAY'!B9</f>
        <v>Regular Employees - COLLEGE OF ARTS AND SCIENCES</v>
      </c>
      <c r="C9" s="867"/>
      <c r="D9" s="867"/>
      <c r="E9" s="867"/>
      <c r="F9" s="867"/>
      <c r="G9" s="867"/>
      <c r="H9" s="867"/>
      <c r="I9" s="867"/>
      <c r="J9" s="867"/>
      <c r="K9" s="867"/>
      <c r="L9" s="867"/>
      <c r="M9" s="867"/>
      <c r="N9" s="867"/>
      <c r="O9" s="867"/>
      <c r="P9" s="867"/>
      <c r="Q9" s="867"/>
      <c r="R9" s="867"/>
      <c r="S9" s="867"/>
      <c r="T9" s="867"/>
      <c r="U9" s="867"/>
      <c r="V9" s="867"/>
      <c r="W9" s="867"/>
      <c r="X9" s="867"/>
      <c r="Y9" s="867"/>
      <c r="Z9" s="867"/>
      <c r="AA9" s="867"/>
      <c r="AB9" s="867"/>
      <c r="AC9" s="867"/>
      <c r="AD9" s="867"/>
      <c r="AE9" s="867"/>
      <c r="AF9" s="867"/>
    </row>
    <row r="10" spans="1:33" ht="20.25" x14ac:dyDescent="0.25">
      <c r="A10" s="98"/>
      <c r="B10" s="879" t="str">
        <f>'CAS - PAY'!B10</f>
        <v>For the period JANUARY 1-31, 2026</v>
      </c>
      <c r="C10" s="879"/>
      <c r="D10" s="879"/>
      <c r="E10" s="879"/>
      <c r="F10" s="879"/>
      <c r="G10" s="879"/>
      <c r="H10" s="879"/>
      <c r="I10" s="879"/>
      <c r="J10" s="879"/>
      <c r="K10" s="879"/>
      <c r="L10" s="879"/>
      <c r="M10" s="879"/>
      <c r="N10" s="879"/>
      <c r="O10" s="879"/>
      <c r="P10" s="879"/>
      <c r="Q10" s="879"/>
      <c r="R10" s="879"/>
      <c r="S10" s="879"/>
      <c r="T10" s="879"/>
      <c r="U10" s="879"/>
      <c r="V10" s="879"/>
      <c r="W10" s="879"/>
      <c r="X10" s="879"/>
      <c r="Y10" s="879"/>
      <c r="Z10" s="879"/>
      <c r="AA10" s="879"/>
      <c r="AB10" s="879"/>
      <c r="AC10" s="879"/>
      <c r="AD10" s="879"/>
      <c r="AE10" s="879"/>
      <c r="AF10" s="879"/>
    </row>
    <row r="11" spans="1:33" ht="15.75" x14ac:dyDescent="0.25">
      <c r="A11" s="98"/>
      <c r="B11" s="9"/>
      <c r="C11" s="6"/>
      <c r="D11" s="866" t="str">
        <f>+'CAS - PAY'!D12</f>
        <v>01</v>
      </c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</row>
    <row r="12" spans="1:33" s="8" customFormat="1" ht="24.95" customHeight="1" x14ac:dyDescent="0.25">
      <c r="A12" s="98"/>
      <c r="B12" s="865" t="s">
        <v>88</v>
      </c>
      <c r="C12" s="865"/>
      <c r="D12" s="867"/>
      <c r="E12" s="178"/>
      <c r="F12" s="169"/>
      <c r="G12" s="169"/>
      <c r="H12" s="169"/>
      <c r="I12" s="169"/>
      <c r="J12" s="169"/>
      <c r="K12" s="169"/>
      <c r="L12" s="169"/>
      <c r="M12" s="169"/>
      <c r="N12" s="169"/>
      <c r="O12" s="169"/>
      <c r="P12" s="169"/>
      <c r="Q12" s="169"/>
      <c r="R12" s="9"/>
      <c r="S12" s="9"/>
      <c r="T12" s="9"/>
      <c r="U12" s="9"/>
      <c r="AA12" s="7"/>
      <c r="AB12" s="169" t="s">
        <v>103</v>
      </c>
      <c r="AC12" s="169"/>
      <c r="AD12" s="832" t="str">
        <f>'CAS - PAY'!W13</f>
        <v>2026-01-019</v>
      </c>
      <c r="AE12" s="832"/>
      <c r="AF12" s="832"/>
    </row>
    <row r="13" spans="1:33" s="8" customFormat="1" ht="24.95" customHeight="1" x14ac:dyDescent="0.25">
      <c r="A13" s="98"/>
      <c r="B13" s="9"/>
      <c r="C13" s="9"/>
      <c r="D13" s="867"/>
      <c r="E13" s="6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AB13" s="169"/>
      <c r="AC13" s="169"/>
      <c r="AD13" s="9"/>
      <c r="AE13" s="9"/>
      <c r="AF13" s="9"/>
    </row>
    <row r="14" spans="1:33" s="8" customFormat="1" ht="15.75" customHeight="1" x14ac:dyDescent="0.25">
      <c r="A14" s="98"/>
      <c r="B14" s="872"/>
      <c r="C14" s="872"/>
      <c r="D14" s="872"/>
      <c r="E14" s="872"/>
      <c r="F14" s="872"/>
      <c r="G14" s="872"/>
      <c r="H14" s="872"/>
      <c r="I14" s="872"/>
      <c r="J14" s="872"/>
      <c r="K14" s="872"/>
      <c r="L14" s="872"/>
      <c r="M14" s="872"/>
      <c r="N14" s="872"/>
      <c r="O14" s="872"/>
      <c r="P14" s="872"/>
      <c r="Q14" s="872"/>
      <c r="R14" s="872"/>
      <c r="S14" s="872"/>
      <c r="T14" s="872"/>
      <c r="U14" s="872"/>
      <c r="V14" s="872"/>
      <c r="W14" s="872"/>
      <c r="X14" s="872"/>
      <c r="Y14" s="872"/>
      <c r="Z14" s="872"/>
    </row>
    <row r="15" spans="1:33" ht="9" customHeight="1" thickBot="1" x14ac:dyDescent="0.3">
      <c r="A15" s="98"/>
      <c r="B15" s="9"/>
      <c r="C15" s="10"/>
      <c r="D15" s="10"/>
      <c r="E15" s="54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9"/>
      <c r="T15" s="9"/>
      <c r="U15" s="9"/>
      <c r="V15" s="9"/>
      <c r="W15" s="9"/>
      <c r="X15" s="10"/>
      <c r="Y15" s="10"/>
      <c r="Z15" s="9"/>
      <c r="AA15" s="9"/>
      <c r="AB15" s="9"/>
      <c r="AC15" s="9"/>
      <c r="AD15" s="9"/>
      <c r="AE15" s="10"/>
      <c r="AF15" s="10"/>
    </row>
    <row r="16" spans="1:33" ht="16.5" customHeight="1" thickBot="1" x14ac:dyDescent="0.3">
      <c r="A16" s="98"/>
      <c r="B16" s="802" t="s">
        <v>6</v>
      </c>
      <c r="C16" s="777" t="s">
        <v>1</v>
      </c>
      <c r="D16" s="777" t="s">
        <v>2</v>
      </c>
      <c r="E16" s="802" t="s">
        <v>14</v>
      </c>
      <c r="F16" s="904" t="s">
        <v>54</v>
      </c>
      <c r="G16" s="841" t="s">
        <v>66</v>
      </c>
      <c r="H16" s="833"/>
      <c r="I16" s="833"/>
      <c r="J16" s="833"/>
      <c r="K16" s="833"/>
      <c r="L16" s="833"/>
      <c r="M16" s="833"/>
      <c r="N16" s="833"/>
      <c r="O16" s="833"/>
      <c r="P16" s="833"/>
      <c r="Q16" s="833"/>
      <c r="R16" s="834"/>
      <c r="S16" s="841" t="s">
        <v>63</v>
      </c>
      <c r="T16" s="833"/>
      <c r="U16" s="833"/>
      <c r="V16" s="833"/>
      <c r="W16" s="833"/>
      <c r="X16" s="834"/>
      <c r="Y16" s="904" t="s">
        <v>57</v>
      </c>
      <c r="Z16" s="841" t="s">
        <v>80</v>
      </c>
      <c r="AA16" s="833"/>
      <c r="AB16" s="833"/>
      <c r="AC16" s="833"/>
      <c r="AD16" s="833"/>
      <c r="AE16" s="834"/>
      <c r="AF16" s="802" t="s">
        <v>87</v>
      </c>
      <c r="AG16" s="11"/>
    </row>
    <row r="17" spans="1:33" ht="19.5" customHeight="1" x14ac:dyDescent="0.25">
      <c r="A17" s="98"/>
      <c r="B17" s="803"/>
      <c r="C17" s="778"/>
      <c r="D17" s="778"/>
      <c r="E17" s="803"/>
      <c r="F17" s="905"/>
      <c r="G17" s="911" t="s">
        <v>65</v>
      </c>
      <c r="H17" s="894" t="s">
        <v>110</v>
      </c>
      <c r="I17" s="887" t="s">
        <v>67</v>
      </c>
      <c r="J17" s="892" t="s">
        <v>68</v>
      </c>
      <c r="K17" s="896" t="s">
        <v>69</v>
      </c>
      <c r="L17" s="896" t="s">
        <v>70</v>
      </c>
      <c r="M17" s="896" t="s">
        <v>71</v>
      </c>
      <c r="N17" s="896" t="s">
        <v>72</v>
      </c>
      <c r="O17" s="894" t="s">
        <v>73</v>
      </c>
      <c r="P17" s="894" t="s">
        <v>111</v>
      </c>
      <c r="Q17" s="894" t="s">
        <v>78</v>
      </c>
      <c r="R17" s="909" t="s">
        <v>74</v>
      </c>
      <c r="S17" s="844" t="s">
        <v>75</v>
      </c>
      <c r="T17" s="913" t="s">
        <v>76</v>
      </c>
      <c r="U17" s="896" t="s">
        <v>71</v>
      </c>
      <c r="V17" s="896" t="s">
        <v>77</v>
      </c>
      <c r="W17" s="907" t="s">
        <v>78</v>
      </c>
      <c r="X17" s="902" t="s">
        <v>79</v>
      </c>
      <c r="Y17" s="905"/>
      <c r="Z17" s="898" t="s">
        <v>81</v>
      </c>
      <c r="AA17" s="900" t="s">
        <v>82</v>
      </c>
      <c r="AB17" s="896" t="s">
        <v>83</v>
      </c>
      <c r="AC17" s="892" t="s">
        <v>84</v>
      </c>
      <c r="AD17" s="907" t="s">
        <v>86</v>
      </c>
      <c r="AE17" s="915" t="s">
        <v>85</v>
      </c>
      <c r="AF17" s="803"/>
      <c r="AG17" s="11"/>
    </row>
    <row r="18" spans="1:33" ht="26.25" customHeight="1" thickBot="1" x14ac:dyDescent="0.3">
      <c r="A18" s="98"/>
      <c r="B18" s="803"/>
      <c r="C18" s="778"/>
      <c r="D18" s="778"/>
      <c r="E18" s="803"/>
      <c r="F18" s="906"/>
      <c r="G18" s="912"/>
      <c r="H18" s="895"/>
      <c r="I18" s="888"/>
      <c r="J18" s="893"/>
      <c r="K18" s="897"/>
      <c r="L18" s="897"/>
      <c r="M18" s="897"/>
      <c r="N18" s="897"/>
      <c r="O18" s="895"/>
      <c r="P18" s="895"/>
      <c r="Q18" s="895"/>
      <c r="R18" s="910"/>
      <c r="S18" s="845"/>
      <c r="T18" s="914"/>
      <c r="U18" s="897"/>
      <c r="V18" s="897"/>
      <c r="W18" s="908"/>
      <c r="X18" s="903"/>
      <c r="Y18" s="906"/>
      <c r="Z18" s="899"/>
      <c r="AA18" s="901"/>
      <c r="AB18" s="897"/>
      <c r="AC18" s="893"/>
      <c r="AD18" s="908"/>
      <c r="AE18" s="916"/>
      <c r="AF18" s="804"/>
      <c r="AG18" s="11"/>
    </row>
    <row r="19" spans="1:33" ht="18.75" customHeight="1" x14ac:dyDescent="0.25">
      <c r="A19" s="98"/>
      <c r="B19" s="12"/>
      <c r="C19" s="12"/>
      <c r="D19" s="12"/>
      <c r="E19" s="55"/>
      <c r="F19" s="12"/>
      <c r="G19" s="46"/>
      <c r="H19" s="173"/>
      <c r="I19" s="173"/>
      <c r="J19" s="173"/>
      <c r="K19" s="173"/>
      <c r="L19" s="173"/>
      <c r="M19" s="173"/>
      <c r="N19" s="173"/>
      <c r="O19" s="173"/>
      <c r="P19" s="173"/>
      <c r="Q19" s="173"/>
      <c r="R19" s="43"/>
      <c r="S19" s="174"/>
      <c r="T19" s="175"/>
      <c r="U19" s="173"/>
      <c r="V19" s="173"/>
      <c r="W19" s="173"/>
      <c r="X19" s="176"/>
      <c r="Y19" s="12"/>
      <c r="Z19" s="174"/>
      <c r="AA19" s="175"/>
      <c r="AB19" s="173"/>
      <c r="AC19" s="173"/>
      <c r="AD19" s="173"/>
      <c r="AE19" s="177"/>
      <c r="AF19" s="43"/>
    </row>
    <row r="20" spans="1:33" ht="18.75" customHeight="1" x14ac:dyDescent="0.25">
      <c r="A20" s="98"/>
      <c r="B20" s="33">
        <v>1</v>
      </c>
      <c r="C20" s="72">
        <f>'CAS - PAY'!C21</f>
        <v>0</v>
      </c>
      <c r="D20" s="72" t="e">
        <f>'CAS - PAY'!D21</f>
        <v>#N/A</v>
      </c>
      <c r="E20" s="306">
        <f>'CAS - PAY'!E21</f>
        <v>0</v>
      </c>
      <c r="F20" s="49">
        <f>'CAS - PAY'!L21</f>
        <v>0</v>
      </c>
      <c r="G20" s="36">
        <f>ROUND('CAS - PAY'!I21*0.09,2)</f>
        <v>0</v>
      </c>
      <c r="H20" s="88"/>
      <c r="I20" s="88"/>
      <c r="J20" s="88"/>
      <c r="K20" s="88"/>
      <c r="L20" s="88"/>
      <c r="M20" s="88"/>
      <c r="N20" s="88"/>
      <c r="O20" s="88"/>
      <c r="P20" s="88"/>
      <c r="Q20" s="88"/>
      <c r="R20" s="41">
        <f t="shared" ref="R20:R38" si="0">SUM(G20:Q20)</f>
        <v>0</v>
      </c>
      <c r="S20" s="86"/>
      <c r="T20" s="87"/>
      <c r="U20" s="88"/>
      <c r="V20" s="88"/>
      <c r="W20" s="88"/>
      <c r="X20" s="38">
        <f t="shared" ref="X20:X38" si="1">SUM(S20:W20)</f>
        <v>0</v>
      </c>
      <c r="Y20" s="49">
        <f>MIN(ROUNDDOWN('CAS - PAY'!I21*0.05/2,2),2500)</f>
        <v>0</v>
      </c>
      <c r="Z20" s="86"/>
      <c r="AA20" s="87"/>
      <c r="AB20" s="88"/>
      <c r="AC20" s="88"/>
      <c r="AD20" s="88"/>
      <c r="AE20" s="35">
        <f t="shared" ref="AE20:AE38" si="2">SUM(Z20:AD20)</f>
        <v>0</v>
      </c>
      <c r="AF20" s="62">
        <f t="shared" ref="AF20:AF38" si="3">SUM(F20,R20,X20,Y20,AE20)</f>
        <v>0</v>
      </c>
    </row>
    <row r="21" spans="1:33" ht="18.75" customHeight="1" x14ac:dyDescent="0.25">
      <c r="A21" s="98"/>
      <c r="B21" s="33">
        <f t="shared" ref="B21:B29" si="4">+B20+1</f>
        <v>2</v>
      </c>
      <c r="C21" s="72">
        <f>'CAS - PAY'!C22</f>
        <v>0</v>
      </c>
      <c r="D21" s="72" t="e">
        <f>'CAS - PAY'!D22</f>
        <v>#N/A</v>
      </c>
      <c r="E21" s="306">
        <f>'CAS - PAY'!E22</f>
        <v>0</v>
      </c>
      <c r="F21" s="49">
        <f>'CAS - PAY'!L22</f>
        <v>0</v>
      </c>
      <c r="G21" s="36">
        <f>ROUND('CAS - PAY'!I22*0.09,2)</f>
        <v>0</v>
      </c>
      <c r="H21" s="88"/>
      <c r="I21" s="88"/>
      <c r="J21" s="88"/>
      <c r="K21" s="88"/>
      <c r="L21" s="88"/>
      <c r="M21" s="88"/>
      <c r="N21" s="88"/>
      <c r="O21" s="88"/>
      <c r="P21" s="88"/>
      <c r="Q21" s="88"/>
      <c r="R21" s="41">
        <f t="shared" si="0"/>
        <v>0</v>
      </c>
      <c r="S21" s="86"/>
      <c r="T21" s="87"/>
      <c r="U21" s="88"/>
      <c r="V21" s="88"/>
      <c r="W21" s="88"/>
      <c r="X21" s="38">
        <f t="shared" si="1"/>
        <v>0</v>
      </c>
      <c r="Y21" s="49">
        <f>MIN(ROUNDDOWN('CAS - PAY'!I22*0.05/2,2),2500)</f>
        <v>0</v>
      </c>
      <c r="Z21" s="86"/>
      <c r="AA21" s="87"/>
      <c r="AB21" s="88"/>
      <c r="AC21" s="88"/>
      <c r="AD21" s="88"/>
      <c r="AE21" s="35">
        <f t="shared" si="2"/>
        <v>0</v>
      </c>
      <c r="AF21" s="62">
        <f t="shared" si="3"/>
        <v>0</v>
      </c>
    </row>
    <row r="22" spans="1:33" ht="18.75" customHeight="1" x14ac:dyDescent="0.25">
      <c r="A22" s="98"/>
      <c r="B22" s="33">
        <f t="shared" si="4"/>
        <v>3</v>
      </c>
      <c r="C22" s="72">
        <f>'CAS - PAY'!C23</f>
        <v>0</v>
      </c>
      <c r="D22" s="72" t="e">
        <f>'CAS - PAY'!D23</f>
        <v>#N/A</v>
      </c>
      <c r="E22" s="306">
        <f>'CAS - PAY'!E23</f>
        <v>0</v>
      </c>
      <c r="F22" s="49">
        <f>'CAS - PAY'!L23</f>
        <v>0</v>
      </c>
      <c r="G22" s="36">
        <f>ROUND('CAS - PAY'!I23*0.09,2)</f>
        <v>0</v>
      </c>
      <c r="H22" s="88"/>
      <c r="I22" s="88"/>
      <c r="J22" s="88"/>
      <c r="K22" s="88"/>
      <c r="L22" s="88"/>
      <c r="M22" s="88"/>
      <c r="N22" s="88"/>
      <c r="O22" s="88"/>
      <c r="P22" s="88"/>
      <c r="Q22" s="88"/>
      <c r="R22" s="41">
        <f t="shared" si="0"/>
        <v>0</v>
      </c>
      <c r="S22" s="86"/>
      <c r="T22" s="87"/>
      <c r="U22" s="88"/>
      <c r="V22" s="88"/>
      <c r="W22" s="88"/>
      <c r="X22" s="38">
        <f t="shared" si="1"/>
        <v>0</v>
      </c>
      <c r="Y22" s="49">
        <f>MIN(ROUNDDOWN('CAS - PAY'!I23*0.05/2,2),2500)</f>
        <v>0</v>
      </c>
      <c r="Z22" s="86"/>
      <c r="AA22" s="87"/>
      <c r="AB22" s="88"/>
      <c r="AC22" s="88"/>
      <c r="AD22" s="88"/>
      <c r="AE22" s="35">
        <f t="shared" si="2"/>
        <v>0</v>
      </c>
      <c r="AF22" s="62">
        <f t="shared" si="3"/>
        <v>0</v>
      </c>
    </row>
    <row r="23" spans="1:33" ht="18.75" customHeight="1" x14ac:dyDescent="0.25">
      <c r="A23" s="98"/>
      <c r="B23" s="33">
        <f t="shared" si="4"/>
        <v>4</v>
      </c>
      <c r="C23" s="72">
        <f>'CAS - PAY'!C24</f>
        <v>0</v>
      </c>
      <c r="D23" s="72" t="e">
        <f>'CAS - PAY'!D24</f>
        <v>#N/A</v>
      </c>
      <c r="E23" s="306">
        <f>'CAS - PAY'!E24</f>
        <v>0</v>
      </c>
      <c r="F23" s="49">
        <f>'CAS - PAY'!L24</f>
        <v>0</v>
      </c>
      <c r="G23" s="36">
        <f>ROUND('CAS - PAY'!I24*0.09,2)</f>
        <v>0</v>
      </c>
      <c r="H23" s="88"/>
      <c r="I23" s="88"/>
      <c r="J23" s="88"/>
      <c r="K23" s="88"/>
      <c r="L23" s="88"/>
      <c r="M23" s="88"/>
      <c r="N23" s="88"/>
      <c r="O23" s="88"/>
      <c r="P23" s="88"/>
      <c r="Q23" s="88"/>
      <c r="R23" s="41">
        <f t="shared" si="0"/>
        <v>0</v>
      </c>
      <c r="S23" s="86"/>
      <c r="T23" s="87"/>
      <c r="U23" s="88"/>
      <c r="V23" s="88"/>
      <c r="W23" s="88"/>
      <c r="X23" s="38">
        <f t="shared" si="1"/>
        <v>0</v>
      </c>
      <c r="Y23" s="49">
        <f>MIN(ROUNDDOWN('CAS - PAY'!I24*0.05/2,2),2500)</f>
        <v>0</v>
      </c>
      <c r="Z23" s="86"/>
      <c r="AA23" s="87"/>
      <c r="AB23" s="88"/>
      <c r="AC23" s="88"/>
      <c r="AD23" s="88"/>
      <c r="AE23" s="35">
        <f t="shared" si="2"/>
        <v>0</v>
      </c>
      <c r="AF23" s="62">
        <f t="shared" si="3"/>
        <v>0</v>
      </c>
      <c r="AG23" s="75"/>
    </row>
    <row r="24" spans="1:33" ht="18.75" customHeight="1" x14ac:dyDescent="0.25">
      <c r="A24" s="98"/>
      <c r="B24" s="33">
        <f t="shared" si="4"/>
        <v>5</v>
      </c>
      <c r="C24" s="72">
        <f>'CAS - PAY'!C25</f>
        <v>0</v>
      </c>
      <c r="D24" s="72" t="e">
        <f>'CAS - PAY'!D25</f>
        <v>#N/A</v>
      </c>
      <c r="E24" s="306">
        <f>'CAS - PAY'!E25</f>
        <v>0</v>
      </c>
      <c r="F24" s="49">
        <f>'CAS - PAY'!L25</f>
        <v>0</v>
      </c>
      <c r="G24" s="36">
        <f>ROUND('CAS - PAY'!I25*0.09,2)</f>
        <v>0</v>
      </c>
      <c r="H24" s="88"/>
      <c r="I24" s="88"/>
      <c r="J24" s="88"/>
      <c r="K24" s="88"/>
      <c r="L24" s="88"/>
      <c r="M24" s="88"/>
      <c r="N24" s="88"/>
      <c r="O24" s="88"/>
      <c r="P24" s="88"/>
      <c r="Q24" s="88"/>
      <c r="R24" s="41">
        <f t="shared" si="0"/>
        <v>0</v>
      </c>
      <c r="S24" s="86"/>
      <c r="T24" s="87"/>
      <c r="U24" s="88"/>
      <c r="V24" s="88"/>
      <c r="W24" s="88"/>
      <c r="X24" s="38">
        <f t="shared" si="1"/>
        <v>0</v>
      </c>
      <c r="Y24" s="49">
        <f>MIN(ROUNDDOWN('CAS - PAY'!I25*0.05/2,2),2500)</f>
        <v>0</v>
      </c>
      <c r="Z24" s="86"/>
      <c r="AA24" s="87"/>
      <c r="AB24" s="88"/>
      <c r="AC24" s="88"/>
      <c r="AD24" s="88"/>
      <c r="AE24" s="35">
        <f t="shared" si="2"/>
        <v>0</v>
      </c>
      <c r="AF24" s="62">
        <f t="shared" si="3"/>
        <v>0</v>
      </c>
    </row>
    <row r="25" spans="1:33" ht="18.75" customHeight="1" x14ac:dyDescent="0.25">
      <c r="A25" s="98"/>
      <c r="B25" s="33">
        <f t="shared" si="4"/>
        <v>6</v>
      </c>
      <c r="C25" s="72">
        <f>'CAS - PAY'!C26</f>
        <v>0</v>
      </c>
      <c r="D25" s="72" t="e">
        <f>'CAS - PAY'!D26</f>
        <v>#N/A</v>
      </c>
      <c r="E25" s="306">
        <f>'CAS - PAY'!E26</f>
        <v>0</v>
      </c>
      <c r="F25" s="49">
        <f>'CAS - PAY'!L26</f>
        <v>0</v>
      </c>
      <c r="G25" s="36">
        <f>ROUND('CAS - PAY'!I26*0.09,2)</f>
        <v>0</v>
      </c>
      <c r="H25" s="88"/>
      <c r="I25" s="88"/>
      <c r="J25" s="88"/>
      <c r="K25" s="88"/>
      <c r="L25" s="88"/>
      <c r="M25" s="88"/>
      <c r="N25" s="88"/>
      <c r="O25" s="88"/>
      <c r="P25" s="88"/>
      <c r="Q25" s="88"/>
      <c r="R25" s="41">
        <f t="shared" si="0"/>
        <v>0</v>
      </c>
      <c r="S25" s="86"/>
      <c r="T25" s="87"/>
      <c r="U25" s="88"/>
      <c r="V25" s="88"/>
      <c r="W25" s="88"/>
      <c r="X25" s="38">
        <f t="shared" si="1"/>
        <v>0</v>
      </c>
      <c r="Y25" s="49">
        <f>MIN(ROUNDDOWN('CAS - PAY'!I26*0.05/2,2),2500)</f>
        <v>0</v>
      </c>
      <c r="Z25" s="86"/>
      <c r="AA25" s="87"/>
      <c r="AB25" s="88"/>
      <c r="AC25" s="88"/>
      <c r="AD25" s="88"/>
      <c r="AE25" s="35">
        <f t="shared" si="2"/>
        <v>0</v>
      </c>
      <c r="AF25" s="62">
        <f t="shared" si="3"/>
        <v>0</v>
      </c>
    </row>
    <row r="26" spans="1:33" ht="18.75" customHeight="1" x14ac:dyDescent="0.25">
      <c r="A26" s="98"/>
      <c r="B26" s="33">
        <f t="shared" si="4"/>
        <v>7</v>
      </c>
      <c r="C26" s="72">
        <f>'CAS - PAY'!C27</f>
        <v>0</v>
      </c>
      <c r="D26" s="72" t="e">
        <f>'CAS - PAY'!D27</f>
        <v>#N/A</v>
      </c>
      <c r="E26" s="306">
        <f>'CAS - PAY'!E27</f>
        <v>0</v>
      </c>
      <c r="F26" s="49">
        <f>'CAS - PAY'!L27</f>
        <v>0</v>
      </c>
      <c r="G26" s="36">
        <f>ROUND('CAS - PAY'!I27*0.09,2)</f>
        <v>0</v>
      </c>
      <c r="H26" s="88"/>
      <c r="I26" s="88"/>
      <c r="J26" s="88"/>
      <c r="K26" s="88"/>
      <c r="L26" s="88"/>
      <c r="M26" s="88"/>
      <c r="N26" s="88"/>
      <c r="O26" s="88"/>
      <c r="P26" s="88"/>
      <c r="Q26" s="88"/>
      <c r="R26" s="41">
        <f t="shared" si="0"/>
        <v>0</v>
      </c>
      <c r="S26" s="86"/>
      <c r="T26" s="87"/>
      <c r="U26" s="88"/>
      <c r="V26" s="88"/>
      <c r="W26" s="88"/>
      <c r="X26" s="38">
        <f t="shared" si="1"/>
        <v>0</v>
      </c>
      <c r="Y26" s="49">
        <f>MIN(ROUNDDOWN('CAS - PAY'!I27*0.05/2,2),2500)</f>
        <v>0</v>
      </c>
      <c r="Z26" s="86"/>
      <c r="AA26" s="87"/>
      <c r="AB26" s="88"/>
      <c r="AC26" s="88"/>
      <c r="AD26" s="88"/>
      <c r="AE26" s="35">
        <f t="shared" si="2"/>
        <v>0</v>
      </c>
      <c r="AF26" s="62">
        <f t="shared" si="3"/>
        <v>0</v>
      </c>
    </row>
    <row r="27" spans="1:33" ht="18.75" customHeight="1" x14ac:dyDescent="0.25">
      <c r="A27" s="98"/>
      <c r="B27" s="33">
        <f t="shared" si="4"/>
        <v>8</v>
      </c>
      <c r="C27" s="72">
        <f>'CAS - PAY'!C28</f>
        <v>0</v>
      </c>
      <c r="D27" s="72" t="e">
        <f>'CAS - PAY'!D28</f>
        <v>#N/A</v>
      </c>
      <c r="E27" s="306">
        <f>'CAS - PAY'!E28</f>
        <v>0</v>
      </c>
      <c r="F27" s="49">
        <f>'CAS - PAY'!L28</f>
        <v>0</v>
      </c>
      <c r="G27" s="36">
        <f>ROUND('CAS - PAY'!I28*0.09,2)</f>
        <v>0</v>
      </c>
      <c r="H27" s="88"/>
      <c r="I27" s="88"/>
      <c r="J27" s="88"/>
      <c r="K27" s="88"/>
      <c r="L27" s="88"/>
      <c r="M27" s="88"/>
      <c r="N27" s="88"/>
      <c r="O27" s="88"/>
      <c r="P27" s="88"/>
      <c r="Q27" s="88"/>
      <c r="R27" s="41">
        <f t="shared" si="0"/>
        <v>0</v>
      </c>
      <c r="S27" s="86"/>
      <c r="T27" s="87"/>
      <c r="U27" s="88"/>
      <c r="V27" s="88"/>
      <c r="W27" s="88"/>
      <c r="X27" s="38">
        <f t="shared" si="1"/>
        <v>0</v>
      </c>
      <c r="Y27" s="49">
        <f>MIN(ROUNDDOWN('CAS - PAY'!I28*0.05/2,2),2500)</f>
        <v>0</v>
      </c>
      <c r="Z27" s="86"/>
      <c r="AA27" s="87"/>
      <c r="AB27" s="88"/>
      <c r="AC27" s="88"/>
      <c r="AD27" s="88"/>
      <c r="AE27" s="35">
        <f t="shared" si="2"/>
        <v>0</v>
      </c>
      <c r="AF27" s="62">
        <f t="shared" si="3"/>
        <v>0</v>
      </c>
    </row>
    <row r="28" spans="1:33" ht="18.75" customHeight="1" x14ac:dyDescent="0.25">
      <c r="A28" s="98"/>
      <c r="B28" s="33">
        <f t="shared" si="4"/>
        <v>9</v>
      </c>
      <c r="C28" s="72">
        <f>'CAS - PAY'!C29</f>
        <v>0</v>
      </c>
      <c r="D28" s="72" t="e">
        <f>'CAS - PAY'!D29</f>
        <v>#N/A</v>
      </c>
      <c r="E28" s="306">
        <f>'CAS - PAY'!E29</f>
        <v>0</v>
      </c>
      <c r="F28" s="49">
        <f>'CAS - PAY'!L29</f>
        <v>0</v>
      </c>
      <c r="G28" s="36">
        <f>ROUND('CAS - PAY'!I29*0.09,2)</f>
        <v>0</v>
      </c>
      <c r="H28" s="88"/>
      <c r="I28" s="88"/>
      <c r="J28" s="88"/>
      <c r="K28" s="88"/>
      <c r="L28" s="88"/>
      <c r="M28" s="88"/>
      <c r="N28" s="88"/>
      <c r="O28" s="88"/>
      <c r="P28" s="88"/>
      <c r="Q28" s="88"/>
      <c r="R28" s="41">
        <f t="shared" si="0"/>
        <v>0</v>
      </c>
      <c r="S28" s="86"/>
      <c r="T28" s="87"/>
      <c r="U28" s="88"/>
      <c r="V28" s="88"/>
      <c r="W28" s="88"/>
      <c r="X28" s="38">
        <f t="shared" si="1"/>
        <v>0</v>
      </c>
      <c r="Y28" s="49">
        <f>MIN(ROUNDDOWN('CAS - PAY'!I29*0.05/2,2),2500)</f>
        <v>0</v>
      </c>
      <c r="Z28" s="86"/>
      <c r="AA28" s="87"/>
      <c r="AB28" s="88"/>
      <c r="AC28" s="88"/>
      <c r="AD28" s="88"/>
      <c r="AE28" s="35">
        <f t="shared" si="2"/>
        <v>0</v>
      </c>
      <c r="AF28" s="62">
        <f t="shared" si="3"/>
        <v>0</v>
      </c>
    </row>
    <row r="29" spans="1:33" ht="18.75" customHeight="1" x14ac:dyDescent="0.25">
      <c r="A29" s="98"/>
      <c r="B29" s="33">
        <f t="shared" si="4"/>
        <v>10</v>
      </c>
      <c r="C29" s="72">
        <f>'CAS - PAY'!C30</f>
        <v>0</v>
      </c>
      <c r="D29" s="72" t="e">
        <f>'CAS - PAY'!D30</f>
        <v>#N/A</v>
      </c>
      <c r="E29" s="306">
        <f>'CAS - PAY'!E30</f>
        <v>0</v>
      </c>
      <c r="F29" s="49">
        <f>'CAS - PAY'!L30</f>
        <v>0</v>
      </c>
      <c r="G29" s="36">
        <f>ROUND('CAS - PAY'!I30*0.09,2)</f>
        <v>0</v>
      </c>
      <c r="H29" s="91"/>
      <c r="I29" s="91"/>
      <c r="J29" s="91"/>
      <c r="K29" s="91"/>
      <c r="L29" s="91"/>
      <c r="M29" s="91"/>
      <c r="N29" s="91"/>
      <c r="O29" s="91"/>
      <c r="P29" s="91"/>
      <c r="Q29" s="91"/>
      <c r="R29" s="41">
        <f t="shared" si="0"/>
        <v>0</v>
      </c>
      <c r="S29" s="86"/>
      <c r="T29" s="90"/>
      <c r="U29" s="91"/>
      <c r="V29" s="91"/>
      <c r="W29" s="91"/>
      <c r="X29" s="38">
        <f t="shared" si="1"/>
        <v>0</v>
      </c>
      <c r="Y29" s="49">
        <f>MIN(ROUNDDOWN('CAS - PAY'!I30*0.05/2,2),2500)</f>
        <v>0</v>
      </c>
      <c r="Z29" s="89"/>
      <c r="AA29" s="90"/>
      <c r="AB29" s="88"/>
      <c r="AC29" s="91"/>
      <c r="AD29" s="91"/>
      <c r="AE29" s="35">
        <f t="shared" si="2"/>
        <v>0</v>
      </c>
      <c r="AF29" s="62">
        <f t="shared" si="3"/>
        <v>0</v>
      </c>
    </row>
    <row r="30" spans="1:33" ht="18.75" customHeight="1" x14ac:dyDescent="0.25">
      <c r="A30" s="98"/>
      <c r="B30" s="33">
        <f t="shared" ref="B30:B49" si="5">+B29+1</f>
        <v>11</v>
      </c>
      <c r="C30" s="72">
        <f>'CAS - PAY'!C31</f>
        <v>0</v>
      </c>
      <c r="D30" s="72" t="e">
        <f>'CAS - PAY'!D31</f>
        <v>#N/A</v>
      </c>
      <c r="E30" s="306">
        <f>'CAS - PAY'!E31</f>
        <v>0</v>
      </c>
      <c r="F30" s="49">
        <f>'CAS - PAY'!L31</f>
        <v>0</v>
      </c>
      <c r="G30" s="36">
        <f>ROUND('CAS - PAY'!I31*0.09,2)</f>
        <v>0</v>
      </c>
      <c r="H30" s="91"/>
      <c r="I30" s="91"/>
      <c r="J30" s="91"/>
      <c r="K30" s="91"/>
      <c r="L30" s="91"/>
      <c r="M30" s="91"/>
      <c r="N30" s="91"/>
      <c r="O30" s="91"/>
      <c r="P30" s="91"/>
      <c r="Q30" s="91"/>
      <c r="R30" s="41">
        <f t="shared" si="0"/>
        <v>0</v>
      </c>
      <c r="S30" s="86"/>
      <c r="T30" s="90"/>
      <c r="U30" s="91"/>
      <c r="V30" s="91"/>
      <c r="W30" s="91"/>
      <c r="X30" s="38">
        <f t="shared" si="1"/>
        <v>0</v>
      </c>
      <c r="Y30" s="49">
        <f>MIN(ROUNDDOWN('CAS - PAY'!I31*0.05/2,2),2500)</f>
        <v>0</v>
      </c>
      <c r="Z30" s="89"/>
      <c r="AA30" s="90"/>
      <c r="AB30" s="88"/>
      <c r="AC30" s="91"/>
      <c r="AD30" s="91"/>
      <c r="AE30" s="35">
        <f t="shared" si="2"/>
        <v>0</v>
      </c>
      <c r="AF30" s="62">
        <f t="shared" si="3"/>
        <v>0</v>
      </c>
    </row>
    <row r="31" spans="1:33" ht="18.75" customHeight="1" x14ac:dyDescent="0.25">
      <c r="A31" s="98"/>
      <c r="B31" s="33">
        <f t="shared" si="5"/>
        <v>12</v>
      </c>
      <c r="C31" s="72">
        <f>'CAS - PAY'!C32</f>
        <v>0</v>
      </c>
      <c r="D31" s="72" t="e">
        <f>'CAS - PAY'!D32</f>
        <v>#N/A</v>
      </c>
      <c r="E31" s="306">
        <f>'CAS - PAY'!E32</f>
        <v>0</v>
      </c>
      <c r="F31" s="49">
        <f>'CAS - PAY'!L32</f>
        <v>0</v>
      </c>
      <c r="G31" s="36">
        <f>ROUND('CAS - PAY'!I32*0.09,2)</f>
        <v>0</v>
      </c>
      <c r="H31" s="91"/>
      <c r="I31" s="91"/>
      <c r="J31" s="91"/>
      <c r="K31" s="91"/>
      <c r="L31" s="91"/>
      <c r="M31" s="91"/>
      <c r="N31" s="91"/>
      <c r="O31" s="91"/>
      <c r="P31" s="91"/>
      <c r="Q31" s="91"/>
      <c r="R31" s="41">
        <f>SUM(G31:Q31)</f>
        <v>0</v>
      </c>
      <c r="S31" s="86"/>
      <c r="T31" s="90"/>
      <c r="U31" s="91"/>
      <c r="V31" s="91"/>
      <c r="W31" s="91"/>
      <c r="X31" s="38">
        <f>SUM(S31:W31)</f>
        <v>0</v>
      </c>
      <c r="Y31" s="49">
        <f>MIN(ROUNDDOWN('CAS - PAY'!I32*0.05/2,2),2500)</f>
        <v>0</v>
      </c>
      <c r="Z31" s="89"/>
      <c r="AA31" s="90"/>
      <c r="AB31" s="88"/>
      <c r="AC31" s="91"/>
      <c r="AD31" s="91"/>
      <c r="AE31" s="35">
        <f>SUM(Z31:AD31)</f>
        <v>0</v>
      </c>
      <c r="AF31" s="62">
        <f>SUM(F31,R31,X31,Y31,AE31)</f>
        <v>0</v>
      </c>
    </row>
    <row r="32" spans="1:33" ht="18.75" customHeight="1" x14ac:dyDescent="0.25">
      <c r="A32" s="98"/>
      <c r="B32" s="33">
        <f t="shared" si="5"/>
        <v>13</v>
      </c>
      <c r="C32" s="72">
        <f>'CAS - PAY'!C33</f>
        <v>0</v>
      </c>
      <c r="D32" s="72" t="e">
        <f>'CAS - PAY'!D33</f>
        <v>#N/A</v>
      </c>
      <c r="E32" s="306">
        <f>'CAS - PAY'!E33</f>
        <v>0</v>
      </c>
      <c r="F32" s="49">
        <f>'CAS - PAY'!L33</f>
        <v>0</v>
      </c>
      <c r="G32" s="36">
        <f>ROUND('CAS - PAY'!I33*0.09,2)</f>
        <v>0</v>
      </c>
      <c r="H32" s="91"/>
      <c r="I32" s="91"/>
      <c r="J32" s="91"/>
      <c r="K32" s="91"/>
      <c r="L32" s="91"/>
      <c r="M32" s="91"/>
      <c r="N32" s="91"/>
      <c r="O32" s="91"/>
      <c r="P32" s="91"/>
      <c r="Q32" s="91"/>
      <c r="R32" s="41">
        <f t="shared" si="0"/>
        <v>0</v>
      </c>
      <c r="S32" s="86"/>
      <c r="T32" s="90"/>
      <c r="U32" s="91"/>
      <c r="V32" s="91"/>
      <c r="W32" s="91"/>
      <c r="X32" s="38">
        <f t="shared" si="1"/>
        <v>0</v>
      </c>
      <c r="Y32" s="49">
        <f>MIN(ROUNDDOWN('CAS - PAY'!I33*0.05/2,2),2500)</f>
        <v>0</v>
      </c>
      <c r="Z32" s="89"/>
      <c r="AA32" s="90"/>
      <c r="AB32" s="88"/>
      <c r="AC32" s="91"/>
      <c r="AD32" s="91"/>
      <c r="AE32" s="35">
        <f t="shared" si="2"/>
        <v>0</v>
      </c>
      <c r="AF32" s="62">
        <f t="shared" si="3"/>
        <v>0</v>
      </c>
    </row>
    <row r="33" spans="1:32" ht="18.75" customHeight="1" x14ac:dyDescent="0.25">
      <c r="A33" s="98"/>
      <c r="B33" s="33">
        <f t="shared" si="5"/>
        <v>14</v>
      </c>
      <c r="C33" s="72">
        <f>'CAS - PAY'!C34</f>
        <v>0</v>
      </c>
      <c r="D33" s="72" t="e">
        <f>'CAS - PAY'!D34</f>
        <v>#N/A</v>
      </c>
      <c r="E33" s="306">
        <f>'CAS - PAY'!E34</f>
        <v>0</v>
      </c>
      <c r="F33" s="49">
        <f>'CAS - PAY'!L34</f>
        <v>0</v>
      </c>
      <c r="G33" s="36">
        <f>ROUND('CAS - PAY'!I34*0.09,2)</f>
        <v>0</v>
      </c>
      <c r="H33" s="91"/>
      <c r="I33" s="91"/>
      <c r="J33" s="91"/>
      <c r="K33" s="91"/>
      <c r="L33" s="91"/>
      <c r="M33" s="91"/>
      <c r="N33" s="91"/>
      <c r="O33" s="91"/>
      <c r="P33" s="91"/>
      <c r="Q33" s="91"/>
      <c r="R33" s="41">
        <f t="shared" si="0"/>
        <v>0</v>
      </c>
      <c r="S33" s="86"/>
      <c r="T33" s="90"/>
      <c r="U33" s="91"/>
      <c r="V33" s="91"/>
      <c r="W33" s="91"/>
      <c r="X33" s="38">
        <f t="shared" si="1"/>
        <v>0</v>
      </c>
      <c r="Y33" s="49">
        <f>MIN(ROUNDDOWN('CAS - PAY'!I34*0.05/2,2),2500)</f>
        <v>0</v>
      </c>
      <c r="Z33" s="89"/>
      <c r="AA33" s="90"/>
      <c r="AB33" s="88"/>
      <c r="AC33" s="91"/>
      <c r="AD33" s="91"/>
      <c r="AE33" s="35">
        <f t="shared" si="2"/>
        <v>0</v>
      </c>
      <c r="AF33" s="62">
        <f t="shared" si="3"/>
        <v>0</v>
      </c>
    </row>
    <row r="34" spans="1:32" ht="18.75" customHeight="1" x14ac:dyDescent="0.25">
      <c r="A34" s="98"/>
      <c r="B34" s="33">
        <f t="shared" si="5"/>
        <v>15</v>
      </c>
      <c r="C34" s="72">
        <f>'CAS - PAY'!C35</f>
        <v>0</v>
      </c>
      <c r="D34" s="72" t="e">
        <f>'CAS - PAY'!D35</f>
        <v>#N/A</v>
      </c>
      <c r="E34" s="306">
        <f>'CAS - PAY'!E35</f>
        <v>0</v>
      </c>
      <c r="F34" s="49">
        <f>'CAS - PAY'!L35</f>
        <v>0</v>
      </c>
      <c r="G34" s="36">
        <f>ROUND('CAS - PAY'!I35*0.09,2)</f>
        <v>0</v>
      </c>
      <c r="H34" s="91"/>
      <c r="I34" s="91"/>
      <c r="J34" s="91"/>
      <c r="K34" s="91"/>
      <c r="L34" s="91"/>
      <c r="M34" s="91"/>
      <c r="N34" s="91"/>
      <c r="O34" s="91"/>
      <c r="P34" s="91"/>
      <c r="Q34" s="91"/>
      <c r="R34" s="41">
        <f t="shared" si="0"/>
        <v>0</v>
      </c>
      <c r="S34" s="86"/>
      <c r="T34" s="90"/>
      <c r="U34" s="91"/>
      <c r="V34" s="91"/>
      <c r="W34" s="91"/>
      <c r="X34" s="38">
        <f t="shared" si="1"/>
        <v>0</v>
      </c>
      <c r="Y34" s="49">
        <f>MIN(ROUNDDOWN('CAS - PAY'!I35*0.05/2,2),2500)</f>
        <v>0</v>
      </c>
      <c r="Z34" s="89"/>
      <c r="AA34" s="90"/>
      <c r="AB34" s="88"/>
      <c r="AC34" s="91"/>
      <c r="AD34" s="91"/>
      <c r="AE34" s="35">
        <f t="shared" si="2"/>
        <v>0</v>
      </c>
      <c r="AF34" s="62">
        <f t="shared" si="3"/>
        <v>0</v>
      </c>
    </row>
    <row r="35" spans="1:32" ht="18.75" customHeight="1" x14ac:dyDescent="0.25">
      <c r="A35" s="98"/>
      <c r="B35" s="33">
        <f t="shared" si="5"/>
        <v>16</v>
      </c>
      <c r="C35" s="72">
        <f>'CAS - PAY'!C36</f>
        <v>0</v>
      </c>
      <c r="D35" s="72" t="e">
        <f>'CAS - PAY'!D36</f>
        <v>#N/A</v>
      </c>
      <c r="E35" s="306">
        <f>'CAS - PAY'!E36</f>
        <v>0</v>
      </c>
      <c r="F35" s="49">
        <f>'CAS - PAY'!L36</f>
        <v>0</v>
      </c>
      <c r="G35" s="36">
        <f>ROUND('CAS - PAY'!I36*0.09,2)</f>
        <v>0</v>
      </c>
      <c r="H35" s="91"/>
      <c r="I35" s="91"/>
      <c r="J35" s="91"/>
      <c r="K35" s="91"/>
      <c r="L35" s="91"/>
      <c r="M35" s="91"/>
      <c r="N35" s="91"/>
      <c r="O35" s="91"/>
      <c r="P35" s="91"/>
      <c r="Q35" s="91"/>
      <c r="R35" s="41">
        <f t="shared" si="0"/>
        <v>0</v>
      </c>
      <c r="S35" s="86"/>
      <c r="T35" s="90"/>
      <c r="U35" s="91"/>
      <c r="V35" s="91"/>
      <c r="W35" s="91"/>
      <c r="X35" s="38">
        <f t="shared" si="1"/>
        <v>0</v>
      </c>
      <c r="Y35" s="49">
        <f>MIN(ROUNDDOWN('CAS - PAY'!I36*0.05/2,2),2500)</f>
        <v>0</v>
      </c>
      <c r="Z35" s="89"/>
      <c r="AA35" s="90"/>
      <c r="AB35" s="88"/>
      <c r="AC35" s="91"/>
      <c r="AD35" s="91"/>
      <c r="AE35" s="35">
        <f t="shared" si="2"/>
        <v>0</v>
      </c>
      <c r="AF35" s="62">
        <f t="shared" si="3"/>
        <v>0</v>
      </c>
    </row>
    <row r="36" spans="1:32" ht="18.75" customHeight="1" x14ac:dyDescent="0.25">
      <c r="A36" s="98"/>
      <c r="B36" s="33">
        <f t="shared" si="5"/>
        <v>17</v>
      </c>
      <c r="C36" s="72">
        <f>'CAS - PAY'!C37</f>
        <v>0</v>
      </c>
      <c r="D36" s="72" t="e">
        <f>'CAS - PAY'!D37</f>
        <v>#N/A</v>
      </c>
      <c r="E36" s="306">
        <f>'CAS - PAY'!E37</f>
        <v>0</v>
      </c>
      <c r="F36" s="49">
        <f>'CAS - PAY'!L37</f>
        <v>0</v>
      </c>
      <c r="G36" s="36">
        <f>ROUND('CAS - PAY'!I37*0.09,2)</f>
        <v>0</v>
      </c>
      <c r="H36" s="91"/>
      <c r="I36" s="91"/>
      <c r="J36" s="91"/>
      <c r="K36" s="91"/>
      <c r="L36" s="91"/>
      <c r="M36" s="91"/>
      <c r="N36" s="91"/>
      <c r="O36" s="91"/>
      <c r="P36" s="91"/>
      <c r="Q36" s="91"/>
      <c r="R36" s="41">
        <f t="shared" si="0"/>
        <v>0</v>
      </c>
      <c r="S36" s="86"/>
      <c r="T36" s="90"/>
      <c r="U36" s="91"/>
      <c r="V36" s="91"/>
      <c r="W36" s="91"/>
      <c r="X36" s="38">
        <f t="shared" si="1"/>
        <v>0</v>
      </c>
      <c r="Y36" s="49">
        <f>MIN(ROUNDDOWN('CAS - PAY'!I37*0.05/2,2),2500)</f>
        <v>0</v>
      </c>
      <c r="Z36" s="89"/>
      <c r="AA36" s="90"/>
      <c r="AB36" s="88"/>
      <c r="AC36" s="91"/>
      <c r="AD36" s="91"/>
      <c r="AE36" s="35">
        <f t="shared" si="2"/>
        <v>0</v>
      </c>
      <c r="AF36" s="62">
        <f t="shared" si="3"/>
        <v>0</v>
      </c>
    </row>
    <row r="37" spans="1:32" ht="18.75" customHeight="1" x14ac:dyDescent="0.25">
      <c r="A37" s="98"/>
      <c r="B37" s="33">
        <f t="shared" si="5"/>
        <v>18</v>
      </c>
      <c r="C37" s="72">
        <f>'CAS - PAY'!C38</f>
        <v>0</v>
      </c>
      <c r="D37" s="72" t="e">
        <f>'CAS - PAY'!D38</f>
        <v>#N/A</v>
      </c>
      <c r="E37" s="306">
        <f>'CAS - PAY'!E38</f>
        <v>0</v>
      </c>
      <c r="F37" s="49">
        <f>'CAS - PAY'!L38</f>
        <v>0</v>
      </c>
      <c r="G37" s="36">
        <f>ROUND('CAS - PAY'!I38*0.09,2)</f>
        <v>0</v>
      </c>
      <c r="H37" s="91"/>
      <c r="I37" s="91"/>
      <c r="J37" s="91"/>
      <c r="K37" s="91"/>
      <c r="L37" s="91"/>
      <c r="M37" s="91"/>
      <c r="N37" s="91"/>
      <c r="O37" s="91"/>
      <c r="P37" s="91"/>
      <c r="Q37" s="91"/>
      <c r="R37" s="41">
        <f t="shared" si="0"/>
        <v>0</v>
      </c>
      <c r="S37" s="86"/>
      <c r="T37" s="90"/>
      <c r="U37" s="91"/>
      <c r="V37" s="91"/>
      <c r="W37" s="91"/>
      <c r="X37" s="38">
        <f t="shared" si="1"/>
        <v>0</v>
      </c>
      <c r="Y37" s="49">
        <f>MIN(ROUNDDOWN('CAS - PAY'!I38*0.05/2,2),2500)</f>
        <v>0</v>
      </c>
      <c r="Z37" s="89"/>
      <c r="AA37" s="90"/>
      <c r="AB37" s="88"/>
      <c r="AC37" s="91"/>
      <c r="AD37" s="91"/>
      <c r="AE37" s="35">
        <f t="shared" si="2"/>
        <v>0</v>
      </c>
      <c r="AF37" s="62">
        <f t="shared" si="3"/>
        <v>0</v>
      </c>
    </row>
    <row r="38" spans="1:32" ht="18.75" customHeight="1" x14ac:dyDescent="0.25">
      <c r="A38" s="98"/>
      <c r="B38" s="33">
        <f t="shared" si="5"/>
        <v>19</v>
      </c>
      <c r="C38" s="72">
        <f>'CAS - PAY'!C39</f>
        <v>0</v>
      </c>
      <c r="D38" s="72" t="e">
        <f>'CAS - PAY'!D39</f>
        <v>#N/A</v>
      </c>
      <c r="E38" s="306">
        <f>'CAS - PAY'!E39</f>
        <v>0</v>
      </c>
      <c r="F38" s="49">
        <f>'CAS - PAY'!L39</f>
        <v>0</v>
      </c>
      <c r="G38" s="36">
        <f>ROUND('CAS - PAY'!I39*0.09,2)</f>
        <v>0</v>
      </c>
      <c r="H38" s="88"/>
      <c r="I38" s="88"/>
      <c r="J38" s="88"/>
      <c r="K38" s="88"/>
      <c r="L38" s="88"/>
      <c r="M38" s="88"/>
      <c r="N38" s="88"/>
      <c r="O38" s="88"/>
      <c r="P38" s="88"/>
      <c r="Q38" s="88"/>
      <c r="R38" s="41">
        <f t="shared" si="0"/>
        <v>0</v>
      </c>
      <c r="S38" s="86"/>
      <c r="T38" s="87"/>
      <c r="U38" s="88"/>
      <c r="V38" s="88"/>
      <c r="W38" s="88"/>
      <c r="X38" s="38">
        <f t="shared" si="1"/>
        <v>0</v>
      </c>
      <c r="Y38" s="49">
        <f>MIN(ROUNDDOWN('CAS - PAY'!I39*0.05/2,2),2500)</f>
        <v>0</v>
      </c>
      <c r="Z38" s="86"/>
      <c r="AA38" s="87"/>
      <c r="AB38" s="88"/>
      <c r="AC38" s="88"/>
      <c r="AD38" s="88"/>
      <c r="AE38" s="35">
        <f t="shared" si="2"/>
        <v>0</v>
      </c>
      <c r="AF38" s="62">
        <f t="shared" si="3"/>
        <v>0</v>
      </c>
    </row>
    <row r="39" spans="1:32" ht="18.75" customHeight="1" x14ac:dyDescent="0.25">
      <c r="A39" s="98"/>
      <c r="B39" s="33">
        <f t="shared" si="5"/>
        <v>20</v>
      </c>
      <c r="C39" s="72">
        <f>'CAS - PAY'!C40</f>
        <v>0</v>
      </c>
      <c r="D39" s="72" t="e">
        <f>'CAS - PAY'!D40</f>
        <v>#N/A</v>
      </c>
      <c r="E39" s="306">
        <f>'CAS - PAY'!E40</f>
        <v>0</v>
      </c>
      <c r="F39" s="49">
        <f>'CAS - PAY'!L40</f>
        <v>0</v>
      </c>
      <c r="G39" s="36">
        <f>ROUND('CAS - PAY'!I40*0.09,2)</f>
        <v>0</v>
      </c>
      <c r="H39" s="91"/>
      <c r="I39" s="91"/>
      <c r="J39" s="91"/>
      <c r="K39" s="91"/>
      <c r="L39" s="91"/>
      <c r="M39" s="91"/>
      <c r="N39" s="91"/>
      <c r="O39" s="91"/>
      <c r="P39" s="91"/>
      <c r="Q39" s="91"/>
      <c r="R39" s="41">
        <f>SUM(G39:Q39)</f>
        <v>0</v>
      </c>
      <c r="S39" s="86"/>
      <c r="T39" s="90"/>
      <c r="U39" s="91"/>
      <c r="V39" s="91"/>
      <c r="W39" s="91"/>
      <c r="X39" s="38">
        <f>SUM(S39:W39)</f>
        <v>0</v>
      </c>
      <c r="Y39" s="49">
        <f>MIN(ROUNDDOWN('CAS - PAY'!I40*0.05/2,2),2500)</f>
        <v>0</v>
      </c>
      <c r="Z39" s="89"/>
      <c r="AA39" s="90"/>
      <c r="AB39" s="88"/>
      <c r="AC39" s="91"/>
      <c r="AD39" s="91"/>
      <c r="AE39" s="35">
        <f>SUM(Z39:AD39)</f>
        <v>0</v>
      </c>
      <c r="AF39" s="62">
        <f>SUM(F39,R39,X39,Y39,AE39)</f>
        <v>0</v>
      </c>
    </row>
    <row r="40" spans="1:32" ht="18.75" customHeight="1" x14ac:dyDescent="0.25">
      <c r="A40" s="98"/>
      <c r="B40" s="33">
        <f t="shared" si="5"/>
        <v>21</v>
      </c>
      <c r="C40" s="72">
        <f>'CAS - PAY'!C41</f>
        <v>0</v>
      </c>
      <c r="D40" s="72" t="e">
        <f>'CAS - PAY'!D41</f>
        <v>#N/A</v>
      </c>
      <c r="E40" s="306">
        <f>'CAS - PAY'!E41</f>
        <v>0</v>
      </c>
      <c r="F40" s="49">
        <f>'CAS - PAY'!L41</f>
        <v>0</v>
      </c>
      <c r="G40" s="36">
        <f>ROUND('CAS - PAY'!I41*0.09,2)</f>
        <v>0</v>
      </c>
      <c r="H40" s="88"/>
      <c r="I40" s="88"/>
      <c r="J40" s="88"/>
      <c r="K40" s="88"/>
      <c r="L40" s="88"/>
      <c r="M40" s="88"/>
      <c r="N40" s="88"/>
      <c r="O40" s="88"/>
      <c r="P40" s="88"/>
      <c r="Q40" s="88"/>
      <c r="R40" s="41">
        <f>SUM(G40:Q40)</f>
        <v>0</v>
      </c>
      <c r="S40" s="86"/>
      <c r="T40" s="87"/>
      <c r="U40" s="88"/>
      <c r="V40" s="88"/>
      <c r="W40" s="88"/>
      <c r="X40" s="38">
        <f>SUM(S40:W40)</f>
        <v>0</v>
      </c>
      <c r="Y40" s="49">
        <f>MIN(ROUNDDOWN('CAS - PAY'!I41*0.05/2,2),2500)</f>
        <v>0</v>
      </c>
      <c r="Z40" s="86"/>
      <c r="AA40" s="87"/>
      <c r="AB40" s="88"/>
      <c r="AC40" s="88"/>
      <c r="AD40" s="88"/>
      <c r="AE40" s="35">
        <f>SUM(Z40:AD40)</f>
        <v>0</v>
      </c>
      <c r="AF40" s="62">
        <f>SUM(F40,R40,X40,Y40,AE40)</f>
        <v>0</v>
      </c>
    </row>
    <row r="41" spans="1:32" ht="18.75" customHeight="1" x14ac:dyDescent="0.25">
      <c r="A41" s="98"/>
      <c r="B41" s="33">
        <f t="shared" si="5"/>
        <v>22</v>
      </c>
      <c r="C41" s="72">
        <f>'CAS - PAY'!C42</f>
        <v>0</v>
      </c>
      <c r="D41" s="72" t="e">
        <f>'CAS - PAY'!D42</f>
        <v>#N/A</v>
      </c>
      <c r="E41" s="306">
        <f>'CAS - PAY'!E42</f>
        <v>0</v>
      </c>
      <c r="F41" s="49">
        <f>'CAS - PAY'!L42</f>
        <v>0</v>
      </c>
      <c r="G41" s="36">
        <f>ROUND('CAS - PAY'!I42*0.09,2)</f>
        <v>0</v>
      </c>
      <c r="H41" s="91"/>
      <c r="I41" s="91"/>
      <c r="J41" s="91"/>
      <c r="K41" s="91"/>
      <c r="L41" s="91"/>
      <c r="M41" s="91"/>
      <c r="N41" s="91"/>
      <c r="O41" s="91"/>
      <c r="P41" s="91"/>
      <c r="Q41" s="91"/>
      <c r="R41" s="41">
        <f>SUM(G41:Q41)</f>
        <v>0</v>
      </c>
      <c r="S41" s="86"/>
      <c r="T41" s="90"/>
      <c r="U41" s="91"/>
      <c r="V41" s="91"/>
      <c r="W41" s="91"/>
      <c r="X41" s="38">
        <f>SUM(S41:W41)</f>
        <v>0</v>
      </c>
      <c r="Y41" s="49">
        <f>MIN(ROUNDDOWN('CAS - PAY'!I42*0.05/2,2),2500)</f>
        <v>0</v>
      </c>
      <c r="Z41" s="89"/>
      <c r="AA41" s="90"/>
      <c r="AB41" s="88"/>
      <c r="AC41" s="91"/>
      <c r="AD41" s="91"/>
      <c r="AE41" s="35">
        <f>SUM(Z41:AD41)</f>
        <v>0</v>
      </c>
      <c r="AF41" s="62">
        <f>SUM(F41,R41,X41,Y41,AE41)</f>
        <v>0</v>
      </c>
    </row>
    <row r="42" spans="1:32" ht="18.75" customHeight="1" x14ac:dyDescent="0.25">
      <c r="A42" s="98"/>
      <c r="B42" s="33">
        <f t="shared" si="5"/>
        <v>23</v>
      </c>
      <c r="C42" s="72">
        <f>'CAS - PAY'!C43</f>
        <v>0</v>
      </c>
      <c r="D42" s="72" t="e">
        <f>'CAS - PAY'!D43</f>
        <v>#N/A</v>
      </c>
      <c r="E42" s="306">
        <f>'CAS - PAY'!E43</f>
        <v>0</v>
      </c>
      <c r="F42" s="49">
        <f>'CAS - PAY'!L43</f>
        <v>0</v>
      </c>
      <c r="G42" s="36">
        <f>ROUND('CAS - PAY'!I43*0.09,2)</f>
        <v>0</v>
      </c>
      <c r="H42" s="91"/>
      <c r="I42" s="91"/>
      <c r="J42" s="91"/>
      <c r="K42" s="91"/>
      <c r="L42" s="91"/>
      <c r="M42" s="91"/>
      <c r="N42" s="91"/>
      <c r="O42" s="91"/>
      <c r="P42" s="91"/>
      <c r="Q42" s="91"/>
      <c r="R42" s="41">
        <f t="shared" ref="R42:R66" si="6">SUM(G42:Q42)</f>
        <v>0</v>
      </c>
      <c r="S42" s="86"/>
      <c r="T42" s="90"/>
      <c r="U42" s="91"/>
      <c r="V42" s="91"/>
      <c r="W42" s="91"/>
      <c r="X42" s="38">
        <f t="shared" ref="X42:X66" si="7">SUM(S42:W42)</f>
        <v>0</v>
      </c>
      <c r="Y42" s="49">
        <f>MIN(ROUNDDOWN('CAS - PAY'!I43*0.05/2,2),2500)</f>
        <v>0</v>
      </c>
      <c r="Z42" s="89"/>
      <c r="AA42" s="90"/>
      <c r="AB42" s="88"/>
      <c r="AC42" s="91"/>
      <c r="AD42" s="91"/>
      <c r="AE42" s="35">
        <f t="shared" ref="AE42:AE66" si="8">SUM(Z42:AD42)</f>
        <v>0</v>
      </c>
      <c r="AF42" s="62">
        <f t="shared" ref="AF42:AF66" si="9">SUM(F42,R42,X42,Y42,AE42)</f>
        <v>0</v>
      </c>
    </row>
    <row r="43" spans="1:32" ht="18.75" customHeight="1" x14ac:dyDescent="0.25">
      <c r="A43" s="98"/>
      <c r="B43" s="33">
        <f t="shared" si="5"/>
        <v>24</v>
      </c>
      <c r="C43" s="72">
        <f>'CAS - PAY'!C44</f>
        <v>0</v>
      </c>
      <c r="D43" s="72" t="e">
        <f>'CAS - PAY'!D44</f>
        <v>#N/A</v>
      </c>
      <c r="E43" s="306">
        <f>'CAS - PAY'!E44</f>
        <v>0</v>
      </c>
      <c r="F43" s="49">
        <f>'CAS - PAY'!L44</f>
        <v>0</v>
      </c>
      <c r="G43" s="36">
        <f>ROUND('CAS - PAY'!I44*0.09,2)</f>
        <v>0</v>
      </c>
      <c r="H43" s="91"/>
      <c r="I43" s="91"/>
      <c r="J43" s="91"/>
      <c r="K43" s="91"/>
      <c r="L43" s="91"/>
      <c r="M43" s="91"/>
      <c r="N43" s="91"/>
      <c r="O43" s="91"/>
      <c r="P43" s="91"/>
      <c r="Q43" s="91"/>
      <c r="R43" s="41">
        <f t="shared" si="6"/>
        <v>0</v>
      </c>
      <c r="S43" s="86"/>
      <c r="T43" s="90"/>
      <c r="U43" s="91"/>
      <c r="V43" s="91"/>
      <c r="W43" s="91"/>
      <c r="X43" s="38">
        <f t="shared" si="7"/>
        <v>0</v>
      </c>
      <c r="Y43" s="49">
        <f>MIN(ROUNDDOWN('CAS - PAY'!I44*0.05/2,2),2500)</f>
        <v>0</v>
      </c>
      <c r="Z43" s="89"/>
      <c r="AA43" s="90"/>
      <c r="AB43" s="88"/>
      <c r="AC43" s="91"/>
      <c r="AD43" s="91"/>
      <c r="AE43" s="35">
        <f t="shared" si="8"/>
        <v>0</v>
      </c>
      <c r="AF43" s="62">
        <f t="shared" si="9"/>
        <v>0</v>
      </c>
    </row>
    <row r="44" spans="1:32" ht="18.75" customHeight="1" x14ac:dyDescent="0.25">
      <c r="A44" s="98"/>
      <c r="B44" s="33">
        <f t="shared" si="5"/>
        <v>25</v>
      </c>
      <c r="C44" s="72">
        <f>'CAS - PAY'!C45</f>
        <v>0</v>
      </c>
      <c r="D44" s="72" t="e">
        <f>'CAS - PAY'!D45</f>
        <v>#N/A</v>
      </c>
      <c r="E44" s="306">
        <f>'CAS - PAY'!E45</f>
        <v>0</v>
      </c>
      <c r="F44" s="49">
        <f>'CAS - PAY'!L45</f>
        <v>0</v>
      </c>
      <c r="G44" s="36">
        <f>ROUND('CAS - PAY'!I45*0.09,2)</f>
        <v>0</v>
      </c>
      <c r="H44" s="91"/>
      <c r="I44" s="91"/>
      <c r="J44" s="91"/>
      <c r="K44" s="91"/>
      <c r="L44" s="91"/>
      <c r="M44" s="91"/>
      <c r="N44" s="91"/>
      <c r="O44" s="91"/>
      <c r="P44" s="91"/>
      <c r="Q44" s="91"/>
      <c r="R44" s="41">
        <f t="shared" si="6"/>
        <v>0</v>
      </c>
      <c r="S44" s="86"/>
      <c r="T44" s="90"/>
      <c r="U44" s="91"/>
      <c r="V44" s="91"/>
      <c r="W44" s="91"/>
      <c r="X44" s="38">
        <f t="shared" si="7"/>
        <v>0</v>
      </c>
      <c r="Y44" s="49">
        <f>MIN(ROUNDDOWN('CAS - PAY'!I45*0.05/2,2),2500)</f>
        <v>0</v>
      </c>
      <c r="Z44" s="89"/>
      <c r="AA44" s="90"/>
      <c r="AB44" s="88"/>
      <c r="AC44" s="91"/>
      <c r="AD44" s="91"/>
      <c r="AE44" s="35">
        <f t="shared" si="8"/>
        <v>0</v>
      </c>
      <c r="AF44" s="62">
        <f t="shared" si="9"/>
        <v>0</v>
      </c>
    </row>
    <row r="45" spans="1:32" ht="18.75" customHeight="1" x14ac:dyDescent="0.25">
      <c r="A45" s="98"/>
      <c r="B45" s="33">
        <f t="shared" si="5"/>
        <v>26</v>
      </c>
      <c r="C45" s="72">
        <f>'CAS - PAY'!C46</f>
        <v>0</v>
      </c>
      <c r="D45" s="72" t="e">
        <f>'CAS - PAY'!D46</f>
        <v>#N/A</v>
      </c>
      <c r="E45" s="306">
        <f>'CAS - PAY'!E46</f>
        <v>0</v>
      </c>
      <c r="F45" s="49">
        <f>'CAS - PAY'!L46</f>
        <v>0</v>
      </c>
      <c r="G45" s="36">
        <f>ROUND('CAS - PAY'!I46*0.09,2)</f>
        <v>0</v>
      </c>
      <c r="H45" s="91"/>
      <c r="I45" s="91"/>
      <c r="J45" s="91"/>
      <c r="K45" s="91"/>
      <c r="L45" s="91"/>
      <c r="M45" s="91"/>
      <c r="N45" s="91"/>
      <c r="O45" s="91"/>
      <c r="P45" s="91"/>
      <c r="Q45" s="91"/>
      <c r="R45" s="41">
        <f t="shared" si="6"/>
        <v>0</v>
      </c>
      <c r="S45" s="86"/>
      <c r="T45" s="90"/>
      <c r="U45" s="91"/>
      <c r="V45" s="91"/>
      <c r="W45" s="91"/>
      <c r="X45" s="38">
        <f t="shared" si="7"/>
        <v>0</v>
      </c>
      <c r="Y45" s="49">
        <f>MIN(ROUNDDOWN('CAS - PAY'!I46*0.05/2,2),2500)</f>
        <v>0</v>
      </c>
      <c r="Z45" s="89"/>
      <c r="AA45" s="90"/>
      <c r="AB45" s="88"/>
      <c r="AC45" s="91"/>
      <c r="AD45" s="91"/>
      <c r="AE45" s="35">
        <f t="shared" si="8"/>
        <v>0</v>
      </c>
      <c r="AF45" s="62">
        <f t="shared" si="9"/>
        <v>0</v>
      </c>
    </row>
    <row r="46" spans="1:32" ht="18.75" customHeight="1" x14ac:dyDescent="0.25">
      <c r="A46" s="98"/>
      <c r="B46" s="33">
        <f t="shared" si="5"/>
        <v>27</v>
      </c>
      <c r="C46" s="72">
        <f>'CAS - PAY'!C47</f>
        <v>0</v>
      </c>
      <c r="D46" s="72" t="e">
        <f>'CAS - PAY'!D47</f>
        <v>#N/A</v>
      </c>
      <c r="E46" s="306">
        <f>'CAS - PAY'!E47</f>
        <v>0</v>
      </c>
      <c r="F46" s="49">
        <f>'CAS - PAY'!L47</f>
        <v>0</v>
      </c>
      <c r="G46" s="36">
        <f>ROUND('CAS - PAY'!I47*0.09,2)</f>
        <v>0</v>
      </c>
      <c r="H46" s="91"/>
      <c r="I46" s="91"/>
      <c r="J46" s="91"/>
      <c r="K46" s="91"/>
      <c r="L46" s="91"/>
      <c r="M46" s="91"/>
      <c r="N46" s="91"/>
      <c r="O46" s="91"/>
      <c r="P46" s="91"/>
      <c r="Q46" s="91"/>
      <c r="R46" s="41">
        <f t="shared" si="6"/>
        <v>0</v>
      </c>
      <c r="S46" s="86"/>
      <c r="T46" s="90"/>
      <c r="U46" s="91"/>
      <c r="V46" s="91"/>
      <c r="W46" s="91"/>
      <c r="X46" s="38">
        <f t="shared" si="7"/>
        <v>0</v>
      </c>
      <c r="Y46" s="49">
        <f>MIN(ROUNDDOWN('CAS - PAY'!I47*0.05/2,2),2500)</f>
        <v>0</v>
      </c>
      <c r="Z46" s="89"/>
      <c r="AA46" s="90"/>
      <c r="AB46" s="88"/>
      <c r="AC46" s="91"/>
      <c r="AD46" s="91"/>
      <c r="AE46" s="35">
        <f t="shared" si="8"/>
        <v>0</v>
      </c>
      <c r="AF46" s="62">
        <f t="shared" si="9"/>
        <v>0</v>
      </c>
    </row>
    <row r="47" spans="1:32" ht="18.75" customHeight="1" x14ac:dyDescent="0.25">
      <c r="A47" s="98"/>
      <c r="B47" s="33">
        <f t="shared" si="5"/>
        <v>28</v>
      </c>
      <c r="C47" s="72">
        <f>'CAS - PAY'!C48</f>
        <v>0</v>
      </c>
      <c r="D47" s="72" t="e">
        <f>'CAS - PAY'!D48</f>
        <v>#N/A</v>
      </c>
      <c r="E47" s="306">
        <f>'CAS - PAY'!E48</f>
        <v>0</v>
      </c>
      <c r="F47" s="49">
        <f>'CAS - PAY'!L48</f>
        <v>0</v>
      </c>
      <c r="G47" s="36">
        <f>ROUND('CAS - PAY'!I48*0.09,2)</f>
        <v>0</v>
      </c>
      <c r="H47" s="91"/>
      <c r="I47" s="91"/>
      <c r="J47" s="91"/>
      <c r="K47" s="91"/>
      <c r="L47" s="91"/>
      <c r="M47" s="91"/>
      <c r="N47" s="91"/>
      <c r="O47" s="91"/>
      <c r="P47" s="91"/>
      <c r="Q47" s="91"/>
      <c r="R47" s="41">
        <f t="shared" si="6"/>
        <v>0</v>
      </c>
      <c r="S47" s="86"/>
      <c r="T47" s="90"/>
      <c r="U47" s="91"/>
      <c r="V47" s="91"/>
      <c r="W47" s="91"/>
      <c r="X47" s="38">
        <f t="shared" si="7"/>
        <v>0</v>
      </c>
      <c r="Y47" s="49">
        <f>MIN(ROUNDDOWN('CAS - PAY'!I48*0.05/2,2),2500)</f>
        <v>0</v>
      </c>
      <c r="Z47" s="89"/>
      <c r="AA47" s="90"/>
      <c r="AB47" s="88"/>
      <c r="AC47" s="91"/>
      <c r="AD47" s="91"/>
      <c r="AE47" s="35">
        <f t="shared" si="8"/>
        <v>0</v>
      </c>
      <c r="AF47" s="62">
        <f t="shared" si="9"/>
        <v>0</v>
      </c>
    </row>
    <row r="48" spans="1:32" ht="18.75" customHeight="1" x14ac:dyDescent="0.25">
      <c r="A48" s="98"/>
      <c r="B48" s="33">
        <f t="shared" si="5"/>
        <v>29</v>
      </c>
      <c r="C48" s="72">
        <f>'CAS - PAY'!C49</f>
        <v>0</v>
      </c>
      <c r="D48" s="72" t="e">
        <f>'CAS - PAY'!D49</f>
        <v>#N/A</v>
      </c>
      <c r="E48" s="306">
        <f>'CAS - PAY'!E49</f>
        <v>0</v>
      </c>
      <c r="F48" s="49">
        <f>'CAS - PAY'!L49</f>
        <v>0</v>
      </c>
      <c r="G48" s="36">
        <f>ROUND('CAS - PAY'!I49*0.09,2)</f>
        <v>0</v>
      </c>
      <c r="H48" s="91"/>
      <c r="I48" s="91"/>
      <c r="J48" s="91"/>
      <c r="K48" s="91"/>
      <c r="L48" s="91"/>
      <c r="M48" s="91"/>
      <c r="N48" s="91"/>
      <c r="O48" s="91"/>
      <c r="P48" s="91"/>
      <c r="Q48" s="91"/>
      <c r="R48" s="41">
        <f t="shared" si="6"/>
        <v>0</v>
      </c>
      <c r="S48" s="86"/>
      <c r="T48" s="90"/>
      <c r="U48" s="91"/>
      <c r="V48" s="91"/>
      <c r="W48" s="91"/>
      <c r="X48" s="38">
        <f t="shared" si="7"/>
        <v>0</v>
      </c>
      <c r="Y48" s="49">
        <f>MIN(ROUNDDOWN('CAS - PAY'!I49*0.05/2,2),2500)</f>
        <v>0</v>
      </c>
      <c r="Z48" s="89"/>
      <c r="AA48" s="90"/>
      <c r="AB48" s="88"/>
      <c r="AC48" s="91"/>
      <c r="AD48" s="91"/>
      <c r="AE48" s="35">
        <f t="shared" si="8"/>
        <v>0</v>
      </c>
      <c r="AF48" s="62">
        <f t="shared" si="9"/>
        <v>0</v>
      </c>
    </row>
    <row r="49" spans="1:32" ht="18.75" customHeight="1" x14ac:dyDescent="0.25">
      <c r="A49" s="98"/>
      <c r="B49" s="33">
        <f t="shared" si="5"/>
        <v>30</v>
      </c>
      <c r="C49" s="72">
        <f>'CAS - PAY'!C50</f>
        <v>0</v>
      </c>
      <c r="D49" s="72" t="e">
        <f>'CAS - PAY'!D50</f>
        <v>#N/A</v>
      </c>
      <c r="E49" s="306">
        <f>'CAS - PAY'!E50</f>
        <v>0</v>
      </c>
      <c r="F49" s="49">
        <f>'CAS - PAY'!L50</f>
        <v>0</v>
      </c>
      <c r="G49" s="36">
        <f>ROUND('CAS - PAY'!I50*0.09,2)</f>
        <v>0</v>
      </c>
      <c r="H49" s="91"/>
      <c r="I49" s="91"/>
      <c r="J49" s="91"/>
      <c r="K49" s="91"/>
      <c r="L49" s="91"/>
      <c r="M49" s="91"/>
      <c r="N49" s="91"/>
      <c r="O49" s="91"/>
      <c r="P49" s="91"/>
      <c r="Q49" s="91"/>
      <c r="R49" s="41">
        <f t="shared" si="6"/>
        <v>0</v>
      </c>
      <c r="S49" s="86"/>
      <c r="T49" s="90"/>
      <c r="U49" s="91"/>
      <c r="V49" s="91"/>
      <c r="W49" s="91"/>
      <c r="X49" s="38">
        <f t="shared" si="7"/>
        <v>0</v>
      </c>
      <c r="Y49" s="49">
        <f>MIN(ROUNDDOWN('CAS - PAY'!I50*0.05/2,2),2500)</f>
        <v>0</v>
      </c>
      <c r="Z49" s="89"/>
      <c r="AA49" s="90"/>
      <c r="AB49" s="88"/>
      <c r="AC49" s="91"/>
      <c r="AD49" s="91"/>
      <c r="AE49" s="35">
        <f t="shared" si="8"/>
        <v>0</v>
      </c>
      <c r="AF49" s="62">
        <f t="shared" si="9"/>
        <v>0</v>
      </c>
    </row>
    <row r="50" spans="1:32" ht="18.75" customHeight="1" x14ac:dyDescent="0.25">
      <c r="A50" s="98"/>
      <c r="B50" s="33">
        <f t="shared" ref="B50:B65" si="10">+B33+1</f>
        <v>15</v>
      </c>
      <c r="C50" s="72">
        <f>'CAS - PAY'!C51</f>
        <v>0</v>
      </c>
      <c r="D50" s="72" t="e">
        <f>'CAS - PAY'!D51</f>
        <v>#N/A</v>
      </c>
      <c r="E50" s="306">
        <f>'CAS - PAY'!E51</f>
        <v>0</v>
      </c>
      <c r="F50" s="49">
        <f>'CAS - PAY'!L51</f>
        <v>0</v>
      </c>
      <c r="G50" s="36">
        <f>ROUND('CAS - PAY'!I51*0.09,2)</f>
        <v>0</v>
      </c>
      <c r="H50" s="91"/>
      <c r="I50" s="91"/>
      <c r="J50" s="91"/>
      <c r="K50" s="91"/>
      <c r="L50" s="91"/>
      <c r="M50" s="91"/>
      <c r="N50" s="91"/>
      <c r="O50" s="91"/>
      <c r="P50" s="91"/>
      <c r="Q50" s="91"/>
      <c r="R50" s="41">
        <f t="shared" ref="R50:R65" si="11">SUM(G50:Q50)</f>
        <v>0</v>
      </c>
      <c r="S50" s="86"/>
      <c r="T50" s="90"/>
      <c r="U50" s="91"/>
      <c r="V50" s="91"/>
      <c r="W50" s="91"/>
      <c r="X50" s="38">
        <f t="shared" ref="X50:X65" si="12">SUM(S50:W50)</f>
        <v>0</v>
      </c>
      <c r="Y50" s="49">
        <f>MIN(ROUNDDOWN('CAS - PAY'!I51*0.05/2,2),2500)</f>
        <v>0</v>
      </c>
      <c r="Z50" s="89"/>
      <c r="AA50" s="90"/>
      <c r="AB50" s="88"/>
      <c r="AC50" s="91"/>
      <c r="AD50" s="91"/>
      <c r="AE50" s="35">
        <f t="shared" ref="AE50:AE65" si="13">SUM(Z50:AD50)</f>
        <v>0</v>
      </c>
      <c r="AF50" s="62">
        <f t="shared" ref="AF50:AF65" si="14">SUM(F50,R50,X50,Y50,AE50)</f>
        <v>0</v>
      </c>
    </row>
    <row r="51" spans="1:32" ht="18.75" customHeight="1" x14ac:dyDescent="0.25">
      <c r="A51" s="98"/>
      <c r="B51" s="33">
        <f t="shared" si="10"/>
        <v>16</v>
      </c>
      <c r="C51" s="72">
        <f>'CAS - PAY'!C52</f>
        <v>0</v>
      </c>
      <c r="D51" s="72" t="e">
        <f>'CAS - PAY'!D52</f>
        <v>#N/A</v>
      </c>
      <c r="E51" s="306">
        <f>'CAS - PAY'!E52</f>
        <v>0</v>
      </c>
      <c r="F51" s="49">
        <f>'CAS - PAY'!L52</f>
        <v>0</v>
      </c>
      <c r="G51" s="36">
        <f>ROUND('CAS - PAY'!I52*0.09,2)</f>
        <v>0</v>
      </c>
      <c r="H51" s="91"/>
      <c r="I51" s="91"/>
      <c r="J51" s="91"/>
      <c r="K51" s="91"/>
      <c r="L51" s="91"/>
      <c r="M51" s="91"/>
      <c r="N51" s="91"/>
      <c r="O51" s="91"/>
      <c r="P51" s="91"/>
      <c r="Q51" s="91"/>
      <c r="R51" s="41">
        <f t="shared" si="11"/>
        <v>0</v>
      </c>
      <c r="S51" s="86"/>
      <c r="T51" s="90"/>
      <c r="U51" s="91"/>
      <c r="V51" s="91"/>
      <c r="W51" s="91"/>
      <c r="X51" s="38">
        <f t="shared" si="12"/>
        <v>0</v>
      </c>
      <c r="Y51" s="49">
        <f>MIN(ROUNDDOWN('CAS - PAY'!I52*0.05/2,2),2500)</f>
        <v>0</v>
      </c>
      <c r="Z51" s="89"/>
      <c r="AA51" s="90"/>
      <c r="AB51" s="88"/>
      <c r="AC51" s="91"/>
      <c r="AD51" s="91"/>
      <c r="AE51" s="35">
        <f t="shared" si="13"/>
        <v>0</v>
      </c>
      <c r="AF51" s="62">
        <f t="shared" si="14"/>
        <v>0</v>
      </c>
    </row>
    <row r="52" spans="1:32" ht="18.75" customHeight="1" x14ac:dyDescent="0.25">
      <c r="A52" s="98"/>
      <c r="B52" s="33">
        <f t="shared" si="10"/>
        <v>17</v>
      </c>
      <c r="C52" s="72">
        <f>'CAS - PAY'!C53</f>
        <v>0</v>
      </c>
      <c r="D52" s="72" t="e">
        <f>'CAS - PAY'!D53</f>
        <v>#N/A</v>
      </c>
      <c r="E52" s="306">
        <f>'CAS - PAY'!E53</f>
        <v>0</v>
      </c>
      <c r="F52" s="49">
        <f>'CAS - PAY'!L53</f>
        <v>0</v>
      </c>
      <c r="G52" s="36">
        <f>ROUND('CAS - PAY'!I53*0.09,2)</f>
        <v>0</v>
      </c>
      <c r="H52" s="91"/>
      <c r="I52" s="91"/>
      <c r="J52" s="91"/>
      <c r="K52" s="91"/>
      <c r="L52" s="91"/>
      <c r="M52" s="91"/>
      <c r="N52" s="91"/>
      <c r="O52" s="91"/>
      <c r="P52" s="91"/>
      <c r="Q52" s="91"/>
      <c r="R52" s="41">
        <f t="shared" si="11"/>
        <v>0</v>
      </c>
      <c r="S52" s="86"/>
      <c r="T52" s="90"/>
      <c r="U52" s="91"/>
      <c r="V52" s="91"/>
      <c r="W52" s="91"/>
      <c r="X52" s="38">
        <f t="shared" si="12"/>
        <v>0</v>
      </c>
      <c r="Y52" s="49">
        <f>MIN(ROUNDDOWN('CAS - PAY'!I53*0.05/2,2),2500)</f>
        <v>0</v>
      </c>
      <c r="Z52" s="89"/>
      <c r="AA52" s="90"/>
      <c r="AB52" s="88"/>
      <c r="AC52" s="91"/>
      <c r="AD52" s="91"/>
      <c r="AE52" s="35">
        <f t="shared" si="13"/>
        <v>0</v>
      </c>
      <c r="AF52" s="62">
        <f t="shared" si="14"/>
        <v>0</v>
      </c>
    </row>
    <row r="53" spans="1:32" ht="18.75" customHeight="1" x14ac:dyDescent="0.25">
      <c r="A53" s="98"/>
      <c r="B53" s="33">
        <f t="shared" si="10"/>
        <v>18</v>
      </c>
      <c r="C53" s="72">
        <f>'CAS - PAY'!C54</f>
        <v>0</v>
      </c>
      <c r="D53" s="72" t="e">
        <f>'CAS - PAY'!D54</f>
        <v>#N/A</v>
      </c>
      <c r="E53" s="306">
        <f>'CAS - PAY'!E54</f>
        <v>0</v>
      </c>
      <c r="F53" s="49">
        <f>'CAS - PAY'!L54</f>
        <v>0</v>
      </c>
      <c r="G53" s="36">
        <f>ROUND('CAS - PAY'!I54*0.09,2)</f>
        <v>0</v>
      </c>
      <c r="H53" s="91"/>
      <c r="I53" s="91"/>
      <c r="J53" s="91"/>
      <c r="K53" s="91"/>
      <c r="L53" s="91"/>
      <c r="M53" s="91"/>
      <c r="N53" s="91"/>
      <c r="O53" s="91"/>
      <c r="P53" s="91"/>
      <c r="Q53" s="91"/>
      <c r="R53" s="41">
        <f t="shared" si="11"/>
        <v>0</v>
      </c>
      <c r="S53" s="86"/>
      <c r="T53" s="90"/>
      <c r="U53" s="91"/>
      <c r="V53" s="91"/>
      <c r="W53" s="91"/>
      <c r="X53" s="38">
        <f t="shared" si="12"/>
        <v>0</v>
      </c>
      <c r="Y53" s="49">
        <f>MIN(ROUNDDOWN('CAS - PAY'!I54*0.05/2,2),2500)</f>
        <v>0</v>
      </c>
      <c r="Z53" s="89"/>
      <c r="AA53" s="90"/>
      <c r="AB53" s="88"/>
      <c r="AC53" s="91"/>
      <c r="AD53" s="91"/>
      <c r="AE53" s="35">
        <f t="shared" si="13"/>
        <v>0</v>
      </c>
      <c r="AF53" s="62">
        <f t="shared" si="14"/>
        <v>0</v>
      </c>
    </row>
    <row r="54" spans="1:32" ht="18.75" customHeight="1" x14ac:dyDescent="0.25">
      <c r="A54" s="98"/>
      <c r="B54" s="33">
        <f t="shared" si="10"/>
        <v>19</v>
      </c>
      <c r="C54" s="72">
        <f>'CAS - PAY'!C55</f>
        <v>0</v>
      </c>
      <c r="D54" s="72" t="e">
        <f>'CAS - PAY'!D55</f>
        <v>#N/A</v>
      </c>
      <c r="E54" s="306">
        <f>'CAS - PAY'!E55</f>
        <v>0</v>
      </c>
      <c r="F54" s="49">
        <f>'CAS - PAY'!L55</f>
        <v>0</v>
      </c>
      <c r="G54" s="36">
        <f>ROUND('CAS - PAY'!I55*0.09,2)</f>
        <v>0</v>
      </c>
      <c r="H54" s="91"/>
      <c r="I54" s="91"/>
      <c r="J54" s="91"/>
      <c r="K54" s="91"/>
      <c r="L54" s="91"/>
      <c r="M54" s="91"/>
      <c r="N54" s="91"/>
      <c r="O54" s="91"/>
      <c r="P54" s="91"/>
      <c r="Q54" s="91"/>
      <c r="R54" s="41">
        <f t="shared" si="11"/>
        <v>0</v>
      </c>
      <c r="S54" s="86"/>
      <c r="T54" s="90"/>
      <c r="U54" s="91"/>
      <c r="V54" s="91"/>
      <c r="W54" s="91"/>
      <c r="X54" s="38">
        <f t="shared" si="12"/>
        <v>0</v>
      </c>
      <c r="Y54" s="49">
        <f>MIN(ROUNDDOWN('CAS - PAY'!I55*0.05/2,2),2500)</f>
        <v>0</v>
      </c>
      <c r="Z54" s="89"/>
      <c r="AA54" s="90"/>
      <c r="AB54" s="88"/>
      <c r="AC54" s="91"/>
      <c r="AD54" s="91"/>
      <c r="AE54" s="35">
        <f t="shared" si="13"/>
        <v>0</v>
      </c>
      <c r="AF54" s="62">
        <f t="shared" si="14"/>
        <v>0</v>
      </c>
    </row>
    <row r="55" spans="1:32" ht="18.75" customHeight="1" x14ac:dyDescent="0.25">
      <c r="A55" s="98"/>
      <c r="B55" s="33">
        <f t="shared" si="10"/>
        <v>20</v>
      </c>
      <c r="C55" s="72">
        <f>'CAS - PAY'!C56</f>
        <v>0</v>
      </c>
      <c r="D55" s="72" t="e">
        <f>'CAS - PAY'!D56</f>
        <v>#N/A</v>
      </c>
      <c r="E55" s="306">
        <f>'CAS - PAY'!E56</f>
        <v>0</v>
      </c>
      <c r="F55" s="49">
        <f>'CAS - PAY'!L56</f>
        <v>0</v>
      </c>
      <c r="G55" s="36">
        <f>ROUND('CAS - PAY'!I56*0.09,2)</f>
        <v>0</v>
      </c>
      <c r="H55" s="91"/>
      <c r="I55" s="91"/>
      <c r="J55" s="91"/>
      <c r="K55" s="91"/>
      <c r="L55" s="91"/>
      <c r="M55" s="91"/>
      <c r="N55" s="91"/>
      <c r="O55" s="91"/>
      <c r="P55" s="91"/>
      <c r="Q55" s="91"/>
      <c r="R55" s="41">
        <f t="shared" si="11"/>
        <v>0</v>
      </c>
      <c r="S55" s="86"/>
      <c r="T55" s="90"/>
      <c r="U55" s="91"/>
      <c r="V55" s="91"/>
      <c r="W55" s="91"/>
      <c r="X55" s="38">
        <f t="shared" si="12"/>
        <v>0</v>
      </c>
      <c r="Y55" s="49">
        <f>MIN(ROUNDDOWN('CAS - PAY'!I56*0.05/2,2),2500)</f>
        <v>0</v>
      </c>
      <c r="Z55" s="89"/>
      <c r="AA55" s="90"/>
      <c r="AB55" s="88"/>
      <c r="AC55" s="91"/>
      <c r="AD55" s="91"/>
      <c r="AE55" s="35">
        <f t="shared" si="13"/>
        <v>0</v>
      </c>
      <c r="AF55" s="62">
        <f t="shared" si="14"/>
        <v>0</v>
      </c>
    </row>
    <row r="56" spans="1:32" ht="18.75" customHeight="1" x14ac:dyDescent="0.25">
      <c r="A56" s="98"/>
      <c r="B56" s="33">
        <f t="shared" si="10"/>
        <v>21</v>
      </c>
      <c r="C56" s="72">
        <f>'CAS - PAY'!C57</f>
        <v>0</v>
      </c>
      <c r="D56" s="72" t="e">
        <f>'CAS - PAY'!D57</f>
        <v>#N/A</v>
      </c>
      <c r="E56" s="306">
        <f>'CAS - PAY'!E57</f>
        <v>0</v>
      </c>
      <c r="F56" s="49">
        <f>'CAS - PAY'!L57</f>
        <v>0</v>
      </c>
      <c r="G56" s="36">
        <f>ROUND('CAS - PAY'!I57*0.09,2)</f>
        <v>0</v>
      </c>
      <c r="H56" s="91"/>
      <c r="I56" s="91"/>
      <c r="J56" s="91"/>
      <c r="K56" s="91"/>
      <c r="L56" s="91"/>
      <c r="M56" s="91"/>
      <c r="N56" s="91"/>
      <c r="O56" s="91"/>
      <c r="P56" s="91"/>
      <c r="Q56" s="91"/>
      <c r="R56" s="41">
        <f t="shared" si="11"/>
        <v>0</v>
      </c>
      <c r="S56" s="86"/>
      <c r="T56" s="90"/>
      <c r="U56" s="91"/>
      <c r="V56" s="91"/>
      <c r="W56" s="91"/>
      <c r="X56" s="38">
        <f t="shared" si="12"/>
        <v>0</v>
      </c>
      <c r="Y56" s="49">
        <f>MIN(ROUNDDOWN('CAS - PAY'!I57*0.05/2,2),2500)</f>
        <v>0</v>
      </c>
      <c r="Z56" s="89"/>
      <c r="AA56" s="90"/>
      <c r="AB56" s="88"/>
      <c r="AC56" s="91"/>
      <c r="AD56" s="91"/>
      <c r="AE56" s="35">
        <f t="shared" si="13"/>
        <v>0</v>
      </c>
      <c r="AF56" s="62">
        <f t="shared" si="14"/>
        <v>0</v>
      </c>
    </row>
    <row r="57" spans="1:32" ht="18.75" customHeight="1" x14ac:dyDescent="0.25">
      <c r="A57" s="98"/>
      <c r="B57" s="33">
        <f t="shared" si="10"/>
        <v>22</v>
      </c>
      <c r="C57" s="72">
        <f>'CAS - PAY'!C58</f>
        <v>0</v>
      </c>
      <c r="D57" s="72" t="e">
        <f>'CAS - PAY'!D58</f>
        <v>#N/A</v>
      </c>
      <c r="E57" s="306">
        <f>'CAS - PAY'!E58</f>
        <v>0</v>
      </c>
      <c r="F57" s="49">
        <f>'CAS - PAY'!L58</f>
        <v>0</v>
      </c>
      <c r="G57" s="36">
        <f>ROUND('CAS - PAY'!I58*0.09,2)</f>
        <v>0</v>
      </c>
      <c r="H57" s="91"/>
      <c r="I57" s="91"/>
      <c r="J57" s="91"/>
      <c r="K57" s="91"/>
      <c r="L57" s="91"/>
      <c r="M57" s="91"/>
      <c r="N57" s="91"/>
      <c r="O57" s="91"/>
      <c r="P57" s="91"/>
      <c r="Q57" s="91"/>
      <c r="R57" s="41">
        <f t="shared" si="11"/>
        <v>0</v>
      </c>
      <c r="S57" s="86"/>
      <c r="T57" s="90"/>
      <c r="U57" s="91"/>
      <c r="V57" s="91"/>
      <c r="W57" s="91"/>
      <c r="X57" s="38">
        <f t="shared" si="12"/>
        <v>0</v>
      </c>
      <c r="Y57" s="49">
        <f>MIN(ROUNDDOWN('CAS - PAY'!I58*0.05/2,2),2500)</f>
        <v>0</v>
      </c>
      <c r="Z57" s="89"/>
      <c r="AA57" s="90"/>
      <c r="AB57" s="88"/>
      <c r="AC57" s="91"/>
      <c r="AD57" s="91"/>
      <c r="AE57" s="35">
        <f t="shared" si="13"/>
        <v>0</v>
      </c>
      <c r="AF57" s="62">
        <f t="shared" si="14"/>
        <v>0</v>
      </c>
    </row>
    <row r="58" spans="1:32" ht="18.75" customHeight="1" x14ac:dyDescent="0.25">
      <c r="A58" s="98"/>
      <c r="B58" s="33">
        <f t="shared" si="10"/>
        <v>23</v>
      </c>
      <c r="C58" s="72">
        <f>'CAS - PAY'!C59</f>
        <v>0</v>
      </c>
      <c r="D58" s="72" t="e">
        <f>'CAS - PAY'!D59</f>
        <v>#N/A</v>
      </c>
      <c r="E58" s="306">
        <f>'CAS - PAY'!E59</f>
        <v>0</v>
      </c>
      <c r="F58" s="49">
        <f>'CAS - PAY'!L59</f>
        <v>0</v>
      </c>
      <c r="G58" s="36">
        <f>ROUND('CAS - PAY'!I59*0.09,2)</f>
        <v>0</v>
      </c>
      <c r="H58" s="91"/>
      <c r="I58" s="91"/>
      <c r="J58" s="91"/>
      <c r="K58" s="91"/>
      <c r="L58" s="91"/>
      <c r="M58" s="91"/>
      <c r="N58" s="91"/>
      <c r="O58" s="91"/>
      <c r="P58" s="91"/>
      <c r="Q58" s="91"/>
      <c r="R58" s="41">
        <f t="shared" si="11"/>
        <v>0</v>
      </c>
      <c r="S58" s="86"/>
      <c r="T58" s="90"/>
      <c r="U58" s="91"/>
      <c r="V58" s="91"/>
      <c r="W58" s="91"/>
      <c r="X58" s="38">
        <f t="shared" si="12"/>
        <v>0</v>
      </c>
      <c r="Y58" s="49">
        <f>MIN(ROUNDDOWN('CAS - PAY'!I59*0.05/2,2),2500)</f>
        <v>0</v>
      </c>
      <c r="Z58" s="89"/>
      <c r="AA58" s="90"/>
      <c r="AB58" s="88"/>
      <c r="AC58" s="91"/>
      <c r="AD58" s="91"/>
      <c r="AE58" s="35">
        <f t="shared" si="13"/>
        <v>0</v>
      </c>
      <c r="AF58" s="62">
        <f t="shared" si="14"/>
        <v>0</v>
      </c>
    </row>
    <row r="59" spans="1:32" ht="18.75" customHeight="1" x14ac:dyDescent="0.25">
      <c r="A59" s="98"/>
      <c r="B59" s="33">
        <f t="shared" si="10"/>
        <v>24</v>
      </c>
      <c r="C59" s="72">
        <f>'CAS - PAY'!C60</f>
        <v>0</v>
      </c>
      <c r="D59" s="72" t="e">
        <f>'CAS - PAY'!D60</f>
        <v>#N/A</v>
      </c>
      <c r="E59" s="306">
        <f>'CAS - PAY'!E60</f>
        <v>0</v>
      </c>
      <c r="F59" s="49">
        <f>'CAS - PAY'!L60</f>
        <v>0</v>
      </c>
      <c r="G59" s="36">
        <f>ROUND('CAS - PAY'!I60*0.09,2)</f>
        <v>0</v>
      </c>
      <c r="H59" s="91"/>
      <c r="I59" s="91"/>
      <c r="J59" s="91"/>
      <c r="K59" s="91"/>
      <c r="L59" s="91"/>
      <c r="M59" s="91"/>
      <c r="N59" s="91"/>
      <c r="O59" s="91"/>
      <c r="P59" s="91"/>
      <c r="Q59" s="91"/>
      <c r="R59" s="41">
        <f t="shared" si="11"/>
        <v>0</v>
      </c>
      <c r="S59" s="86"/>
      <c r="T59" s="90"/>
      <c r="U59" s="91"/>
      <c r="V59" s="91"/>
      <c r="W59" s="91"/>
      <c r="X59" s="38">
        <f t="shared" si="12"/>
        <v>0</v>
      </c>
      <c r="Y59" s="49">
        <f>MIN(ROUNDDOWN('CAS - PAY'!I60*0.05/2,2),2500)</f>
        <v>0</v>
      </c>
      <c r="Z59" s="89"/>
      <c r="AA59" s="90"/>
      <c r="AB59" s="88"/>
      <c r="AC59" s="91"/>
      <c r="AD59" s="91"/>
      <c r="AE59" s="35">
        <f t="shared" si="13"/>
        <v>0</v>
      </c>
      <c r="AF59" s="62">
        <f t="shared" si="14"/>
        <v>0</v>
      </c>
    </row>
    <row r="60" spans="1:32" ht="18.75" customHeight="1" x14ac:dyDescent="0.25">
      <c r="A60" s="98"/>
      <c r="B60" s="33">
        <f t="shared" si="10"/>
        <v>25</v>
      </c>
      <c r="C60" s="72">
        <f>'CAS - PAY'!C61</f>
        <v>0</v>
      </c>
      <c r="D60" s="72" t="e">
        <f>'CAS - PAY'!D61</f>
        <v>#N/A</v>
      </c>
      <c r="E60" s="306">
        <f>'CAS - PAY'!E61</f>
        <v>0</v>
      </c>
      <c r="F60" s="49">
        <f>'CAS - PAY'!L61</f>
        <v>0</v>
      </c>
      <c r="G60" s="36">
        <f>ROUND('CAS - PAY'!I61*0.09,2)</f>
        <v>0</v>
      </c>
      <c r="H60" s="91"/>
      <c r="I60" s="91"/>
      <c r="J60" s="91"/>
      <c r="K60" s="91"/>
      <c r="L60" s="91"/>
      <c r="M60" s="91"/>
      <c r="N60" s="91"/>
      <c r="O60" s="91"/>
      <c r="P60" s="91"/>
      <c r="Q60" s="91"/>
      <c r="R60" s="41">
        <f t="shared" si="11"/>
        <v>0</v>
      </c>
      <c r="S60" s="86"/>
      <c r="T60" s="90"/>
      <c r="U60" s="91"/>
      <c r="V60" s="91"/>
      <c r="W60" s="91"/>
      <c r="X60" s="38">
        <f t="shared" si="12"/>
        <v>0</v>
      </c>
      <c r="Y60" s="49">
        <f>MIN(ROUNDDOWN('CAS - PAY'!I61*0.05/2,2),2500)</f>
        <v>0</v>
      </c>
      <c r="Z60" s="89"/>
      <c r="AA60" s="90"/>
      <c r="AB60" s="88"/>
      <c r="AC60" s="91"/>
      <c r="AD60" s="91"/>
      <c r="AE60" s="35">
        <f t="shared" si="13"/>
        <v>0</v>
      </c>
      <c r="AF60" s="62">
        <f t="shared" si="14"/>
        <v>0</v>
      </c>
    </row>
    <row r="61" spans="1:32" ht="18.75" customHeight="1" x14ac:dyDescent="0.25">
      <c r="A61" s="98"/>
      <c r="B61" s="33">
        <f t="shared" si="10"/>
        <v>26</v>
      </c>
      <c r="C61" s="72">
        <f>'CAS - PAY'!C62</f>
        <v>0</v>
      </c>
      <c r="D61" s="72" t="e">
        <f>'CAS - PAY'!D62</f>
        <v>#N/A</v>
      </c>
      <c r="E61" s="306">
        <f>'CAS - PAY'!E62</f>
        <v>0</v>
      </c>
      <c r="F61" s="49">
        <f>'CAS - PAY'!L62</f>
        <v>0</v>
      </c>
      <c r="G61" s="36">
        <f>ROUND('CAS - PAY'!I62*0.09,2)</f>
        <v>0</v>
      </c>
      <c r="H61" s="91"/>
      <c r="I61" s="91"/>
      <c r="J61" s="91"/>
      <c r="K61" s="91"/>
      <c r="L61" s="91"/>
      <c r="M61" s="91"/>
      <c r="N61" s="91"/>
      <c r="O61" s="91"/>
      <c r="P61" s="91"/>
      <c r="Q61" s="91"/>
      <c r="R61" s="41">
        <f t="shared" si="11"/>
        <v>0</v>
      </c>
      <c r="S61" s="86"/>
      <c r="T61" s="90"/>
      <c r="U61" s="91"/>
      <c r="V61" s="91"/>
      <c r="W61" s="91"/>
      <c r="X61" s="38">
        <f t="shared" si="12"/>
        <v>0</v>
      </c>
      <c r="Y61" s="49">
        <f>MIN(ROUNDDOWN('CAS - PAY'!I62*0.05/2,2),2500)</f>
        <v>0</v>
      </c>
      <c r="Z61" s="89"/>
      <c r="AA61" s="90"/>
      <c r="AB61" s="88"/>
      <c r="AC61" s="91"/>
      <c r="AD61" s="91"/>
      <c r="AE61" s="35">
        <f t="shared" si="13"/>
        <v>0</v>
      </c>
      <c r="AF61" s="62">
        <f t="shared" si="14"/>
        <v>0</v>
      </c>
    </row>
    <row r="62" spans="1:32" ht="18.75" customHeight="1" x14ac:dyDescent="0.25">
      <c r="A62" s="98"/>
      <c r="B62" s="33">
        <f t="shared" si="10"/>
        <v>27</v>
      </c>
      <c r="C62" s="72">
        <f>'CAS - PAY'!C63</f>
        <v>0</v>
      </c>
      <c r="D62" s="72" t="e">
        <f>'CAS - PAY'!D63</f>
        <v>#N/A</v>
      </c>
      <c r="E62" s="306">
        <f>'CAS - PAY'!E63</f>
        <v>0</v>
      </c>
      <c r="F62" s="49">
        <f>'CAS - PAY'!L63</f>
        <v>0</v>
      </c>
      <c r="G62" s="36">
        <f>ROUND('CAS - PAY'!I63*0.09,2)</f>
        <v>0</v>
      </c>
      <c r="H62" s="91"/>
      <c r="I62" s="91"/>
      <c r="J62" s="91"/>
      <c r="K62" s="91"/>
      <c r="L62" s="91"/>
      <c r="M62" s="91"/>
      <c r="N62" s="91"/>
      <c r="O62" s="91"/>
      <c r="P62" s="91"/>
      <c r="Q62" s="91"/>
      <c r="R62" s="41">
        <f t="shared" si="11"/>
        <v>0</v>
      </c>
      <c r="S62" s="86"/>
      <c r="T62" s="90"/>
      <c r="U62" s="91"/>
      <c r="V62" s="91"/>
      <c r="W62" s="91"/>
      <c r="X62" s="38">
        <f t="shared" si="12"/>
        <v>0</v>
      </c>
      <c r="Y62" s="49">
        <f>MIN(ROUNDDOWN('CAS - PAY'!I63*0.05/2,2),2500)</f>
        <v>0</v>
      </c>
      <c r="Z62" s="89"/>
      <c r="AA62" s="90"/>
      <c r="AB62" s="88"/>
      <c r="AC62" s="91"/>
      <c r="AD62" s="91"/>
      <c r="AE62" s="35">
        <f t="shared" si="13"/>
        <v>0</v>
      </c>
      <c r="AF62" s="62">
        <f t="shared" si="14"/>
        <v>0</v>
      </c>
    </row>
    <row r="63" spans="1:32" ht="18.75" customHeight="1" x14ac:dyDescent="0.25">
      <c r="A63" s="98"/>
      <c r="B63" s="33">
        <f t="shared" si="10"/>
        <v>28</v>
      </c>
      <c r="C63" s="72">
        <f>'CAS - PAY'!C64</f>
        <v>0</v>
      </c>
      <c r="D63" s="72" t="e">
        <f>'CAS - PAY'!D64</f>
        <v>#N/A</v>
      </c>
      <c r="E63" s="306">
        <f>'CAS - PAY'!E64</f>
        <v>0</v>
      </c>
      <c r="F63" s="49">
        <f>'CAS - PAY'!L64</f>
        <v>0</v>
      </c>
      <c r="G63" s="36">
        <f>ROUND('CAS - PAY'!I64*0.09,2)</f>
        <v>0</v>
      </c>
      <c r="H63" s="91"/>
      <c r="I63" s="91"/>
      <c r="J63" s="91"/>
      <c r="K63" s="91"/>
      <c r="L63" s="91"/>
      <c r="M63" s="91"/>
      <c r="N63" s="91"/>
      <c r="O63" s="91"/>
      <c r="P63" s="91"/>
      <c r="Q63" s="91"/>
      <c r="R63" s="41">
        <f t="shared" si="11"/>
        <v>0</v>
      </c>
      <c r="S63" s="86"/>
      <c r="T63" s="90"/>
      <c r="U63" s="91"/>
      <c r="V63" s="91"/>
      <c r="W63" s="91"/>
      <c r="X63" s="38">
        <f t="shared" si="12"/>
        <v>0</v>
      </c>
      <c r="Y63" s="49">
        <f>MIN(ROUNDDOWN('CAS - PAY'!I64*0.05/2,2),2500)</f>
        <v>0</v>
      </c>
      <c r="Z63" s="89"/>
      <c r="AA63" s="90"/>
      <c r="AB63" s="88"/>
      <c r="AC63" s="91"/>
      <c r="AD63" s="91"/>
      <c r="AE63" s="35">
        <f t="shared" si="13"/>
        <v>0</v>
      </c>
      <c r="AF63" s="62">
        <f t="shared" si="14"/>
        <v>0</v>
      </c>
    </row>
    <row r="64" spans="1:32" ht="18.75" customHeight="1" x14ac:dyDescent="0.25">
      <c r="A64" s="98"/>
      <c r="B64" s="33">
        <f t="shared" si="10"/>
        <v>29</v>
      </c>
      <c r="C64" s="72">
        <f>'CAS - PAY'!C65</f>
        <v>0</v>
      </c>
      <c r="D64" s="72" t="e">
        <f>'CAS - PAY'!D65</f>
        <v>#N/A</v>
      </c>
      <c r="E64" s="306">
        <f>'CAS - PAY'!E65</f>
        <v>0</v>
      </c>
      <c r="F64" s="49">
        <f>'CAS - PAY'!L65</f>
        <v>0</v>
      </c>
      <c r="G64" s="36">
        <f>ROUND('CAS - PAY'!I65*0.09,2)</f>
        <v>0</v>
      </c>
      <c r="H64" s="91"/>
      <c r="I64" s="91"/>
      <c r="J64" s="91"/>
      <c r="K64" s="91"/>
      <c r="L64" s="91"/>
      <c r="M64" s="91"/>
      <c r="N64" s="91"/>
      <c r="O64" s="91"/>
      <c r="P64" s="91"/>
      <c r="Q64" s="91"/>
      <c r="R64" s="41">
        <f t="shared" si="11"/>
        <v>0</v>
      </c>
      <c r="S64" s="86"/>
      <c r="T64" s="90"/>
      <c r="U64" s="91"/>
      <c r="V64" s="91"/>
      <c r="W64" s="91"/>
      <c r="X64" s="38">
        <f t="shared" si="12"/>
        <v>0</v>
      </c>
      <c r="Y64" s="49">
        <f>MIN(ROUNDDOWN('CAS - PAY'!I65*0.05/2,2),2500)</f>
        <v>0</v>
      </c>
      <c r="Z64" s="89"/>
      <c r="AA64" s="90"/>
      <c r="AB64" s="88"/>
      <c r="AC64" s="91"/>
      <c r="AD64" s="91"/>
      <c r="AE64" s="35">
        <f t="shared" si="13"/>
        <v>0</v>
      </c>
      <c r="AF64" s="62">
        <f t="shared" si="14"/>
        <v>0</v>
      </c>
    </row>
    <row r="65" spans="1:32" ht="18.75" customHeight="1" x14ac:dyDescent="0.25">
      <c r="A65" s="98"/>
      <c r="B65" s="33">
        <f t="shared" si="10"/>
        <v>30</v>
      </c>
      <c r="C65" s="72">
        <f>'CAS - PAY'!C66</f>
        <v>0</v>
      </c>
      <c r="D65" s="72" t="e">
        <f>'CAS - PAY'!D66</f>
        <v>#N/A</v>
      </c>
      <c r="E65" s="306">
        <f>'CAS - PAY'!E66</f>
        <v>0</v>
      </c>
      <c r="F65" s="49">
        <f>'CAS - PAY'!L66</f>
        <v>0</v>
      </c>
      <c r="G65" s="36">
        <f>ROUND('CAS - PAY'!I66*0.09,2)</f>
        <v>0</v>
      </c>
      <c r="H65" s="91"/>
      <c r="I65" s="91"/>
      <c r="J65" s="91"/>
      <c r="K65" s="91"/>
      <c r="L65" s="91"/>
      <c r="M65" s="91"/>
      <c r="N65" s="91"/>
      <c r="O65" s="91"/>
      <c r="P65" s="91"/>
      <c r="Q65" s="91"/>
      <c r="R65" s="41">
        <f t="shared" si="11"/>
        <v>0</v>
      </c>
      <c r="S65" s="86"/>
      <c r="T65" s="90"/>
      <c r="U65" s="91"/>
      <c r="V65" s="91"/>
      <c r="W65" s="91"/>
      <c r="X65" s="38">
        <f t="shared" si="12"/>
        <v>0</v>
      </c>
      <c r="Y65" s="49">
        <f>MIN(ROUNDDOWN('CAS - PAY'!I66*0.05/2,2),2500)</f>
        <v>0</v>
      </c>
      <c r="Z65" s="89"/>
      <c r="AA65" s="90"/>
      <c r="AB65" s="88"/>
      <c r="AC65" s="91"/>
      <c r="AD65" s="91"/>
      <c r="AE65" s="35">
        <f t="shared" si="13"/>
        <v>0</v>
      </c>
      <c r="AF65" s="62">
        <f t="shared" si="14"/>
        <v>0</v>
      </c>
    </row>
    <row r="66" spans="1:32" ht="18.75" customHeight="1" x14ac:dyDescent="0.25">
      <c r="A66" s="98"/>
      <c r="B66" s="33">
        <f>+B49+1</f>
        <v>31</v>
      </c>
      <c r="C66" s="72">
        <f>'CAS - PAY'!C67</f>
        <v>0</v>
      </c>
      <c r="D66" s="72" t="e">
        <f>'CAS - PAY'!D67</f>
        <v>#N/A</v>
      </c>
      <c r="E66" s="306">
        <f>'CAS - PAY'!E67</f>
        <v>0</v>
      </c>
      <c r="F66" s="49">
        <f>'CAS - PAY'!L67</f>
        <v>0</v>
      </c>
      <c r="G66" s="36">
        <f>ROUND('CAS - PAY'!I67*0.09,2)</f>
        <v>0</v>
      </c>
      <c r="H66" s="91"/>
      <c r="I66" s="91"/>
      <c r="J66" s="91"/>
      <c r="K66" s="91"/>
      <c r="L66" s="91"/>
      <c r="M66" s="91"/>
      <c r="N66" s="91"/>
      <c r="O66" s="91"/>
      <c r="P66" s="91"/>
      <c r="Q66" s="91"/>
      <c r="R66" s="41">
        <f t="shared" si="6"/>
        <v>0</v>
      </c>
      <c r="S66" s="86"/>
      <c r="T66" s="90"/>
      <c r="U66" s="91"/>
      <c r="V66" s="91"/>
      <c r="W66" s="91"/>
      <c r="X66" s="38">
        <f t="shared" si="7"/>
        <v>0</v>
      </c>
      <c r="Y66" s="49">
        <f>MIN(ROUNDDOWN('CAS - PAY'!I67*0.05/2,2),2500)</f>
        <v>0</v>
      </c>
      <c r="Z66" s="89"/>
      <c r="AA66" s="90"/>
      <c r="AB66" s="88"/>
      <c r="AC66" s="91"/>
      <c r="AD66" s="91"/>
      <c r="AE66" s="35">
        <f t="shared" si="8"/>
        <v>0</v>
      </c>
      <c r="AF66" s="62">
        <f t="shared" si="9"/>
        <v>0</v>
      </c>
    </row>
    <row r="67" spans="1:32" ht="18.75" customHeight="1" x14ac:dyDescent="0.25">
      <c r="A67" s="98"/>
      <c r="B67" s="33"/>
      <c r="C67" s="64"/>
      <c r="D67" s="64"/>
      <c r="E67" s="63"/>
      <c r="F67" s="70"/>
      <c r="G67" s="65"/>
      <c r="H67" s="91"/>
      <c r="I67" s="91"/>
      <c r="J67" s="91"/>
      <c r="K67" s="91"/>
      <c r="L67" s="91"/>
      <c r="M67" s="91"/>
      <c r="N67" s="91"/>
      <c r="O67" s="91"/>
      <c r="P67" s="91"/>
      <c r="Q67" s="91"/>
      <c r="R67" s="71"/>
      <c r="S67" s="89"/>
      <c r="T67" s="90"/>
      <c r="U67" s="91"/>
      <c r="V67" s="91"/>
      <c r="W67" s="91"/>
      <c r="X67" s="69"/>
      <c r="Y67" s="70"/>
      <c r="Z67" s="89"/>
      <c r="AA67" s="90"/>
      <c r="AB67" s="91"/>
      <c r="AC67" s="91"/>
      <c r="AD67" s="91"/>
      <c r="AE67" s="67"/>
      <c r="AF67" s="62">
        <f>SUM(F67,R67,X67,Y67,AE67)</f>
        <v>0</v>
      </c>
    </row>
    <row r="68" spans="1:32" ht="18.75" customHeight="1" thickBot="1" x14ac:dyDescent="0.3">
      <c r="A68" s="98"/>
      <c r="B68" s="16"/>
      <c r="C68" s="16"/>
      <c r="D68" s="16"/>
      <c r="E68" s="324"/>
      <c r="F68" s="81">
        <f t="shared" ref="F68:AF68" si="15">SUM(F20:F67)</f>
        <v>0</v>
      </c>
      <c r="G68" s="73">
        <f t="shared" si="15"/>
        <v>0</v>
      </c>
      <c r="H68" s="94">
        <f t="shared" si="15"/>
        <v>0</v>
      </c>
      <c r="I68" s="94">
        <f t="shared" si="15"/>
        <v>0</v>
      </c>
      <c r="J68" s="94">
        <f t="shared" si="15"/>
        <v>0</v>
      </c>
      <c r="K68" s="94">
        <f t="shared" si="15"/>
        <v>0</v>
      </c>
      <c r="L68" s="94">
        <f t="shared" si="15"/>
        <v>0</v>
      </c>
      <c r="M68" s="94">
        <f t="shared" si="15"/>
        <v>0</v>
      </c>
      <c r="N68" s="94">
        <f t="shared" si="15"/>
        <v>0</v>
      </c>
      <c r="O68" s="94">
        <f t="shared" si="15"/>
        <v>0</v>
      </c>
      <c r="P68" s="94">
        <f t="shared" si="15"/>
        <v>0</v>
      </c>
      <c r="Q68" s="94">
        <f t="shared" si="15"/>
        <v>0</v>
      </c>
      <c r="R68" s="74">
        <f t="shared" si="15"/>
        <v>0</v>
      </c>
      <c r="S68" s="95">
        <f t="shared" si="15"/>
        <v>0</v>
      </c>
      <c r="T68" s="96">
        <f t="shared" si="15"/>
        <v>0</v>
      </c>
      <c r="U68" s="94">
        <f t="shared" si="15"/>
        <v>0</v>
      </c>
      <c r="V68" s="94">
        <f t="shared" si="15"/>
        <v>0</v>
      </c>
      <c r="W68" s="94">
        <f t="shared" si="15"/>
        <v>0</v>
      </c>
      <c r="X68" s="80">
        <f t="shared" si="15"/>
        <v>0</v>
      </c>
      <c r="Y68" s="81">
        <f t="shared" si="15"/>
        <v>0</v>
      </c>
      <c r="Z68" s="95">
        <f t="shared" si="15"/>
        <v>0</v>
      </c>
      <c r="AA68" s="96">
        <f t="shared" si="15"/>
        <v>0</v>
      </c>
      <c r="AB68" s="94">
        <f t="shared" si="15"/>
        <v>0</v>
      </c>
      <c r="AC68" s="94">
        <f t="shared" si="15"/>
        <v>0</v>
      </c>
      <c r="AD68" s="94">
        <f t="shared" si="15"/>
        <v>0</v>
      </c>
      <c r="AE68" s="80">
        <f t="shared" si="15"/>
        <v>0</v>
      </c>
      <c r="AF68" s="81">
        <f t="shared" si="15"/>
        <v>0</v>
      </c>
    </row>
    <row r="69" spans="1:32" x14ac:dyDescent="0.25">
      <c r="R69" s="75">
        <f>R68-'CAS - PAY'!M69</f>
        <v>0</v>
      </c>
      <c r="X69" s="75">
        <f>X68-'CAS - PAY'!N69</f>
        <v>0</v>
      </c>
      <c r="Y69" s="75">
        <f>Y68-'CAS - PAY'!O69</f>
        <v>0</v>
      </c>
      <c r="AE69" s="75">
        <f>AE68-'CAS - PAY'!P69</f>
        <v>0</v>
      </c>
      <c r="AF69" s="75">
        <f>AF68-'CAS - PAY'!Q69</f>
        <v>0</v>
      </c>
    </row>
    <row r="70" spans="1:32" x14ac:dyDescent="0.25">
      <c r="AF70" s="75"/>
    </row>
    <row r="71" spans="1:32" x14ac:dyDescent="0.25">
      <c r="C71" s="820" t="s">
        <v>47</v>
      </c>
      <c r="D71" s="820"/>
    </row>
    <row r="72" spans="1:32" x14ac:dyDescent="0.25">
      <c r="C72" s="827" t="s">
        <v>93</v>
      </c>
      <c r="D72" s="827"/>
    </row>
    <row r="74" spans="1:32" x14ac:dyDescent="0.25">
      <c r="C74" s="32"/>
    </row>
  </sheetData>
  <mergeCells count="48">
    <mergeCell ref="B14:Z14"/>
    <mergeCell ref="AE2:AF2"/>
    <mergeCell ref="B3:AF3"/>
    <mergeCell ref="B4:AF4"/>
    <mergeCell ref="B5:AF5"/>
    <mergeCell ref="B6:AF6"/>
    <mergeCell ref="B8:AF8"/>
    <mergeCell ref="B9:AF9"/>
    <mergeCell ref="B10:AF10"/>
    <mergeCell ref="D11:D13"/>
    <mergeCell ref="B12:C12"/>
    <mergeCell ref="AD12:AF12"/>
    <mergeCell ref="B16:B18"/>
    <mergeCell ref="C16:C18"/>
    <mergeCell ref="D16:D18"/>
    <mergeCell ref="E16:E18"/>
    <mergeCell ref="F16:F18"/>
    <mergeCell ref="S16:X16"/>
    <mergeCell ref="Y16:Y18"/>
    <mergeCell ref="Z16:AE16"/>
    <mergeCell ref="AF16:AF18"/>
    <mergeCell ref="G17:G18"/>
    <mergeCell ref="H17:H18"/>
    <mergeCell ref="I17:I18"/>
    <mergeCell ref="J17:J18"/>
    <mergeCell ref="K17:K18"/>
    <mergeCell ref="L17:L18"/>
    <mergeCell ref="G16:R16"/>
    <mergeCell ref="M17:M18"/>
    <mergeCell ref="N17:N18"/>
    <mergeCell ref="O17:O18"/>
    <mergeCell ref="P17:P18"/>
    <mergeCell ref="AD17:AD18"/>
    <mergeCell ref="AE17:AE18"/>
    <mergeCell ref="C71:D71"/>
    <mergeCell ref="C72:D72"/>
    <mergeCell ref="W17:W18"/>
    <mergeCell ref="X17:X18"/>
    <mergeCell ref="Z17:Z18"/>
    <mergeCell ref="AA17:AA18"/>
    <mergeCell ref="AB17:AB18"/>
    <mergeCell ref="AC17:AC18"/>
    <mergeCell ref="Q17:Q18"/>
    <mergeCell ref="R17:R18"/>
    <mergeCell ref="S17:S18"/>
    <mergeCell ref="T17:T18"/>
    <mergeCell ref="U17:U18"/>
    <mergeCell ref="V17:V18"/>
  </mergeCells>
  <printOptions horizontalCentered="1"/>
  <pageMargins left="0.39370078740157483" right="0.39370078740157483" top="0.39370078740157483" bottom="0.39370078740157483" header="0" footer="0.19685039370078741"/>
  <pageSetup paperSize="14" scale="41" fitToHeight="0" orientation="landscape" r:id="rId1"/>
  <headerFooter alignWithMargins="0">
    <oddHeader>&amp;R&amp;16
Sheet &amp;"Times New Roman,Bold"&amp;U&amp;P&amp;"Times New Roman,Regular"&amp;U of &amp;"Times New Roman,Bold"&amp;U&amp;N&amp;"Times New Roman,Regular"&amp;U Sheet/s</oddHead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>
    <tabColor rgb="FF7030A0"/>
  </sheetPr>
  <dimension ref="B2:N33"/>
  <sheetViews>
    <sheetView workbookViewId="0">
      <selection activeCell="C8" sqref="C8:C21"/>
    </sheetView>
  </sheetViews>
  <sheetFormatPr defaultRowHeight="15.75" x14ac:dyDescent="0.25"/>
  <cols>
    <col min="1" max="2" width="9" style="4"/>
    <col min="3" max="3" width="31.625" style="4" bestFit="1" customWidth="1"/>
    <col min="4" max="4" width="21.75" style="4" bestFit="1" customWidth="1"/>
    <col min="5" max="14" width="12.375" style="57" bestFit="1" customWidth="1"/>
    <col min="15" max="16384" width="9" style="4"/>
  </cols>
  <sheetData>
    <row r="2" spans="2:14" ht="27.75" customHeight="1" thickBot="1" x14ac:dyDescent="0.3">
      <c r="B2" s="785" t="s">
        <v>156</v>
      </c>
      <c r="C2" s="785"/>
      <c r="D2" s="785"/>
      <c r="E2" s="785"/>
      <c r="F2" s="785"/>
      <c r="G2" s="785"/>
      <c r="H2" s="785"/>
      <c r="I2" s="785"/>
      <c r="J2" s="785"/>
      <c r="K2" s="785"/>
      <c r="L2" s="785"/>
      <c r="M2" s="785"/>
      <c r="N2" s="785"/>
    </row>
    <row r="3" spans="2:14" ht="27.75" customHeight="1" thickBot="1" x14ac:dyDescent="0.3">
      <c r="B3" s="940" t="s">
        <v>119</v>
      </c>
      <c r="C3" s="940"/>
      <c r="D3" s="940"/>
      <c r="E3" s="940"/>
      <c r="F3" s="940"/>
      <c r="G3" s="940"/>
      <c r="H3" s="940"/>
      <c r="I3" s="940"/>
      <c r="J3" s="940"/>
      <c r="K3" s="940"/>
      <c r="L3" s="940"/>
      <c r="M3" s="940"/>
      <c r="N3" s="940"/>
    </row>
    <row r="4" spans="2:14" x14ac:dyDescent="0.25">
      <c r="B4" s="802" t="s">
        <v>6</v>
      </c>
      <c r="C4" s="806" t="s">
        <v>1</v>
      </c>
      <c r="D4" s="815" t="s">
        <v>2</v>
      </c>
      <c r="E4" s="780" t="s">
        <v>14</v>
      </c>
      <c r="F4" s="780" t="s">
        <v>54</v>
      </c>
      <c r="G4" s="802" t="s">
        <v>157</v>
      </c>
      <c r="H4" s="809" t="s">
        <v>153</v>
      </c>
      <c r="I4" s="810"/>
      <c r="J4" s="810"/>
      <c r="K4" s="810"/>
      <c r="L4" s="810"/>
      <c r="M4" s="810"/>
      <c r="N4" s="811"/>
    </row>
    <row r="5" spans="2:14" ht="16.5" thickBot="1" x14ac:dyDescent="0.3">
      <c r="B5" s="803"/>
      <c r="C5" s="807"/>
      <c r="D5" s="816"/>
      <c r="E5" s="781"/>
      <c r="F5" s="781"/>
      <c r="G5" s="803"/>
      <c r="H5" s="812"/>
      <c r="I5" s="813"/>
      <c r="J5" s="813"/>
      <c r="K5" s="813"/>
      <c r="L5" s="813"/>
      <c r="M5" s="813"/>
      <c r="N5" s="814"/>
    </row>
    <row r="6" spans="2:14" ht="16.5" thickBot="1" x14ac:dyDescent="0.3">
      <c r="B6" s="803"/>
      <c r="C6" s="807"/>
      <c r="D6" s="816"/>
      <c r="E6" s="781"/>
      <c r="F6" s="781"/>
      <c r="G6" s="804"/>
      <c r="H6" s="323" t="s">
        <v>150</v>
      </c>
      <c r="I6" s="319" t="s">
        <v>154</v>
      </c>
      <c r="J6" s="323" t="s">
        <v>151</v>
      </c>
      <c r="K6" s="319" t="s">
        <v>154</v>
      </c>
      <c r="L6" s="323" t="s">
        <v>152</v>
      </c>
      <c r="M6" s="319" t="s">
        <v>154</v>
      </c>
      <c r="N6" s="319" t="s">
        <v>155</v>
      </c>
    </row>
    <row r="7" spans="2:14" x14ac:dyDescent="0.25">
      <c r="B7" s="42"/>
      <c r="C7" s="320"/>
      <c r="D7" s="321"/>
      <c r="E7" s="322"/>
      <c r="F7" s="322"/>
      <c r="G7" s="55"/>
      <c r="H7" s="322"/>
      <c r="I7" s="55"/>
      <c r="J7" s="322"/>
      <c r="K7" s="55"/>
      <c r="L7" s="322"/>
      <c r="M7" s="55"/>
      <c r="N7" s="55"/>
    </row>
    <row r="8" spans="2:14" x14ac:dyDescent="0.25">
      <c r="B8" s="34">
        <v>1</v>
      </c>
      <c r="C8" s="184"/>
      <c r="D8" s="185"/>
      <c r="E8" s="225"/>
      <c r="F8" s="225"/>
      <c r="G8" s="328">
        <f>'CAFA - PAY'!I21/31</f>
        <v>0</v>
      </c>
      <c r="H8" s="313"/>
      <c r="I8" s="328">
        <f>ROUND(G8*H8,2)</f>
        <v>0</v>
      </c>
      <c r="J8" s="313"/>
      <c r="K8" s="328">
        <f>ROUND(G8/8*J8,2)</f>
        <v>0</v>
      </c>
      <c r="L8" s="313"/>
      <c r="M8" s="328">
        <f>ROUND(G8/8/60*L8,2)</f>
        <v>0</v>
      </c>
      <c r="N8" s="328">
        <f>I8+K8+M8</f>
        <v>0</v>
      </c>
    </row>
    <row r="9" spans="2:14" x14ac:dyDescent="0.25">
      <c r="B9" s="34">
        <f>+B8+1</f>
        <v>2</v>
      </c>
      <c r="C9" s="184"/>
      <c r="D9" s="185"/>
      <c r="E9" s="225"/>
      <c r="F9" s="225"/>
      <c r="G9" s="328">
        <f>'CAFA - PAY'!I22/31</f>
        <v>0</v>
      </c>
      <c r="H9" s="313"/>
      <c r="I9" s="328">
        <f>ROUND(G9*H9,2)</f>
        <v>0</v>
      </c>
      <c r="J9" s="313"/>
      <c r="K9" s="328">
        <f>ROUND(G9/8*J9,2)</f>
        <v>0</v>
      </c>
      <c r="L9" s="313"/>
      <c r="M9" s="328">
        <f>ROUND(G9/8/60*L9,2)</f>
        <v>0</v>
      </c>
      <c r="N9" s="328">
        <f>I9+K9+M9</f>
        <v>0</v>
      </c>
    </row>
    <row r="10" spans="2:14" x14ac:dyDescent="0.25">
      <c r="B10" s="34">
        <f>+B9+1</f>
        <v>3</v>
      </c>
      <c r="C10" s="184"/>
      <c r="D10" s="185"/>
      <c r="E10" s="225"/>
      <c r="F10" s="225"/>
      <c r="G10" s="328">
        <f>'CAFA - PAY'!I23/31</f>
        <v>0</v>
      </c>
      <c r="H10" s="313"/>
      <c r="I10" s="328">
        <f>ROUND(G10*H10,2)</f>
        <v>0</v>
      </c>
      <c r="J10" s="313"/>
      <c r="K10" s="328">
        <f>ROUND(G10/8*J10,2)</f>
        <v>0</v>
      </c>
      <c r="L10" s="313"/>
      <c r="M10" s="328">
        <f>ROUND(G10/8/60*L10,2)</f>
        <v>0</v>
      </c>
      <c r="N10" s="328">
        <f>I10+K10+M10</f>
        <v>0</v>
      </c>
    </row>
    <row r="11" spans="2:14" x14ac:dyDescent="0.25">
      <c r="B11" s="34">
        <f>+B10+1</f>
        <v>4</v>
      </c>
      <c r="C11" s="184"/>
      <c r="D11" s="185"/>
      <c r="E11" s="225"/>
      <c r="F11" s="225"/>
      <c r="G11" s="328">
        <f>'CAFA - PAY'!I24/31</f>
        <v>0</v>
      </c>
      <c r="H11" s="313"/>
      <c r="I11" s="328">
        <f>ROUND(G11*H11,2)</f>
        <v>0</v>
      </c>
      <c r="J11" s="313"/>
      <c r="K11" s="328">
        <f>ROUND(G11/8*J11,2)</f>
        <v>0</v>
      </c>
      <c r="L11" s="313"/>
      <c r="M11" s="328">
        <f>ROUND(G11/8/60*L11,2)</f>
        <v>0</v>
      </c>
      <c r="N11" s="328">
        <f>I11+K11+M11</f>
        <v>0</v>
      </c>
    </row>
    <row r="12" spans="2:14" x14ac:dyDescent="0.25">
      <c r="B12" s="34">
        <f>+B11+1</f>
        <v>5</v>
      </c>
      <c r="C12" s="184"/>
      <c r="D12" s="185"/>
      <c r="E12" s="225"/>
      <c r="F12" s="225"/>
      <c r="G12" s="328">
        <f>'CAFA - PAY'!I25/31</f>
        <v>0</v>
      </c>
      <c r="H12" s="313"/>
      <c r="I12" s="328">
        <f>ROUND(G12*H12,2)</f>
        <v>0</v>
      </c>
      <c r="J12" s="313"/>
      <c r="K12" s="328">
        <f>ROUND(G12/8*J12,2)</f>
        <v>0</v>
      </c>
      <c r="L12" s="313"/>
      <c r="M12" s="328">
        <f>ROUND(G12/8/60*L12,2)</f>
        <v>0</v>
      </c>
      <c r="N12" s="328">
        <f>I12+K12+M12</f>
        <v>0</v>
      </c>
    </row>
    <row r="13" spans="2:14" x14ac:dyDescent="0.25">
      <c r="B13" s="34">
        <f t="shared" ref="B13:B20" si="0">+B12+1</f>
        <v>6</v>
      </c>
      <c r="C13" s="184"/>
      <c r="D13" s="185"/>
      <c r="E13" s="225"/>
      <c r="F13" s="225"/>
      <c r="G13" s="328">
        <f>'CAFA - PAY'!I26/31</f>
        <v>0</v>
      </c>
      <c r="H13" s="313"/>
      <c r="I13" s="328">
        <f t="shared" ref="I13:I31" si="1">ROUND(G13*H13,2)</f>
        <v>0</v>
      </c>
      <c r="J13" s="313"/>
      <c r="K13" s="328">
        <f t="shared" ref="K13:K31" si="2">ROUND(G13/8*J13,2)</f>
        <v>0</v>
      </c>
      <c r="L13" s="313"/>
      <c r="M13" s="328">
        <f t="shared" ref="M13:M31" si="3">ROUND(G13/8/60*L13,2)</f>
        <v>0</v>
      </c>
      <c r="N13" s="328">
        <f t="shared" ref="N13:N31" si="4">I13+K13+M13</f>
        <v>0</v>
      </c>
    </row>
    <row r="14" spans="2:14" x14ac:dyDescent="0.25">
      <c r="B14" s="34">
        <f t="shared" si="0"/>
        <v>7</v>
      </c>
      <c r="C14" s="184"/>
      <c r="D14" s="185"/>
      <c r="E14" s="225"/>
      <c r="F14" s="225"/>
      <c r="G14" s="328">
        <f>'CAFA - PAY'!I27/31</f>
        <v>0</v>
      </c>
      <c r="H14" s="313"/>
      <c r="I14" s="328">
        <f t="shared" si="1"/>
        <v>0</v>
      </c>
      <c r="J14" s="313"/>
      <c r="K14" s="328">
        <f t="shared" si="2"/>
        <v>0</v>
      </c>
      <c r="L14" s="313"/>
      <c r="M14" s="328">
        <f t="shared" si="3"/>
        <v>0</v>
      </c>
      <c r="N14" s="328">
        <f t="shared" si="4"/>
        <v>0</v>
      </c>
    </row>
    <row r="15" spans="2:14" x14ac:dyDescent="0.25">
      <c r="B15" s="34">
        <f t="shared" si="0"/>
        <v>8</v>
      </c>
      <c r="C15" s="184"/>
      <c r="D15" s="185"/>
      <c r="E15" s="225"/>
      <c r="F15" s="225"/>
      <c r="G15" s="328">
        <f>'CAFA - PAY'!I28/31</f>
        <v>0</v>
      </c>
      <c r="H15" s="313"/>
      <c r="I15" s="328">
        <f t="shared" si="1"/>
        <v>0</v>
      </c>
      <c r="J15" s="313"/>
      <c r="K15" s="328">
        <f t="shared" si="2"/>
        <v>0</v>
      </c>
      <c r="L15" s="313"/>
      <c r="M15" s="328">
        <f t="shared" si="3"/>
        <v>0</v>
      </c>
      <c r="N15" s="328">
        <f t="shared" si="4"/>
        <v>0</v>
      </c>
    </row>
    <row r="16" spans="2:14" x14ac:dyDescent="0.25">
      <c r="B16" s="34">
        <f t="shared" si="0"/>
        <v>9</v>
      </c>
      <c r="C16" s="184"/>
      <c r="D16" s="185"/>
      <c r="E16" s="225"/>
      <c r="F16" s="225"/>
      <c r="G16" s="328">
        <f>'CAFA - PAY'!I29/31</f>
        <v>0</v>
      </c>
      <c r="H16" s="313"/>
      <c r="I16" s="328">
        <f t="shared" si="1"/>
        <v>0</v>
      </c>
      <c r="J16" s="313"/>
      <c r="K16" s="328">
        <f t="shared" si="2"/>
        <v>0</v>
      </c>
      <c r="L16" s="313"/>
      <c r="M16" s="328">
        <f t="shared" si="3"/>
        <v>0</v>
      </c>
      <c r="N16" s="328">
        <f t="shared" si="4"/>
        <v>0</v>
      </c>
    </row>
    <row r="17" spans="2:14" x14ac:dyDescent="0.25">
      <c r="B17" s="34">
        <f t="shared" si="0"/>
        <v>10</v>
      </c>
      <c r="C17" s="186"/>
      <c r="D17" s="185"/>
      <c r="E17" s="331"/>
      <c r="F17" s="331"/>
      <c r="G17" s="328">
        <f>'CAFA - PAY'!I30/31</f>
        <v>0</v>
      </c>
      <c r="H17" s="313"/>
      <c r="I17" s="328">
        <f t="shared" si="1"/>
        <v>0</v>
      </c>
      <c r="J17" s="313"/>
      <c r="K17" s="328">
        <f t="shared" si="2"/>
        <v>0</v>
      </c>
      <c r="L17" s="313"/>
      <c r="M17" s="328">
        <f t="shared" si="3"/>
        <v>0</v>
      </c>
      <c r="N17" s="328">
        <f t="shared" si="4"/>
        <v>0</v>
      </c>
    </row>
    <row r="18" spans="2:14" x14ac:dyDescent="0.25">
      <c r="B18" s="34">
        <f t="shared" si="0"/>
        <v>11</v>
      </c>
      <c r="C18" s="186"/>
      <c r="D18" s="185"/>
      <c r="E18" s="331"/>
      <c r="F18" s="331"/>
      <c r="G18" s="328">
        <f>'CAFA - PAY'!I31/31</f>
        <v>0</v>
      </c>
      <c r="H18" s="313"/>
      <c r="I18" s="328">
        <f t="shared" si="1"/>
        <v>0</v>
      </c>
      <c r="J18" s="313"/>
      <c r="K18" s="328">
        <f t="shared" si="2"/>
        <v>0</v>
      </c>
      <c r="L18" s="313"/>
      <c r="M18" s="328">
        <f t="shared" si="3"/>
        <v>0</v>
      </c>
      <c r="N18" s="328">
        <f t="shared" si="4"/>
        <v>0</v>
      </c>
    </row>
    <row r="19" spans="2:14" x14ac:dyDescent="0.25">
      <c r="B19" s="34">
        <f t="shared" si="0"/>
        <v>12</v>
      </c>
      <c r="C19" s="186"/>
      <c r="D19" s="185"/>
      <c r="E19" s="225"/>
      <c r="F19" s="225"/>
      <c r="G19" s="328">
        <f>'CAFA - PAY'!I32/31</f>
        <v>0</v>
      </c>
      <c r="H19" s="313"/>
      <c r="I19" s="328">
        <f t="shared" si="1"/>
        <v>0</v>
      </c>
      <c r="J19" s="313"/>
      <c r="K19" s="328">
        <f t="shared" si="2"/>
        <v>0</v>
      </c>
      <c r="L19" s="313"/>
      <c r="M19" s="328">
        <f t="shared" si="3"/>
        <v>0</v>
      </c>
      <c r="N19" s="328">
        <f t="shared" si="4"/>
        <v>0</v>
      </c>
    </row>
    <row r="20" spans="2:14" x14ac:dyDescent="0.25">
      <c r="B20" s="34">
        <f t="shared" si="0"/>
        <v>13</v>
      </c>
      <c r="C20" s="186"/>
      <c r="D20" s="185"/>
      <c r="E20" s="331"/>
      <c r="F20" s="331"/>
      <c r="G20" s="328">
        <f>'CAFA - PAY'!I33/31</f>
        <v>0</v>
      </c>
      <c r="H20" s="313"/>
      <c r="I20" s="328">
        <f t="shared" si="1"/>
        <v>0</v>
      </c>
      <c r="J20" s="313"/>
      <c r="K20" s="328">
        <f t="shared" si="2"/>
        <v>0</v>
      </c>
      <c r="L20" s="313"/>
      <c r="M20" s="328">
        <f t="shared" si="3"/>
        <v>0</v>
      </c>
      <c r="N20" s="328">
        <f t="shared" si="4"/>
        <v>0</v>
      </c>
    </row>
    <row r="21" spans="2:14" x14ac:dyDescent="0.25">
      <c r="B21" s="34">
        <f t="shared" ref="B21:B30" si="5">+B10+1</f>
        <v>4</v>
      </c>
      <c r="C21" s="186"/>
      <c r="D21" s="185"/>
      <c r="E21" s="225"/>
      <c r="F21" s="225"/>
      <c r="G21" s="328">
        <f>'CAFA - PAY'!I24/31</f>
        <v>0</v>
      </c>
      <c r="H21" s="313"/>
      <c r="I21" s="328">
        <f t="shared" ref="I21:I30" si="6">ROUND(G21*H21,2)</f>
        <v>0</v>
      </c>
      <c r="J21" s="313"/>
      <c r="K21" s="328">
        <f t="shared" ref="K21:K30" si="7">ROUND(G21/8*J21,2)</f>
        <v>0</v>
      </c>
      <c r="L21" s="313"/>
      <c r="M21" s="328">
        <f t="shared" ref="M21:M30" si="8">ROUND(G21/8/60*L21,2)</f>
        <v>0</v>
      </c>
      <c r="N21" s="328">
        <f t="shared" ref="N21:N30" si="9">I21+K21+M21</f>
        <v>0</v>
      </c>
    </row>
    <row r="22" spans="2:14" x14ac:dyDescent="0.25">
      <c r="B22" s="34">
        <f t="shared" si="5"/>
        <v>5</v>
      </c>
      <c r="C22" s="186"/>
      <c r="D22" s="185"/>
      <c r="E22" s="225"/>
      <c r="F22" s="225"/>
      <c r="G22" s="328">
        <f>'CAFA - PAY'!I25/31</f>
        <v>0</v>
      </c>
      <c r="H22" s="313"/>
      <c r="I22" s="328">
        <f t="shared" si="6"/>
        <v>0</v>
      </c>
      <c r="J22" s="313"/>
      <c r="K22" s="328">
        <f t="shared" si="7"/>
        <v>0</v>
      </c>
      <c r="L22" s="313"/>
      <c r="M22" s="328">
        <f t="shared" si="8"/>
        <v>0</v>
      </c>
      <c r="N22" s="328">
        <f t="shared" si="9"/>
        <v>0</v>
      </c>
    </row>
    <row r="23" spans="2:14" x14ac:dyDescent="0.25">
      <c r="B23" s="34">
        <f t="shared" si="5"/>
        <v>6</v>
      </c>
      <c r="C23" s="186"/>
      <c r="D23" s="185"/>
      <c r="E23" s="225"/>
      <c r="F23" s="225"/>
      <c r="G23" s="328">
        <f>'CAFA - PAY'!I26/31</f>
        <v>0</v>
      </c>
      <c r="H23" s="313"/>
      <c r="I23" s="328">
        <f t="shared" si="6"/>
        <v>0</v>
      </c>
      <c r="J23" s="313"/>
      <c r="K23" s="328">
        <f t="shared" si="7"/>
        <v>0</v>
      </c>
      <c r="L23" s="313"/>
      <c r="M23" s="328">
        <f t="shared" si="8"/>
        <v>0</v>
      </c>
      <c r="N23" s="328">
        <f t="shared" si="9"/>
        <v>0</v>
      </c>
    </row>
    <row r="24" spans="2:14" x14ac:dyDescent="0.25">
      <c r="B24" s="34">
        <f t="shared" si="5"/>
        <v>7</v>
      </c>
      <c r="C24" s="186"/>
      <c r="D24" s="185"/>
      <c r="E24" s="225"/>
      <c r="F24" s="225"/>
      <c r="G24" s="328">
        <f>'CAFA - PAY'!I27/31</f>
        <v>0</v>
      </c>
      <c r="H24" s="313"/>
      <c r="I24" s="328">
        <f t="shared" si="6"/>
        <v>0</v>
      </c>
      <c r="J24" s="313"/>
      <c r="K24" s="328">
        <f t="shared" si="7"/>
        <v>0</v>
      </c>
      <c r="L24" s="313"/>
      <c r="M24" s="328">
        <f t="shared" si="8"/>
        <v>0</v>
      </c>
      <c r="N24" s="328">
        <f t="shared" si="9"/>
        <v>0</v>
      </c>
    </row>
    <row r="25" spans="2:14" x14ac:dyDescent="0.25">
      <c r="B25" s="34">
        <f t="shared" si="5"/>
        <v>8</v>
      </c>
      <c r="C25" s="186"/>
      <c r="D25" s="185"/>
      <c r="E25" s="225"/>
      <c r="F25" s="225"/>
      <c r="G25" s="328">
        <f>'CAFA - PAY'!I28/31</f>
        <v>0</v>
      </c>
      <c r="H25" s="313"/>
      <c r="I25" s="328">
        <f t="shared" si="6"/>
        <v>0</v>
      </c>
      <c r="J25" s="313"/>
      <c r="K25" s="328">
        <f t="shared" si="7"/>
        <v>0</v>
      </c>
      <c r="L25" s="313"/>
      <c r="M25" s="328">
        <f t="shared" si="8"/>
        <v>0</v>
      </c>
      <c r="N25" s="328">
        <f t="shared" si="9"/>
        <v>0</v>
      </c>
    </row>
    <row r="26" spans="2:14" x14ac:dyDescent="0.25">
      <c r="B26" s="34">
        <f t="shared" si="5"/>
        <v>9</v>
      </c>
      <c r="C26" s="186"/>
      <c r="D26" s="185"/>
      <c r="E26" s="225"/>
      <c r="F26" s="225"/>
      <c r="G26" s="328">
        <f>'CAFA - PAY'!I29/31</f>
        <v>0</v>
      </c>
      <c r="H26" s="313"/>
      <c r="I26" s="328">
        <f t="shared" si="6"/>
        <v>0</v>
      </c>
      <c r="J26" s="313"/>
      <c r="K26" s="328">
        <f t="shared" si="7"/>
        <v>0</v>
      </c>
      <c r="L26" s="313"/>
      <c r="M26" s="328">
        <f t="shared" si="8"/>
        <v>0</v>
      </c>
      <c r="N26" s="328">
        <f t="shared" si="9"/>
        <v>0</v>
      </c>
    </row>
    <row r="27" spans="2:14" x14ac:dyDescent="0.25">
      <c r="B27" s="34">
        <f t="shared" si="5"/>
        <v>10</v>
      </c>
      <c r="C27" s="186"/>
      <c r="D27" s="185"/>
      <c r="E27" s="225"/>
      <c r="F27" s="225"/>
      <c r="G27" s="328">
        <f>'CAFA - PAY'!I30/31</f>
        <v>0</v>
      </c>
      <c r="H27" s="313"/>
      <c r="I27" s="328">
        <f t="shared" si="6"/>
        <v>0</v>
      </c>
      <c r="J27" s="313"/>
      <c r="K27" s="328">
        <f t="shared" si="7"/>
        <v>0</v>
      </c>
      <c r="L27" s="313"/>
      <c r="M27" s="328">
        <f t="shared" si="8"/>
        <v>0</v>
      </c>
      <c r="N27" s="328">
        <f t="shared" si="9"/>
        <v>0</v>
      </c>
    </row>
    <row r="28" spans="2:14" x14ac:dyDescent="0.25">
      <c r="B28" s="34">
        <f t="shared" si="5"/>
        <v>11</v>
      </c>
      <c r="C28" s="186"/>
      <c r="D28" s="185"/>
      <c r="E28" s="225"/>
      <c r="F28" s="225"/>
      <c r="G28" s="328">
        <f>'CAFA - PAY'!I31/31</f>
        <v>0</v>
      </c>
      <c r="H28" s="313"/>
      <c r="I28" s="328">
        <f t="shared" si="6"/>
        <v>0</v>
      </c>
      <c r="J28" s="313"/>
      <c r="K28" s="328">
        <f t="shared" si="7"/>
        <v>0</v>
      </c>
      <c r="L28" s="313"/>
      <c r="M28" s="328">
        <f t="shared" si="8"/>
        <v>0</v>
      </c>
      <c r="N28" s="328">
        <f t="shared" si="9"/>
        <v>0</v>
      </c>
    </row>
    <row r="29" spans="2:14" x14ac:dyDescent="0.25">
      <c r="B29" s="34">
        <f t="shared" si="5"/>
        <v>12</v>
      </c>
      <c r="C29" s="186"/>
      <c r="D29" s="185"/>
      <c r="E29" s="225"/>
      <c r="F29" s="225"/>
      <c r="G29" s="328">
        <f>'CAFA - PAY'!I32/31</f>
        <v>0</v>
      </c>
      <c r="H29" s="313"/>
      <c r="I29" s="328">
        <f t="shared" si="6"/>
        <v>0</v>
      </c>
      <c r="J29" s="313"/>
      <c r="K29" s="328">
        <f t="shared" si="7"/>
        <v>0</v>
      </c>
      <c r="L29" s="313"/>
      <c r="M29" s="328">
        <f t="shared" si="8"/>
        <v>0</v>
      </c>
      <c r="N29" s="328">
        <f t="shared" si="9"/>
        <v>0</v>
      </c>
    </row>
    <row r="30" spans="2:14" x14ac:dyDescent="0.25">
      <c r="B30" s="34">
        <f t="shared" si="5"/>
        <v>13</v>
      </c>
      <c r="C30" s="186"/>
      <c r="D30" s="185"/>
      <c r="E30" s="225"/>
      <c r="F30" s="225"/>
      <c r="G30" s="328">
        <f>'CAFA - PAY'!I33/31</f>
        <v>0</v>
      </c>
      <c r="H30" s="313"/>
      <c r="I30" s="328">
        <f t="shared" si="6"/>
        <v>0</v>
      </c>
      <c r="J30" s="313"/>
      <c r="K30" s="328">
        <f t="shared" si="7"/>
        <v>0</v>
      </c>
      <c r="L30" s="313"/>
      <c r="M30" s="328">
        <f t="shared" si="8"/>
        <v>0</v>
      </c>
      <c r="N30" s="328">
        <f t="shared" si="9"/>
        <v>0</v>
      </c>
    </row>
    <row r="31" spans="2:14" x14ac:dyDescent="0.25">
      <c r="B31" s="34">
        <f>+B20+1</f>
        <v>14</v>
      </c>
      <c r="C31" s="186"/>
      <c r="D31" s="185"/>
      <c r="E31" s="225"/>
      <c r="F31" s="225"/>
      <c r="G31" s="328">
        <f>'CAFA - PAY'!I44/31</f>
        <v>0</v>
      </c>
      <c r="H31" s="313"/>
      <c r="I31" s="328">
        <f t="shared" si="1"/>
        <v>0</v>
      </c>
      <c r="J31" s="313"/>
      <c r="K31" s="328">
        <f t="shared" si="2"/>
        <v>0</v>
      </c>
      <c r="L31" s="313"/>
      <c r="M31" s="328">
        <f t="shared" si="3"/>
        <v>0</v>
      </c>
      <c r="N31" s="328">
        <f t="shared" si="4"/>
        <v>0</v>
      </c>
    </row>
    <row r="32" spans="2:14" ht="16.5" thickBot="1" x14ac:dyDescent="0.3">
      <c r="B32" s="180"/>
      <c r="C32" s="181"/>
      <c r="D32" s="29"/>
      <c r="E32" s="329"/>
      <c r="F32" s="327">
        <f>SUM(F8:F31)</f>
        <v>0</v>
      </c>
      <c r="G32" s="327"/>
      <c r="H32" s="327"/>
      <c r="I32" s="327">
        <f>SUM(I8:I31)</f>
        <v>0</v>
      </c>
      <c r="J32" s="327"/>
      <c r="K32" s="327">
        <f>SUM(K8:K31)</f>
        <v>0</v>
      </c>
      <c r="L32" s="327"/>
      <c r="M32" s="327">
        <f>SUM(M8:M31)</f>
        <v>0</v>
      </c>
      <c r="N32" s="327">
        <f>SUM(N8:N31)</f>
        <v>0</v>
      </c>
    </row>
    <row r="33" spans="5:14" x14ac:dyDescent="0.25">
      <c r="E33" s="205"/>
      <c r="F33" s="205">
        <f>F32-'CAFA - PAY'!L46</f>
        <v>0</v>
      </c>
      <c r="G33" s="205"/>
      <c r="H33" s="205"/>
      <c r="I33" s="205"/>
      <c r="J33" s="205"/>
      <c r="K33" s="205"/>
      <c r="L33" s="205"/>
      <c r="M33" s="205"/>
      <c r="N33" s="205">
        <f>N32-'CAFA - PAY'!J46</f>
        <v>0</v>
      </c>
    </row>
  </sheetData>
  <mergeCells count="9">
    <mergeCell ref="H4:N5"/>
    <mergeCell ref="B2:N2"/>
    <mergeCell ref="B3:N3"/>
    <mergeCell ref="G4:G6"/>
    <mergeCell ref="B4:B6"/>
    <mergeCell ref="C4:C6"/>
    <mergeCell ref="D4:D6"/>
    <mergeCell ref="F4:F6"/>
    <mergeCell ref="E4:E6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>
    <tabColor rgb="FF7030A0"/>
    <pageSetUpPr fitToPage="1"/>
  </sheetPr>
  <dimension ref="A1:Z65"/>
  <sheetViews>
    <sheetView showWhiteSpace="0" topLeftCell="A15" zoomScaleNormal="100" zoomScaleSheetLayoutView="100" workbookViewId="0">
      <selection activeCell="A27" sqref="A27:XFD27"/>
    </sheetView>
  </sheetViews>
  <sheetFormatPr defaultRowHeight="30.75" x14ac:dyDescent="0.25"/>
  <cols>
    <col min="1" max="1" width="9.375" style="31" customWidth="1"/>
    <col min="2" max="2" width="6.75" style="4" customWidth="1"/>
    <col min="3" max="3" width="24.625" style="4" customWidth="1"/>
    <col min="4" max="4" width="12.875" style="4" customWidth="1"/>
    <col min="5" max="5" width="9.625" style="57" customWidth="1"/>
    <col min="6" max="6" width="13.375" style="4" customWidth="1"/>
    <col min="7" max="7" width="8.5" style="4" customWidth="1"/>
    <col min="8" max="8" width="9.75" style="4" customWidth="1"/>
    <col min="9" max="9" width="13.125" style="4" customWidth="1"/>
    <col min="10" max="10" width="11.125" style="4" customWidth="1"/>
    <col min="11" max="11" width="12.625" style="4" customWidth="1"/>
    <col min="12" max="13" width="11.5" style="4" customWidth="1"/>
    <col min="14" max="14" width="10.375" style="4" customWidth="1"/>
    <col min="15" max="15" width="11" style="4" bestFit="1" customWidth="1"/>
    <col min="16" max="16" width="11.875" style="4" customWidth="1"/>
    <col min="17" max="17" width="15.125" style="4" bestFit="1" customWidth="1"/>
    <col min="18" max="18" width="13.125" style="4" customWidth="1"/>
    <col min="19" max="19" width="12.75" style="4" customWidth="1"/>
    <col min="20" max="20" width="12.125" style="4" bestFit="1" customWidth="1"/>
    <col min="21" max="21" width="3.75" style="57" customWidth="1"/>
    <col min="22" max="22" width="14.25" style="4" customWidth="1"/>
    <col min="23" max="23" width="10.625" style="4" customWidth="1"/>
    <col min="24" max="24" width="11.625" style="4" bestFit="1" customWidth="1"/>
    <col min="25" max="25" width="11" style="4" bestFit="1" customWidth="1"/>
    <col min="26" max="26" width="5.625" style="4" customWidth="1"/>
    <col min="27" max="16384" width="9" style="4"/>
  </cols>
  <sheetData>
    <row r="1" spans="1:25" ht="23.25" customHeight="1" x14ac:dyDescent="0.25">
      <c r="A1" s="98">
        <v>94</v>
      </c>
      <c r="Q1" s="5"/>
      <c r="R1" s="5"/>
      <c r="S1" s="5"/>
      <c r="T1" s="5"/>
      <c r="U1" s="52"/>
      <c r="V1" s="3"/>
      <c r="W1" s="3"/>
    </row>
    <row r="2" spans="1:25" ht="23.25" x14ac:dyDescent="0.25">
      <c r="A2" s="98"/>
      <c r="Q2" s="5"/>
      <c r="R2" s="5"/>
      <c r="S2" s="5"/>
      <c r="T2" s="5"/>
      <c r="U2" s="53"/>
      <c r="V2" s="2"/>
      <c r="W2" s="2"/>
      <c r="X2" s="864" t="s">
        <v>40</v>
      </c>
      <c r="Y2" s="864"/>
    </row>
    <row r="3" spans="1:25" ht="15.75" customHeight="1" x14ac:dyDescent="0.25">
      <c r="A3" s="98"/>
      <c r="B3" s="877" t="s">
        <v>42</v>
      </c>
      <c r="C3" s="877"/>
      <c r="D3" s="877"/>
      <c r="E3" s="877"/>
      <c r="F3" s="877"/>
      <c r="G3" s="877"/>
      <c r="H3" s="877"/>
      <c r="I3" s="877"/>
      <c r="J3" s="877"/>
      <c r="K3" s="877"/>
      <c r="L3" s="877"/>
      <c r="M3" s="877"/>
      <c r="N3" s="877"/>
      <c r="O3" s="877"/>
      <c r="P3" s="877"/>
      <c r="Q3" s="877"/>
      <c r="R3" s="877"/>
      <c r="S3" s="877"/>
      <c r="T3" s="877"/>
      <c r="U3" s="877"/>
      <c r="V3" s="877"/>
      <c r="W3" s="877"/>
      <c r="X3" s="877"/>
      <c r="Y3" s="877"/>
    </row>
    <row r="4" spans="1:25" ht="15.75" customHeight="1" x14ac:dyDescent="0.25">
      <c r="A4" s="98"/>
      <c r="B4" s="878" t="s">
        <v>43</v>
      </c>
      <c r="C4" s="878"/>
      <c r="D4" s="878"/>
      <c r="E4" s="878"/>
      <c r="F4" s="878"/>
      <c r="G4" s="878"/>
      <c r="H4" s="878"/>
      <c r="I4" s="878"/>
      <c r="J4" s="878"/>
      <c r="K4" s="878"/>
      <c r="L4" s="878"/>
      <c r="M4" s="878"/>
      <c r="N4" s="878"/>
      <c r="O4" s="878"/>
      <c r="P4" s="878"/>
      <c r="Q4" s="878"/>
      <c r="R4" s="878"/>
      <c r="S4" s="878"/>
      <c r="T4" s="878"/>
      <c r="U4" s="878"/>
      <c r="V4" s="878"/>
      <c r="W4" s="878"/>
      <c r="X4" s="878"/>
      <c r="Y4" s="878"/>
    </row>
    <row r="5" spans="1:25" ht="15.75" customHeight="1" x14ac:dyDescent="0.25">
      <c r="A5" s="98"/>
      <c r="B5" s="878" t="s">
        <v>44</v>
      </c>
      <c r="C5" s="878"/>
      <c r="D5" s="878"/>
      <c r="E5" s="878"/>
      <c r="F5" s="878"/>
      <c r="G5" s="878"/>
      <c r="H5" s="878"/>
      <c r="I5" s="878"/>
      <c r="J5" s="878"/>
      <c r="K5" s="878"/>
      <c r="L5" s="878"/>
      <c r="M5" s="878"/>
      <c r="N5" s="878"/>
      <c r="O5" s="878"/>
      <c r="P5" s="878"/>
      <c r="Q5" s="878"/>
      <c r="R5" s="878"/>
      <c r="S5" s="878"/>
      <c r="T5" s="878"/>
      <c r="U5" s="878"/>
      <c r="V5" s="878"/>
      <c r="W5" s="878"/>
      <c r="X5" s="878"/>
      <c r="Y5" s="878"/>
    </row>
    <row r="6" spans="1:25" ht="15.75" customHeight="1" x14ac:dyDescent="0.25">
      <c r="A6" s="98"/>
      <c r="B6" s="877" t="s">
        <v>45</v>
      </c>
      <c r="C6" s="877"/>
      <c r="D6" s="877"/>
      <c r="E6" s="877"/>
      <c r="F6" s="877"/>
      <c r="G6" s="877"/>
      <c r="H6" s="877"/>
      <c r="I6" s="877"/>
      <c r="J6" s="877"/>
      <c r="K6" s="877"/>
      <c r="L6" s="877"/>
      <c r="M6" s="877"/>
      <c r="N6" s="877"/>
      <c r="O6" s="877"/>
      <c r="P6" s="877"/>
      <c r="Q6" s="877"/>
      <c r="R6" s="877"/>
      <c r="S6" s="877"/>
      <c r="T6" s="877"/>
      <c r="U6" s="877"/>
      <c r="V6" s="877"/>
      <c r="W6" s="877"/>
      <c r="X6" s="877"/>
      <c r="Y6" s="877"/>
    </row>
    <row r="7" spans="1:25" ht="15.75" customHeight="1" x14ac:dyDescent="0.25">
      <c r="A7" s="98"/>
      <c r="Q7" s="2"/>
      <c r="R7" s="2"/>
      <c r="S7" s="2"/>
      <c r="T7" s="2"/>
      <c r="U7" s="53"/>
      <c r="V7" s="2"/>
      <c r="W7" s="2"/>
      <c r="X7" s="2"/>
      <c r="Y7" s="2"/>
    </row>
    <row r="8" spans="1:25" ht="22.5" x14ac:dyDescent="0.25">
      <c r="A8" s="98"/>
      <c r="B8" s="882" t="s">
        <v>13</v>
      </c>
      <c r="C8" s="882"/>
      <c r="D8" s="882"/>
      <c r="E8" s="882"/>
      <c r="F8" s="882"/>
      <c r="G8" s="882"/>
      <c r="H8" s="882"/>
      <c r="I8" s="882"/>
      <c r="J8" s="882"/>
      <c r="K8" s="882"/>
      <c r="L8" s="882"/>
      <c r="M8" s="882"/>
      <c r="N8" s="882"/>
      <c r="O8" s="882"/>
      <c r="P8" s="882"/>
      <c r="Q8" s="882"/>
      <c r="R8" s="882"/>
      <c r="S8" s="882"/>
      <c r="T8" s="882"/>
      <c r="U8" s="882"/>
      <c r="V8" s="882"/>
      <c r="W8" s="882"/>
      <c r="X8" s="882"/>
      <c r="Y8" s="882"/>
    </row>
    <row r="9" spans="1:25" ht="20.25" x14ac:dyDescent="0.25">
      <c r="A9" s="98"/>
      <c r="B9" s="867" t="s">
        <v>143</v>
      </c>
      <c r="C9" s="867"/>
      <c r="D9" s="867"/>
      <c r="E9" s="867"/>
      <c r="F9" s="867"/>
      <c r="G9" s="867"/>
      <c r="H9" s="867"/>
      <c r="I9" s="867"/>
      <c r="J9" s="867"/>
      <c r="K9" s="867"/>
      <c r="L9" s="867"/>
      <c r="M9" s="867"/>
      <c r="N9" s="867"/>
      <c r="O9" s="867"/>
      <c r="P9" s="867"/>
      <c r="Q9" s="867"/>
      <c r="R9" s="867"/>
      <c r="S9" s="867"/>
      <c r="T9" s="867"/>
      <c r="U9" s="867"/>
      <c r="V9" s="867"/>
      <c r="W9" s="867"/>
      <c r="X9" s="867"/>
      <c r="Y9" s="867"/>
    </row>
    <row r="10" spans="1:25" ht="20.25" x14ac:dyDescent="0.25">
      <c r="A10" s="98"/>
      <c r="B10" s="879" t="s">
        <v>41</v>
      </c>
      <c r="C10" s="879"/>
      <c r="D10" s="879"/>
      <c r="E10" s="879"/>
      <c r="F10" s="879"/>
      <c r="G10" s="879"/>
      <c r="H10" s="879"/>
      <c r="I10" s="879"/>
      <c r="J10" s="879"/>
      <c r="K10" s="879"/>
      <c r="L10" s="879"/>
      <c r="M10" s="879"/>
      <c r="N10" s="879"/>
      <c r="O10" s="879"/>
      <c r="P10" s="879"/>
      <c r="Q10" s="879"/>
      <c r="R10" s="879"/>
      <c r="S10" s="879"/>
      <c r="T10" s="879"/>
      <c r="U10" s="879"/>
      <c r="V10" s="879"/>
      <c r="W10" s="879"/>
      <c r="X10" s="879"/>
      <c r="Y10" s="879"/>
    </row>
    <row r="11" spans="1:25" ht="20.25" x14ac:dyDescent="0.25">
      <c r="A11" s="98"/>
      <c r="B11" s="879" t="s">
        <v>138</v>
      </c>
      <c r="C11" s="879"/>
      <c r="D11" s="879"/>
      <c r="E11" s="879"/>
      <c r="F11" s="879"/>
      <c r="G11" s="879"/>
      <c r="H11" s="879"/>
      <c r="I11" s="879"/>
      <c r="J11" s="879"/>
      <c r="K11" s="879"/>
      <c r="L11" s="879"/>
      <c r="M11" s="879"/>
      <c r="N11" s="879"/>
      <c r="O11" s="879"/>
      <c r="P11" s="879"/>
      <c r="Q11" s="879"/>
      <c r="R11" s="879"/>
      <c r="S11" s="879"/>
      <c r="T11" s="879"/>
      <c r="U11" s="879"/>
      <c r="V11" s="879"/>
      <c r="W11" s="879"/>
      <c r="X11" s="879"/>
      <c r="Y11" s="879"/>
    </row>
    <row r="12" spans="1:25" ht="15.75" x14ac:dyDescent="0.25">
      <c r="A12" s="98"/>
      <c r="B12" s="9"/>
      <c r="C12" s="6"/>
      <c r="D12" s="866" t="s">
        <v>106</v>
      </c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</row>
    <row r="13" spans="1:25" s="8" customFormat="1" ht="24.95" customHeight="1" x14ac:dyDescent="0.25">
      <c r="A13" s="98"/>
      <c r="B13" s="865" t="s">
        <v>88</v>
      </c>
      <c r="C13" s="865"/>
      <c r="D13" s="867"/>
      <c r="E13" s="178"/>
      <c r="F13" s="169"/>
      <c r="G13" s="169"/>
      <c r="H13" s="169"/>
      <c r="I13" s="169"/>
      <c r="J13" s="169"/>
      <c r="K13" s="169"/>
      <c r="L13" s="169"/>
      <c r="M13" s="169"/>
      <c r="N13" s="169"/>
      <c r="O13" s="169"/>
      <c r="P13" s="169"/>
      <c r="Q13" s="9"/>
      <c r="R13" s="9"/>
      <c r="S13" s="9"/>
      <c r="T13" s="9"/>
      <c r="U13" s="169" t="s">
        <v>103</v>
      </c>
      <c r="V13" s="169"/>
      <c r="W13" s="832" t="str">
        <f>SUMMARY!B14</f>
        <v>2026-01-020</v>
      </c>
      <c r="X13" s="832"/>
      <c r="Y13" s="832"/>
    </row>
    <row r="14" spans="1:25" s="8" customFormat="1" ht="24.95" customHeight="1" x14ac:dyDescent="0.25">
      <c r="A14" s="98"/>
      <c r="B14" s="9"/>
      <c r="C14" s="9"/>
      <c r="D14" s="867"/>
      <c r="E14" s="6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169"/>
      <c r="V14" s="169"/>
      <c r="W14" s="9"/>
      <c r="X14" s="9"/>
      <c r="Y14" s="9"/>
    </row>
    <row r="15" spans="1:25" s="8" customFormat="1" ht="15.75" customHeight="1" x14ac:dyDescent="0.25">
      <c r="A15" s="98"/>
      <c r="B15" s="872" t="s">
        <v>0</v>
      </c>
      <c r="C15" s="872"/>
      <c r="D15" s="872"/>
      <c r="E15" s="872"/>
      <c r="F15" s="872"/>
      <c r="G15" s="872"/>
      <c r="H15" s="872"/>
      <c r="I15" s="872"/>
      <c r="J15" s="872"/>
      <c r="K15" s="872"/>
      <c r="L15" s="872"/>
      <c r="M15" s="872"/>
      <c r="N15" s="872"/>
      <c r="O15" s="872"/>
      <c r="P15" s="872"/>
      <c r="Q15" s="872"/>
      <c r="R15" s="872"/>
      <c r="S15" s="872"/>
      <c r="T15" s="872"/>
      <c r="U15" s="872"/>
      <c r="V15" s="872"/>
      <c r="W15" s="872"/>
      <c r="X15" s="872"/>
      <c r="Y15" s="872"/>
    </row>
    <row r="16" spans="1:25" ht="9" customHeight="1" thickBot="1" x14ac:dyDescent="0.3">
      <c r="A16" s="98"/>
      <c r="B16" s="9"/>
      <c r="C16" s="10"/>
      <c r="D16" s="10"/>
      <c r="E16" s="54"/>
      <c r="F16" s="10"/>
      <c r="G16" s="10"/>
      <c r="H16" s="10"/>
      <c r="I16" s="10"/>
      <c r="J16" s="9"/>
      <c r="K16" s="9"/>
      <c r="L16" s="9"/>
      <c r="M16" s="9"/>
      <c r="N16" s="9"/>
      <c r="O16" s="9"/>
      <c r="P16" s="9"/>
      <c r="Q16" s="10"/>
      <c r="R16" s="10"/>
      <c r="S16" s="10"/>
      <c r="T16" s="10"/>
      <c r="U16" s="54"/>
      <c r="V16" s="10"/>
      <c r="W16" s="10"/>
      <c r="X16" s="10"/>
      <c r="Y16" s="10"/>
    </row>
    <row r="17" spans="1:26" ht="16.5" customHeight="1" thickBot="1" x14ac:dyDescent="0.3">
      <c r="A17" s="98"/>
      <c r="B17" s="802" t="s">
        <v>6</v>
      </c>
      <c r="C17" s="777" t="s">
        <v>1</v>
      </c>
      <c r="D17" s="777" t="s">
        <v>2</v>
      </c>
      <c r="E17" s="802" t="s">
        <v>14</v>
      </c>
      <c r="F17" s="841" t="s">
        <v>4</v>
      </c>
      <c r="G17" s="833"/>
      <c r="H17" s="833"/>
      <c r="I17" s="833"/>
      <c r="J17" s="833"/>
      <c r="K17" s="834"/>
      <c r="L17" s="833" t="s">
        <v>3</v>
      </c>
      <c r="M17" s="833"/>
      <c r="N17" s="833"/>
      <c r="O17" s="833"/>
      <c r="P17" s="833"/>
      <c r="Q17" s="834"/>
      <c r="R17" s="802" t="s">
        <v>16</v>
      </c>
      <c r="S17" s="856" t="s">
        <v>51</v>
      </c>
      <c r="T17" s="861" t="s">
        <v>52</v>
      </c>
      <c r="U17" s="777" t="s">
        <v>59</v>
      </c>
      <c r="V17" s="841" t="s">
        <v>60</v>
      </c>
      <c r="W17" s="833"/>
      <c r="X17" s="833"/>
      <c r="Y17" s="834"/>
      <c r="Z17" s="11"/>
    </row>
    <row r="18" spans="1:26" ht="19.5" customHeight="1" x14ac:dyDescent="0.25">
      <c r="A18" s="98"/>
      <c r="B18" s="803"/>
      <c r="C18" s="778"/>
      <c r="D18" s="778"/>
      <c r="E18" s="803"/>
      <c r="F18" s="844" t="s">
        <v>48</v>
      </c>
      <c r="G18" s="887" t="s">
        <v>50</v>
      </c>
      <c r="H18" s="892" t="s">
        <v>49</v>
      </c>
      <c r="I18" s="859" t="s">
        <v>5</v>
      </c>
      <c r="J18" s="859" t="s">
        <v>53</v>
      </c>
      <c r="K18" s="848" t="s">
        <v>137</v>
      </c>
      <c r="L18" s="873" t="s">
        <v>54</v>
      </c>
      <c r="M18" s="859" t="s">
        <v>55</v>
      </c>
      <c r="N18" s="859" t="s">
        <v>56</v>
      </c>
      <c r="O18" s="890" t="s">
        <v>57</v>
      </c>
      <c r="P18" s="859" t="s">
        <v>58</v>
      </c>
      <c r="Q18" s="846" t="s">
        <v>17</v>
      </c>
      <c r="R18" s="803"/>
      <c r="S18" s="857"/>
      <c r="T18" s="862"/>
      <c r="U18" s="778"/>
      <c r="V18" s="850" t="s">
        <v>61</v>
      </c>
      <c r="W18" s="852" t="s">
        <v>62</v>
      </c>
      <c r="X18" s="883" t="s">
        <v>57</v>
      </c>
      <c r="Y18" s="885" t="s">
        <v>63</v>
      </c>
      <c r="Z18" s="11"/>
    </row>
    <row r="19" spans="1:26" ht="26.25" customHeight="1" thickBot="1" x14ac:dyDescent="0.3">
      <c r="A19" s="98"/>
      <c r="B19" s="803"/>
      <c r="C19" s="778"/>
      <c r="D19" s="778"/>
      <c r="E19" s="803"/>
      <c r="F19" s="845"/>
      <c r="G19" s="888"/>
      <c r="H19" s="893"/>
      <c r="I19" s="860"/>
      <c r="J19" s="860"/>
      <c r="K19" s="849"/>
      <c r="L19" s="874"/>
      <c r="M19" s="860"/>
      <c r="N19" s="860"/>
      <c r="O19" s="891"/>
      <c r="P19" s="860"/>
      <c r="Q19" s="847"/>
      <c r="R19" s="804"/>
      <c r="S19" s="858"/>
      <c r="T19" s="863"/>
      <c r="U19" s="778"/>
      <c r="V19" s="851"/>
      <c r="W19" s="853"/>
      <c r="X19" s="884"/>
      <c r="Y19" s="886"/>
      <c r="Z19" s="11"/>
    </row>
    <row r="20" spans="1:26" ht="18.75" customHeight="1" x14ac:dyDescent="0.25">
      <c r="A20" s="98"/>
      <c r="B20" s="12"/>
      <c r="C20" s="12"/>
      <c r="D20" s="12"/>
      <c r="E20" s="55"/>
      <c r="F20" s="84"/>
      <c r="G20" s="85"/>
      <c r="H20" s="85"/>
      <c r="I20" s="13"/>
      <c r="J20" s="13"/>
      <c r="K20" s="210"/>
      <c r="L20" s="39"/>
      <c r="M20" s="13"/>
      <c r="N20" s="13"/>
      <c r="O20" s="13"/>
      <c r="P20" s="13"/>
      <c r="Q20" s="14"/>
      <c r="R20" s="12"/>
      <c r="S20" s="48"/>
      <c r="T20" s="43"/>
      <c r="U20" s="55"/>
      <c r="V20" s="46"/>
      <c r="W20" s="47"/>
      <c r="X20" s="47"/>
      <c r="Y20" s="43"/>
    </row>
    <row r="21" spans="1:26" ht="18.75" customHeight="1" x14ac:dyDescent="0.25">
      <c r="A21" s="98"/>
      <c r="B21" s="33">
        <v>1</v>
      </c>
      <c r="C21" s="72">
        <f>VLOOKUP(B21,'WTAX-CAFA'!B:N,2,0)</f>
        <v>0</v>
      </c>
      <c r="D21" s="72" t="e">
        <f>VLOOKUP(C21,'WTAX-CAFA'!C:O,2,0)</f>
        <v>#N/A</v>
      </c>
      <c r="E21" s="306">
        <f>VLOOKUP(B21,'WTAX-CAFA'!B:N,4,0)</f>
        <v>0</v>
      </c>
      <c r="F21" s="86"/>
      <c r="G21" s="88"/>
      <c r="H21" s="88"/>
      <c r="I21" s="37">
        <f t="shared" ref="I21:I44" si="0">SUM(F21:H21)</f>
        <v>0</v>
      </c>
      <c r="J21" s="332">
        <f>'WTAX-CAFA'!N8</f>
        <v>0</v>
      </c>
      <c r="K21" s="211">
        <f>ROUND(I21-J21,2)</f>
        <v>0</v>
      </c>
      <c r="L21" s="40">
        <f>'WTAX-CAFA'!F8</f>
        <v>0</v>
      </c>
      <c r="M21" s="37">
        <f>'CAFA - DEDS'!R20</f>
        <v>0</v>
      </c>
      <c r="N21" s="37">
        <f>'CAFA - DEDS'!X20</f>
        <v>0</v>
      </c>
      <c r="O21" s="37">
        <f>'CAFA - DEDS'!Y20</f>
        <v>0</v>
      </c>
      <c r="P21" s="37">
        <f>'CAFA - DEDS'!AE20</f>
        <v>0</v>
      </c>
      <c r="Q21" s="38">
        <f>ROUND(SUM(L21:P21),2)</f>
        <v>0</v>
      </c>
      <c r="R21" s="49">
        <f>K21-Q21</f>
        <v>0</v>
      </c>
      <c r="S21" s="76">
        <f>ROUND(R21/2,0)</f>
        <v>0</v>
      </c>
      <c r="T21" s="77">
        <f>R21-S21</f>
        <v>0</v>
      </c>
      <c r="U21" s="33">
        <f t="shared" ref="U21:U44" si="1">B21</f>
        <v>1</v>
      </c>
      <c r="V21" s="36">
        <f>ROUND('CAFA - PAY'!I21*0.12,2)</f>
        <v>0</v>
      </c>
      <c r="W21" s="37">
        <v>100</v>
      </c>
      <c r="X21" s="37">
        <f>MIN((I21*0.05)-'CAFA - DEDS'!Y20,2500)</f>
        <v>0</v>
      </c>
      <c r="Y21" s="41">
        <v>200</v>
      </c>
    </row>
    <row r="22" spans="1:26" ht="18.75" customHeight="1" x14ac:dyDescent="0.25">
      <c r="A22" s="98"/>
      <c r="B22" s="33">
        <f>+B21+1</f>
        <v>2</v>
      </c>
      <c r="C22" s="72">
        <f>VLOOKUP(B22,'WTAX-CAFA'!B:N,2,0)</f>
        <v>0</v>
      </c>
      <c r="D22" s="72" t="e">
        <f>VLOOKUP(C22,'WTAX-CAFA'!C:O,2,0)</f>
        <v>#N/A</v>
      </c>
      <c r="E22" s="306">
        <f>VLOOKUP(B22,'WTAX-CAFA'!B:N,4,0)</f>
        <v>0</v>
      </c>
      <c r="F22" s="86"/>
      <c r="G22" s="88"/>
      <c r="H22" s="88"/>
      <c r="I22" s="37">
        <f t="shared" si="0"/>
        <v>0</v>
      </c>
      <c r="J22" s="332">
        <f>'WTAX-CAFA'!N9</f>
        <v>0</v>
      </c>
      <c r="K22" s="211">
        <f>ROUND(I22-J22,2)</f>
        <v>0</v>
      </c>
      <c r="L22" s="40">
        <f>'WTAX-CAFA'!F9</f>
        <v>0</v>
      </c>
      <c r="M22" s="37">
        <f>'CAFA - DEDS'!R21</f>
        <v>0</v>
      </c>
      <c r="N22" s="37">
        <f>'CAFA - DEDS'!X21</f>
        <v>0</v>
      </c>
      <c r="O22" s="37">
        <f>'CAFA - DEDS'!Y21</f>
        <v>0</v>
      </c>
      <c r="P22" s="37">
        <f>'CAFA - DEDS'!AE21</f>
        <v>0</v>
      </c>
      <c r="Q22" s="38">
        <f>ROUND(SUM(L22:P22),2)</f>
        <v>0</v>
      </c>
      <c r="R22" s="49">
        <f>K22-Q22</f>
        <v>0</v>
      </c>
      <c r="S22" s="76">
        <f>ROUND(R22/2,0)</f>
        <v>0</v>
      </c>
      <c r="T22" s="77">
        <f>R22-S22</f>
        <v>0</v>
      </c>
      <c r="U22" s="33">
        <f t="shared" si="1"/>
        <v>2</v>
      </c>
      <c r="V22" s="36">
        <f>ROUND('CAFA - PAY'!I22*0.12,2)</f>
        <v>0</v>
      </c>
      <c r="W22" s="37">
        <f>W21</f>
        <v>100</v>
      </c>
      <c r="X22" s="37">
        <f>MIN((I22*0.05)-'CAFA - DEDS'!Y21,2500)</f>
        <v>0</v>
      </c>
      <c r="Y22" s="41">
        <f>Y21</f>
        <v>200</v>
      </c>
    </row>
    <row r="23" spans="1:26" ht="18.75" customHeight="1" x14ac:dyDescent="0.25">
      <c r="A23" s="98"/>
      <c r="B23" s="33">
        <f>+B22+1</f>
        <v>3</v>
      </c>
      <c r="C23" s="72">
        <f>VLOOKUP(B23,'WTAX-CAFA'!B:N,2,0)</f>
        <v>0</v>
      </c>
      <c r="D23" s="72" t="e">
        <f>VLOOKUP(C23,'WTAX-CAFA'!C:O,2,0)</f>
        <v>#N/A</v>
      </c>
      <c r="E23" s="306">
        <f>VLOOKUP(B23,'WTAX-CAFA'!B:N,4,0)</f>
        <v>0</v>
      </c>
      <c r="F23" s="86"/>
      <c r="G23" s="88"/>
      <c r="H23" s="88"/>
      <c r="I23" s="37">
        <f t="shared" si="0"/>
        <v>0</v>
      </c>
      <c r="J23" s="332">
        <f>'WTAX-CAFA'!N10</f>
        <v>0</v>
      </c>
      <c r="K23" s="211">
        <f>ROUND(I23-J23,2)</f>
        <v>0</v>
      </c>
      <c r="L23" s="40">
        <f>'WTAX-CAFA'!F10</f>
        <v>0</v>
      </c>
      <c r="M23" s="37">
        <f>'CAFA - DEDS'!R22</f>
        <v>0</v>
      </c>
      <c r="N23" s="37">
        <f>'CAFA - DEDS'!X22</f>
        <v>0</v>
      </c>
      <c r="O23" s="37">
        <f>'CAFA - DEDS'!Y22</f>
        <v>0</v>
      </c>
      <c r="P23" s="37">
        <f>'CAFA - DEDS'!AE22</f>
        <v>0</v>
      </c>
      <c r="Q23" s="38">
        <f>ROUND(SUM(L23:P23),2)</f>
        <v>0</v>
      </c>
      <c r="R23" s="49">
        <f>K23-Q23</f>
        <v>0</v>
      </c>
      <c r="S23" s="76">
        <f>ROUND(R23/2,0)</f>
        <v>0</v>
      </c>
      <c r="T23" s="77">
        <f>R23-S23</f>
        <v>0</v>
      </c>
      <c r="U23" s="33">
        <f t="shared" si="1"/>
        <v>3</v>
      </c>
      <c r="V23" s="36">
        <f>ROUND('CAFA - PAY'!I23*0.12,2)</f>
        <v>0</v>
      </c>
      <c r="W23" s="37">
        <f>W22</f>
        <v>100</v>
      </c>
      <c r="X23" s="37">
        <f>MIN((I23*0.05)-'CAFA - DEDS'!Y22,2500)</f>
        <v>0</v>
      </c>
      <c r="Y23" s="41">
        <f>Y22</f>
        <v>200</v>
      </c>
    </row>
    <row r="24" spans="1:26" ht="18.75" customHeight="1" x14ac:dyDescent="0.25">
      <c r="A24" s="98"/>
      <c r="B24" s="33">
        <f t="shared" ref="B24:B33" si="2">+B23+1</f>
        <v>4</v>
      </c>
      <c r="C24" s="72">
        <f>VLOOKUP(B24,'WTAX-CAFA'!B:N,2,0)</f>
        <v>0</v>
      </c>
      <c r="D24" s="72" t="e">
        <f>VLOOKUP(C24,'WTAX-CAFA'!C:O,2,0)</f>
        <v>#N/A</v>
      </c>
      <c r="E24" s="306">
        <f>VLOOKUP(B24,'WTAX-CAFA'!B:N,4,0)</f>
        <v>0</v>
      </c>
      <c r="F24" s="86"/>
      <c r="G24" s="88"/>
      <c r="H24" s="88"/>
      <c r="I24" s="37">
        <f t="shared" si="0"/>
        <v>0</v>
      </c>
      <c r="J24" s="332">
        <f>'WTAX-CAFA'!N11</f>
        <v>0</v>
      </c>
      <c r="K24" s="211">
        <f>ROUND(I24-J24,2)</f>
        <v>0</v>
      </c>
      <c r="L24" s="40">
        <f>'WTAX-CAFA'!F11</f>
        <v>0</v>
      </c>
      <c r="M24" s="37">
        <f>'CAFA - DEDS'!R23</f>
        <v>0</v>
      </c>
      <c r="N24" s="37">
        <f>'CAFA - DEDS'!X23</f>
        <v>0</v>
      </c>
      <c r="O24" s="37">
        <f>'CAFA - DEDS'!Y23</f>
        <v>0</v>
      </c>
      <c r="P24" s="37">
        <f>'CAFA - DEDS'!AE23</f>
        <v>0</v>
      </c>
      <c r="Q24" s="38">
        <f>ROUND(SUM(L24:P24),2)</f>
        <v>0</v>
      </c>
      <c r="R24" s="49">
        <f>K24-Q24</f>
        <v>0</v>
      </c>
      <c r="S24" s="76">
        <f>ROUND(R24/2,0)</f>
        <v>0</v>
      </c>
      <c r="T24" s="77">
        <f>R24-S24</f>
        <v>0</v>
      </c>
      <c r="U24" s="33">
        <f t="shared" si="1"/>
        <v>4</v>
      </c>
      <c r="V24" s="36">
        <f>ROUND('CAFA - PAY'!I24*0.12,2)</f>
        <v>0</v>
      </c>
      <c r="W24" s="37">
        <f t="shared" ref="W24:W33" si="3">W23</f>
        <v>100</v>
      </c>
      <c r="X24" s="37">
        <f>MIN((I24*0.05)-'CAFA - DEDS'!Y23,2500)</f>
        <v>0</v>
      </c>
      <c r="Y24" s="41">
        <f t="shared" ref="Y24:Y33" si="4">Y23</f>
        <v>200</v>
      </c>
    </row>
    <row r="25" spans="1:26" ht="18.75" customHeight="1" x14ac:dyDescent="0.25">
      <c r="A25" s="98"/>
      <c r="B25" s="33">
        <f t="shared" si="2"/>
        <v>5</v>
      </c>
      <c r="C25" s="72">
        <f>VLOOKUP(B25,'WTAX-CAFA'!B:N,2,0)</f>
        <v>0</v>
      </c>
      <c r="D25" s="72" t="e">
        <f>VLOOKUP(C25,'WTAX-CAFA'!C:O,2,0)</f>
        <v>#N/A</v>
      </c>
      <c r="E25" s="306">
        <f>VLOOKUP(B25,'WTAX-CAFA'!B:N,4,0)</f>
        <v>0</v>
      </c>
      <c r="F25" s="86"/>
      <c r="G25" s="88"/>
      <c r="H25" s="88"/>
      <c r="I25" s="37">
        <f t="shared" si="0"/>
        <v>0</v>
      </c>
      <c r="J25" s="332">
        <f>'WTAX-CAFA'!N12</f>
        <v>0</v>
      </c>
      <c r="K25" s="211">
        <f>ROUND(I25-J25,2)</f>
        <v>0</v>
      </c>
      <c r="L25" s="40">
        <f>'WTAX-CAFA'!F12</f>
        <v>0</v>
      </c>
      <c r="M25" s="37">
        <f>'CAFA - DEDS'!R24</f>
        <v>0</v>
      </c>
      <c r="N25" s="37">
        <f>'CAFA - DEDS'!X24</f>
        <v>0</v>
      </c>
      <c r="O25" s="37">
        <f>'CAFA - DEDS'!Y24</f>
        <v>0</v>
      </c>
      <c r="P25" s="37">
        <f>'CAFA - DEDS'!AE24</f>
        <v>0</v>
      </c>
      <c r="Q25" s="38">
        <f>ROUND(SUM(L25:P25),2)</f>
        <v>0</v>
      </c>
      <c r="R25" s="49">
        <f>K25-Q25</f>
        <v>0</v>
      </c>
      <c r="S25" s="76">
        <f>ROUND(R25/2,0)</f>
        <v>0</v>
      </c>
      <c r="T25" s="77">
        <f>R25-S25</f>
        <v>0</v>
      </c>
      <c r="U25" s="33">
        <f t="shared" si="1"/>
        <v>5</v>
      </c>
      <c r="V25" s="36">
        <f>ROUND('CAFA - PAY'!I25*0.12,2)</f>
        <v>0</v>
      </c>
      <c r="W25" s="37">
        <f t="shared" si="3"/>
        <v>100</v>
      </c>
      <c r="X25" s="37">
        <f>MIN((I25*0.05)-'CAFA - DEDS'!Y24,2500)</f>
        <v>0</v>
      </c>
      <c r="Y25" s="41">
        <f t="shared" si="4"/>
        <v>200</v>
      </c>
    </row>
    <row r="26" spans="1:26" ht="18.75" customHeight="1" x14ac:dyDescent="0.25">
      <c r="A26" s="98"/>
      <c r="B26" s="33">
        <f t="shared" si="2"/>
        <v>6</v>
      </c>
      <c r="C26" s="72">
        <f>VLOOKUP(B26,'WTAX-CAFA'!B:N,2,0)</f>
        <v>0</v>
      </c>
      <c r="D26" s="72" t="e">
        <f>VLOOKUP(C26,'WTAX-CAFA'!C:O,2,0)</f>
        <v>#N/A</v>
      </c>
      <c r="E26" s="306">
        <f>VLOOKUP(B26,'WTAX-CAFA'!B:N,4,0)</f>
        <v>0</v>
      </c>
      <c r="F26" s="86"/>
      <c r="G26" s="88"/>
      <c r="H26" s="88"/>
      <c r="I26" s="37">
        <f t="shared" si="0"/>
        <v>0</v>
      </c>
      <c r="J26" s="332">
        <f>'WTAX-CAFA'!N13</f>
        <v>0</v>
      </c>
      <c r="K26" s="211">
        <f t="shared" ref="K26:K44" si="5">ROUND(I26-J26,2)</f>
        <v>0</v>
      </c>
      <c r="L26" s="40">
        <f>'WTAX-CAFA'!F13</f>
        <v>0</v>
      </c>
      <c r="M26" s="37">
        <f>'CAFA - DEDS'!R25</f>
        <v>0</v>
      </c>
      <c r="N26" s="37">
        <f>'CAFA - DEDS'!X25</f>
        <v>0</v>
      </c>
      <c r="O26" s="37">
        <f>'CAFA - DEDS'!Y25</f>
        <v>0</v>
      </c>
      <c r="P26" s="37">
        <f>'CAFA - DEDS'!AE25</f>
        <v>0</v>
      </c>
      <c r="Q26" s="38">
        <f t="shared" ref="Q26:Q44" si="6">ROUND(SUM(L26:P26),2)</f>
        <v>0</v>
      </c>
      <c r="R26" s="49">
        <f t="shared" ref="R26:R44" si="7">K26-Q26</f>
        <v>0</v>
      </c>
      <c r="S26" s="76">
        <f t="shared" ref="S26:S44" si="8">ROUND(R26/2,0)</f>
        <v>0</v>
      </c>
      <c r="T26" s="77">
        <f t="shared" ref="T26:T44" si="9">R26-S26</f>
        <v>0</v>
      </c>
      <c r="U26" s="33">
        <f t="shared" si="1"/>
        <v>6</v>
      </c>
      <c r="V26" s="36">
        <f>ROUND('CAFA - PAY'!I26*0.12,2)</f>
        <v>0</v>
      </c>
      <c r="W26" s="37">
        <f t="shared" si="3"/>
        <v>100</v>
      </c>
      <c r="X26" s="37">
        <f>MIN((I26*0.05)-'CAFA - DEDS'!Y25,2500)</f>
        <v>0</v>
      </c>
      <c r="Y26" s="41">
        <f t="shared" si="4"/>
        <v>200</v>
      </c>
    </row>
    <row r="27" spans="1:26" ht="18.75" customHeight="1" x14ac:dyDescent="0.25">
      <c r="A27" s="98"/>
      <c r="B27" s="33">
        <f t="shared" si="2"/>
        <v>7</v>
      </c>
      <c r="C27" s="72">
        <f>VLOOKUP(B27,'WTAX-CAFA'!B:N,2,0)</f>
        <v>0</v>
      </c>
      <c r="D27" s="72" t="e">
        <f>VLOOKUP(C27,'WTAX-CAFA'!C:O,2,0)</f>
        <v>#N/A</v>
      </c>
      <c r="E27" s="306">
        <f>VLOOKUP(B27,'WTAX-CAFA'!B:N,4,0)</f>
        <v>0</v>
      </c>
      <c r="F27" s="86"/>
      <c r="G27" s="88"/>
      <c r="H27" s="88"/>
      <c r="I27" s="37">
        <f t="shared" si="0"/>
        <v>0</v>
      </c>
      <c r="J27" s="332">
        <f>'WTAX-CAFA'!N14</f>
        <v>0</v>
      </c>
      <c r="K27" s="211">
        <f t="shared" si="5"/>
        <v>0</v>
      </c>
      <c r="L27" s="40">
        <f>'WTAX-CAFA'!F14</f>
        <v>0</v>
      </c>
      <c r="M27" s="37">
        <f>'CAFA - DEDS'!R26</f>
        <v>0</v>
      </c>
      <c r="N27" s="37">
        <f>'CAFA - DEDS'!X26</f>
        <v>0</v>
      </c>
      <c r="O27" s="37">
        <f>'CAFA - DEDS'!Y26</f>
        <v>0</v>
      </c>
      <c r="P27" s="37">
        <f>'CAFA - DEDS'!AE26</f>
        <v>0</v>
      </c>
      <c r="Q27" s="38">
        <f t="shared" si="6"/>
        <v>0</v>
      </c>
      <c r="R27" s="49">
        <f t="shared" si="7"/>
        <v>0</v>
      </c>
      <c r="S27" s="76">
        <f t="shared" si="8"/>
        <v>0</v>
      </c>
      <c r="T27" s="77">
        <f t="shared" si="9"/>
        <v>0</v>
      </c>
      <c r="U27" s="33">
        <f t="shared" si="1"/>
        <v>7</v>
      </c>
      <c r="V27" s="36">
        <f>ROUND('CAFA - PAY'!I27*0.12,2)</f>
        <v>0</v>
      </c>
      <c r="W27" s="37">
        <f t="shared" si="3"/>
        <v>100</v>
      </c>
      <c r="X27" s="37">
        <f>MIN((I27*0.05)-'CAFA - DEDS'!Y26,2500)</f>
        <v>0</v>
      </c>
      <c r="Y27" s="41">
        <f t="shared" si="4"/>
        <v>200</v>
      </c>
    </row>
    <row r="28" spans="1:26" ht="18.75" customHeight="1" x14ac:dyDescent="0.25">
      <c r="A28" s="98"/>
      <c r="B28" s="33">
        <f t="shared" si="2"/>
        <v>8</v>
      </c>
      <c r="C28" s="72">
        <f>VLOOKUP(B28,'WTAX-CAFA'!B:N,2,0)</f>
        <v>0</v>
      </c>
      <c r="D28" s="72" t="e">
        <f>VLOOKUP(C28,'WTAX-CAFA'!C:O,2,0)</f>
        <v>#N/A</v>
      </c>
      <c r="E28" s="306">
        <f>VLOOKUP(B28,'WTAX-CAFA'!B:N,4,0)</f>
        <v>0</v>
      </c>
      <c r="F28" s="86"/>
      <c r="G28" s="88"/>
      <c r="H28" s="88"/>
      <c r="I28" s="37">
        <f t="shared" si="0"/>
        <v>0</v>
      </c>
      <c r="J28" s="332">
        <f>'WTAX-CAFA'!N15</f>
        <v>0</v>
      </c>
      <c r="K28" s="211">
        <f t="shared" si="5"/>
        <v>0</v>
      </c>
      <c r="L28" s="40">
        <f>'WTAX-CAFA'!F15</f>
        <v>0</v>
      </c>
      <c r="M28" s="37">
        <f>'CAFA - DEDS'!R27</f>
        <v>0</v>
      </c>
      <c r="N28" s="37">
        <f>'CAFA - DEDS'!X27</f>
        <v>0</v>
      </c>
      <c r="O28" s="37">
        <f>'CAFA - DEDS'!Y27</f>
        <v>0</v>
      </c>
      <c r="P28" s="37">
        <f>'CAFA - DEDS'!AE27</f>
        <v>0</v>
      </c>
      <c r="Q28" s="38">
        <f t="shared" si="6"/>
        <v>0</v>
      </c>
      <c r="R28" s="49">
        <f t="shared" si="7"/>
        <v>0</v>
      </c>
      <c r="S28" s="76">
        <f t="shared" si="8"/>
        <v>0</v>
      </c>
      <c r="T28" s="77">
        <f t="shared" si="9"/>
        <v>0</v>
      </c>
      <c r="U28" s="33">
        <f t="shared" si="1"/>
        <v>8</v>
      </c>
      <c r="V28" s="36">
        <f>ROUND('CAFA - PAY'!I28*0.12,2)</f>
        <v>0</v>
      </c>
      <c r="W28" s="37">
        <f t="shared" si="3"/>
        <v>100</v>
      </c>
      <c r="X28" s="37">
        <f>MIN((I28*0.05)-'CAFA - DEDS'!Y27,2500)</f>
        <v>0</v>
      </c>
      <c r="Y28" s="41">
        <f t="shared" si="4"/>
        <v>200</v>
      </c>
    </row>
    <row r="29" spans="1:26" ht="18.75" customHeight="1" x14ac:dyDescent="0.25">
      <c r="A29" s="98"/>
      <c r="B29" s="33">
        <f t="shared" si="2"/>
        <v>9</v>
      </c>
      <c r="C29" s="72">
        <f>VLOOKUP(B29,'WTAX-CAFA'!B:N,2,0)</f>
        <v>0</v>
      </c>
      <c r="D29" s="72" t="e">
        <f>VLOOKUP(C29,'WTAX-CAFA'!C:O,2,0)</f>
        <v>#N/A</v>
      </c>
      <c r="E29" s="306">
        <f>VLOOKUP(B29,'WTAX-CAFA'!B:N,4,0)</f>
        <v>0</v>
      </c>
      <c r="F29" s="86"/>
      <c r="G29" s="88"/>
      <c r="H29" s="88"/>
      <c r="I29" s="37">
        <f t="shared" si="0"/>
        <v>0</v>
      </c>
      <c r="J29" s="332">
        <f>'WTAX-CAFA'!N16</f>
        <v>0</v>
      </c>
      <c r="K29" s="211">
        <f t="shared" si="5"/>
        <v>0</v>
      </c>
      <c r="L29" s="40">
        <f>'WTAX-CAFA'!F16</f>
        <v>0</v>
      </c>
      <c r="M29" s="37">
        <f>'CAFA - DEDS'!R28</f>
        <v>0</v>
      </c>
      <c r="N29" s="37">
        <f>'CAFA - DEDS'!X28</f>
        <v>0</v>
      </c>
      <c r="O29" s="37">
        <f>'CAFA - DEDS'!Y28</f>
        <v>0</v>
      </c>
      <c r="P29" s="37">
        <f>'CAFA - DEDS'!AE28</f>
        <v>0</v>
      </c>
      <c r="Q29" s="38">
        <f t="shared" si="6"/>
        <v>0</v>
      </c>
      <c r="R29" s="49">
        <f t="shared" si="7"/>
        <v>0</v>
      </c>
      <c r="S29" s="76">
        <f t="shared" si="8"/>
        <v>0</v>
      </c>
      <c r="T29" s="77">
        <f t="shared" si="9"/>
        <v>0</v>
      </c>
      <c r="U29" s="33">
        <f t="shared" si="1"/>
        <v>9</v>
      </c>
      <c r="V29" s="36">
        <f>ROUND('CAFA - PAY'!I29*0.12,2)</f>
        <v>0</v>
      </c>
      <c r="W29" s="37">
        <f t="shared" si="3"/>
        <v>100</v>
      </c>
      <c r="X29" s="37">
        <f>MIN((I29*0.05)-'CAFA - DEDS'!Y28,2500)</f>
        <v>0</v>
      </c>
      <c r="Y29" s="41">
        <f t="shared" si="4"/>
        <v>200</v>
      </c>
    </row>
    <row r="30" spans="1:26" ht="18.75" customHeight="1" x14ac:dyDescent="0.25">
      <c r="A30" s="98"/>
      <c r="B30" s="33">
        <f t="shared" si="2"/>
        <v>10</v>
      </c>
      <c r="C30" s="72">
        <f>VLOOKUP(B30,'WTAX-CAFA'!B:N,2,0)</f>
        <v>0</v>
      </c>
      <c r="D30" s="72" t="e">
        <f>VLOOKUP(C30,'WTAX-CAFA'!C:O,2,0)</f>
        <v>#N/A</v>
      </c>
      <c r="E30" s="306">
        <f>VLOOKUP(B30,'WTAX-CAFA'!B:N,4,0)</f>
        <v>0</v>
      </c>
      <c r="F30" s="89"/>
      <c r="G30" s="91"/>
      <c r="H30" s="91"/>
      <c r="I30" s="37">
        <f t="shared" si="0"/>
        <v>0</v>
      </c>
      <c r="J30" s="332">
        <f>'WTAX-CAFA'!N17</f>
        <v>0</v>
      </c>
      <c r="K30" s="211">
        <f t="shared" si="5"/>
        <v>0</v>
      </c>
      <c r="L30" s="40">
        <f>'WTAX-CAFA'!F17</f>
        <v>0</v>
      </c>
      <c r="M30" s="37">
        <f>'CAFA - DEDS'!R29</f>
        <v>0</v>
      </c>
      <c r="N30" s="37">
        <f>'CAFA - DEDS'!X29</f>
        <v>0</v>
      </c>
      <c r="O30" s="37">
        <f>'CAFA - DEDS'!Y29</f>
        <v>0</v>
      </c>
      <c r="P30" s="37">
        <f>'CAFA - DEDS'!AE29</f>
        <v>0</v>
      </c>
      <c r="Q30" s="38">
        <f t="shared" si="6"/>
        <v>0</v>
      </c>
      <c r="R30" s="49">
        <f t="shared" si="7"/>
        <v>0</v>
      </c>
      <c r="S30" s="76">
        <f t="shared" si="8"/>
        <v>0</v>
      </c>
      <c r="T30" s="77">
        <f t="shared" si="9"/>
        <v>0</v>
      </c>
      <c r="U30" s="33">
        <f t="shared" si="1"/>
        <v>10</v>
      </c>
      <c r="V30" s="36">
        <f>ROUND('CAFA - PAY'!I30*0.12,2)</f>
        <v>0</v>
      </c>
      <c r="W30" s="37">
        <f t="shared" si="3"/>
        <v>100</v>
      </c>
      <c r="X30" s="37">
        <f>MIN((I30*0.05)-'CAFA - DEDS'!Y29,2500)</f>
        <v>0</v>
      </c>
      <c r="Y30" s="41">
        <f t="shared" si="4"/>
        <v>200</v>
      </c>
    </row>
    <row r="31" spans="1:26" ht="18.75" customHeight="1" x14ac:dyDescent="0.25">
      <c r="A31" s="98"/>
      <c r="B31" s="33">
        <f t="shared" si="2"/>
        <v>11</v>
      </c>
      <c r="C31" s="72">
        <f>VLOOKUP(B31,'WTAX-CAFA'!B:N,2,0)</f>
        <v>0</v>
      </c>
      <c r="D31" s="72" t="e">
        <f>VLOOKUP(C31,'WTAX-CAFA'!C:O,2,0)</f>
        <v>#N/A</v>
      </c>
      <c r="E31" s="306">
        <f>VLOOKUP(B31,'WTAX-CAFA'!B:N,4,0)</f>
        <v>0</v>
      </c>
      <c r="F31" s="89"/>
      <c r="G31" s="91"/>
      <c r="H31" s="91"/>
      <c r="I31" s="37">
        <f t="shared" si="0"/>
        <v>0</v>
      </c>
      <c r="J31" s="332">
        <f>'WTAX-CAFA'!N18</f>
        <v>0</v>
      </c>
      <c r="K31" s="211">
        <f t="shared" si="5"/>
        <v>0</v>
      </c>
      <c r="L31" s="40">
        <f>'WTAX-CAFA'!F18</f>
        <v>0</v>
      </c>
      <c r="M31" s="37">
        <f>'CAFA - DEDS'!R30</f>
        <v>0</v>
      </c>
      <c r="N31" s="37">
        <f>'CAFA - DEDS'!X30</f>
        <v>0</v>
      </c>
      <c r="O31" s="37">
        <f>'CAFA - DEDS'!Y30</f>
        <v>0</v>
      </c>
      <c r="P31" s="37">
        <f>'CAFA - DEDS'!AE30</f>
        <v>0</v>
      </c>
      <c r="Q31" s="38">
        <f t="shared" si="6"/>
        <v>0</v>
      </c>
      <c r="R31" s="49">
        <f t="shared" si="7"/>
        <v>0</v>
      </c>
      <c r="S31" s="76">
        <f t="shared" si="8"/>
        <v>0</v>
      </c>
      <c r="T31" s="77">
        <f t="shared" si="9"/>
        <v>0</v>
      </c>
      <c r="U31" s="33">
        <f t="shared" si="1"/>
        <v>11</v>
      </c>
      <c r="V31" s="36">
        <f>ROUND('CAFA - PAY'!I31*0.12,2)</f>
        <v>0</v>
      </c>
      <c r="W31" s="37">
        <f t="shared" si="3"/>
        <v>100</v>
      </c>
      <c r="X31" s="37">
        <f>MIN((I31*0.05)-'CAFA - DEDS'!Y30,2500)</f>
        <v>0</v>
      </c>
      <c r="Y31" s="41">
        <f t="shared" si="4"/>
        <v>200</v>
      </c>
    </row>
    <row r="32" spans="1:26" ht="18.75" customHeight="1" x14ac:dyDescent="0.25">
      <c r="A32" s="98"/>
      <c r="B32" s="33">
        <f t="shared" si="2"/>
        <v>12</v>
      </c>
      <c r="C32" s="72">
        <f>VLOOKUP(B32,'WTAX-CAFA'!B:N,2,0)</f>
        <v>0</v>
      </c>
      <c r="D32" s="72" t="e">
        <f>VLOOKUP(C32,'WTAX-CAFA'!C:O,2,0)</f>
        <v>#N/A</v>
      </c>
      <c r="E32" s="306">
        <f>VLOOKUP(B32,'WTAX-CAFA'!B:N,4,0)</f>
        <v>0</v>
      </c>
      <c r="F32" s="86"/>
      <c r="G32" s="91"/>
      <c r="H32" s="91"/>
      <c r="I32" s="37">
        <f t="shared" si="0"/>
        <v>0</v>
      </c>
      <c r="J32" s="332">
        <f>'WTAX-CAFA'!N19</f>
        <v>0</v>
      </c>
      <c r="K32" s="211">
        <f t="shared" si="5"/>
        <v>0</v>
      </c>
      <c r="L32" s="40">
        <f>'WTAX-CAFA'!F19</f>
        <v>0</v>
      </c>
      <c r="M32" s="37">
        <f>'CAFA - DEDS'!R31</f>
        <v>0</v>
      </c>
      <c r="N32" s="37">
        <f>'CAFA - DEDS'!X31</f>
        <v>0</v>
      </c>
      <c r="O32" s="37">
        <f>'CAFA - DEDS'!Y31</f>
        <v>0</v>
      </c>
      <c r="P32" s="37">
        <f>'CAFA - DEDS'!AE31</f>
        <v>0</v>
      </c>
      <c r="Q32" s="38">
        <f t="shared" si="6"/>
        <v>0</v>
      </c>
      <c r="R32" s="49">
        <f t="shared" si="7"/>
        <v>0</v>
      </c>
      <c r="S32" s="76">
        <f t="shared" si="8"/>
        <v>0</v>
      </c>
      <c r="T32" s="77">
        <f t="shared" si="9"/>
        <v>0</v>
      </c>
      <c r="U32" s="33">
        <f t="shared" si="1"/>
        <v>12</v>
      </c>
      <c r="V32" s="36">
        <f>ROUND('CAFA - PAY'!I32*0.12,2)</f>
        <v>0</v>
      </c>
      <c r="W32" s="37">
        <f t="shared" si="3"/>
        <v>100</v>
      </c>
      <c r="X32" s="37">
        <f>MIN((I32*0.05)-'CAFA - DEDS'!Y31,2500)</f>
        <v>0</v>
      </c>
      <c r="Y32" s="41">
        <f t="shared" si="4"/>
        <v>200</v>
      </c>
    </row>
    <row r="33" spans="1:25" ht="18.75" customHeight="1" x14ac:dyDescent="0.25">
      <c r="A33" s="98"/>
      <c r="B33" s="33">
        <f t="shared" si="2"/>
        <v>13</v>
      </c>
      <c r="C33" s="72">
        <f>VLOOKUP(B33,'WTAX-CAFA'!B:N,2,0)</f>
        <v>0</v>
      </c>
      <c r="D33" s="72" t="e">
        <f>VLOOKUP(C33,'WTAX-CAFA'!C:O,2,0)</f>
        <v>#N/A</v>
      </c>
      <c r="E33" s="306">
        <f>VLOOKUP(B33,'WTAX-CAFA'!B:N,4,0)</f>
        <v>0</v>
      </c>
      <c r="F33" s="89"/>
      <c r="G33" s="91"/>
      <c r="H33" s="91"/>
      <c r="I33" s="37">
        <f t="shared" si="0"/>
        <v>0</v>
      </c>
      <c r="J33" s="332">
        <f>'WTAX-CAFA'!N20</f>
        <v>0</v>
      </c>
      <c r="K33" s="211">
        <f t="shared" si="5"/>
        <v>0</v>
      </c>
      <c r="L33" s="40">
        <f>'WTAX-CAFA'!F20</f>
        <v>0</v>
      </c>
      <c r="M33" s="37">
        <f>'CAFA - DEDS'!R32</f>
        <v>0</v>
      </c>
      <c r="N33" s="37">
        <f>'CAFA - DEDS'!X32</f>
        <v>0</v>
      </c>
      <c r="O33" s="37">
        <f>'CAFA - DEDS'!Y32</f>
        <v>0</v>
      </c>
      <c r="P33" s="37">
        <f>'CAFA - DEDS'!AE32</f>
        <v>0</v>
      </c>
      <c r="Q33" s="38">
        <f t="shared" si="6"/>
        <v>0</v>
      </c>
      <c r="R33" s="49">
        <f t="shared" si="7"/>
        <v>0</v>
      </c>
      <c r="S33" s="76">
        <f t="shared" si="8"/>
        <v>0</v>
      </c>
      <c r="T33" s="77">
        <f t="shared" si="9"/>
        <v>0</v>
      </c>
      <c r="U33" s="33">
        <f t="shared" si="1"/>
        <v>13</v>
      </c>
      <c r="V33" s="36">
        <f>ROUND('CAFA - PAY'!I33*0.12,2)</f>
        <v>0</v>
      </c>
      <c r="W33" s="37">
        <f t="shared" si="3"/>
        <v>100</v>
      </c>
      <c r="X33" s="37">
        <f>MIN((I33*0.05)-'CAFA - DEDS'!Y32,2500)</f>
        <v>0</v>
      </c>
      <c r="Y33" s="41">
        <f t="shared" si="4"/>
        <v>200</v>
      </c>
    </row>
    <row r="34" spans="1:25" ht="18.75" customHeight="1" x14ac:dyDescent="0.25">
      <c r="A34" s="98"/>
      <c r="B34" s="33">
        <f t="shared" ref="B34:B43" si="10">+B23+1</f>
        <v>4</v>
      </c>
      <c r="C34" s="72">
        <f>VLOOKUP(B34,'WTAX-CAFA'!B:N,2,0)</f>
        <v>0</v>
      </c>
      <c r="D34" s="72" t="e">
        <f>VLOOKUP(C34,'WTAX-CAFA'!C:O,2,0)</f>
        <v>#N/A</v>
      </c>
      <c r="E34" s="306">
        <f>VLOOKUP(B34,'WTAX-CAFA'!B:N,4,0)</f>
        <v>0</v>
      </c>
      <c r="F34" s="86"/>
      <c r="G34" s="91"/>
      <c r="H34" s="91"/>
      <c r="I34" s="37">
        <f t="shared" ref="I34:I43" si="11">SUM(F34:H34)</f>
        <v>0</v>
      </c>
      <c r="J34" s="332">
        <f>'WTAX-CAFA'!N21</f>
        <v>0</v>
      </c>
      <c r="K34" s="211">
        <f t="shared" ref="K34:K43" si="12">ROUND(I34-J34,2)</f>
        <v>0</v>
      </c>
      <c r="L34" s="40">
        <f>'WTAX-CAFA'!F21</f>
        <v>0</v>
      </c>
      <c r="M34" s="37">
        <f>'CAFA - DEDS'!R23</f>
        <v>0</v>
      </c>
      <c r="N34" s="37">
        <f>'CAFA - DEDS'!X23</f>
        <v>0</v>
      </c>
      <c r="O34" s="37">
        <f>'CAFA - DEDS'!Y23</f>
        <v>0</v>
      </c>
      <c r="P34" s="37">
        <f>'CAFA - DEDS'!AE23</f>
        <v>0</v>
      </c>
      <c r="Q34" s="38">
        <f t="shared" ref="Q34:Q43" si="13">ROUND(SUM(L34:P34),2)</f>
        <v>0</v>
      </c>
      <c r="R34" s="49">
        <f t="shared" ref="R34:R43" si="14">K34-Q34</f>
        <v>0</v>
      </c>
      <c r="S34" s="76">
        <f t="shared" ref="S34:S43" si="15">ROUND(R34/2,0)</f>
        <v>0</v>
      </c>
      <c r="T34" s="77">
        <f t="shared" ref="T34:T43" si="16">R34-S34</f>
        <v>0</v>
      </c>
      <c r="U34" s="33">
        <f t="shared" ref="U34:U43" si="17">B34</f>
        <v>4</v>
      </c>
      <c r="V34" s="36">
        <f>ROUND('CAFA - PAY'!I34*0.12,2)</f>
        <v>0</v>
      </c>
      <c r="W34" s="37">
        <f t="shared" ref="W34:W43" si="18">W23</f>
        <v>100</v>
      </c>
      <c r="X34" s="37">
        <f>MIN((I34*0.05)-'CAFA - DEDS'!Y23,2500)</f>
        <v>0</v>
      </c>
      <c r="Y34" s="41">
        <f t="shared" ref="Y34:Y43" si="19">Y23</f>
        <v>200</v>
      </c>
    </row>
    <row r="35" spans="1:25" ht="18.75" customHeight="1" x14ac:dyDescent="0.25">
      <c r="A35" s="98"/>
      <c r="B35" s="33">
        <f t="shared" si="10"/>
        <v>5</v>
      </c>
      <c r="C35" s="72">
        <f>VLOOKUP(B35,'WTAX-CAFA'!B:N,2,0)</f>
        <v>0</v>
      </c>
      <c r="D35" s="72" t="e">
        <f>VLOOKUP(C35,'WTAX-CAFA'!C:O,2,0)</f>
        <v>#N/A</v>
      </c>
      <c r="E35" s="306">
        <f>VLOOKUP(B35,'WTAX-CAFA'!B:N,4,0)</f>
        <v>0</v>
      </c>
      <c r="F35" s="86"/>
      <c r="G35" s="91"/>
      <c r="H35" s="91"/>
      <c r="I35" s="37">
        <f t="shared" si="11"/>
        <v>0</v>
      </c>
      <c r="J35" s="332">
        <f>'WTAX-CAFA'!N22</f>
        <v>0</v>
      </c>
      <c r="K35" s="211">
        <f t="shared" si="12"/>
        <v>0</v>
      </c>
      <c r="L35" s="40">
        <f>'WTAX-CAFA'!F22</f>
        <v>0</v>
      </c>
      <c r="M35" s="37">
        <f>'CAFA - DEDS'!R24</f>
        <v>0</v>
      </c>
      <c r="N35" s="37">
        <f>'CAFA - DEDS'!X24</f>
        <v>0</v>
      </c>
      <c r="O35" s="37">
        <f>'CAFA - DEDS'!Y24</f>
        <v>0</v>
      </c>
      <c r="P35" s="37">
        <f>'CAFA - DEDS'!AE24</f>
        <v>0</v>
      </c>
      <c r="Q35" s="38">
        <f t="shared" si="13"/>
        <v>0</v>
      </c>
      <c r="R35" s="49">
        <f t="shared" si="14"/>
        <v>0</v>
      </c>
      <c r="S35" s="76">
        <f t="shared" si="15"/>
        <v>0</v>
      </c>
      <c r="T35" s="77">
        <f t="shared" si="16"/>
        <v>0</v>
      </c>
      <c r="U35" s="33">
        <f t="shared" si="17"/>
        <v>5</v>
      </c>
      <c r="V35" s="36">
        <f>ROUND('CAFA - PAY'!I35*0.12,2)</f>
        <v>0</v>
      </c>
      <c r="W35" s="37">
        <f t="shared" si="18"/>
        <v>100</v>
      </c>
      <c r="X35" s="37">
        <f>MIN((I35*0.05)-'CAFA - DEDS'!Y24,2500)</f>
        <v>0</v>
      </c>
      <c r="Y35" s="41">
        <f t="shared" si="19"/>
        <v>200</v>
      </c>
    </row>
    <row r="36" spans="1:25" ht="18.75" customHeight="1" x14ac:dyDescent="0.25">
      <c r="A36" s="98"/>
      <c r="B36" s="33">
        <f t="shared" si="10"/>
        <v>6</v>
      </c>
      <c r="C36" s="72">
        <f>VLOOKUP(B36,'WTAX-CAFA'!B:N,2,0)</f>
        <v>0</v>
      </c>
      <c r="D36" s="72" t="e">
        <f>VLOOKUP(C36,'WTAX-CAFA'!C:O,2,0)</f>
        <v>#N/A</v>
      </c>
      <c r="E36" s="306">
        <f>VLOOKUP(B36,'WTAX-CAFA'!B:N,4,0)</f>
        <v>0</v>
      </c>
      <c r="F36" s="86"/>
      <c r="G36" s="91"/>
      <c r="H36" s="91"/>
      <c r="I36" s="37">
        <f t="shared" si="11"/>
        <v>0</v>
      </c>
      <c r="J36" s="332">
        <f>'WTAX-CAFA'!N23</f>
        <v>0</v>
      </c>
      <c r="K36" s="211">
        <f t="shared" si="12"/>
        <v>0</v>
      </c>
      <c r="L36" s="40">
        <f>'WTAX-CAFA'!F23</f>
        <v>0</v>
      </c>
      <c r="M36" s="37">
        <f>'CAFA - DEDS'!R25</f>
        <v>0</v>
      </c>
      <c r="N36" s="37">
        <f>'CAFA - DEDS'!X25</f>
        <v>0</v>
      </c>
      <c r="O36" s="37">
        <f>'CAFA - DEDS'!Y25</f>
        <v>0</v>
      </c>
      <c r="P36" s="37">
        <f>'CAFA - DEDS'!AE25</f>
        <v>0</v>
      </c>
      <c r="Q36" s="38">
        <f t="shared" si="13"/>
        <v>0</v>
      </c>
      <c r="R36" s="49">
        <f t="shared" si="14"/>
        <v>0</v>
      </c>
      <c r="S36" s="76">
        <f t="shared" si="15"/>
        <v>0</v>
      </c>
      <c r="T36" s="77">
        <f t="shared" si="16"/>
        <v>0</v>
      </c>
      <c r="U36" s="33">
        <f t="shared" si="17"/>
        <v>6</v>
      </c>
      <c r="V36" s="36">
        <f>ROUND('CAFA - PAY'!I36*0.12,2)</f>
        <v>0</v>
      </c>
      <c r="W36" s="37">
        <f t="shared" si="18"/>
        <v>100</v>
      </c>
      <c r="X36" s="37">
        <f>MIN((I36*0.05)-'CAFA - DEDS'!Y25,2500)</f>
        <v>0</v>
      </c>
      <c r="Y36" s="41">
        <f t="shared" si="19"/>
        <v>200</v>
      </c>
    </row>
    <row r="37" spans="1:25" ht="18.75" customHeight="1" x14ac:dyDescent="0.25">
      <c r="A37" s="98"/>
      <c r="B37" s="33">
        <f t="shared" si="10"/>
        <v>7</v>
      </c>
      <c r="C37" s="72">
        <f>VLOOKUP(B37,'WTAX-CAFA'!B:N,2,0)</f>
        <v>0</v>
      </c>
      <c r="D37" s="72" t="e">
        <f>VLOOKUP(C37,'WTAX-CAFA'!C:O,2,0)</f>
        <v>#N/A</v>
      </c>
      <c r="E37" s="306">
        <f>VLOOKUP(B37,'WTAX-CAFA'!B:N,4,0)</f>
        <v>0</v>
      </c>
      <c r="F37" s="86"/>
      <c r="G37" s="91"/>
      <c r="H37" s="91"/>
      <c r="I37" s="37">
        <f t="shared" si="11"/>
        <v>0</v>
      </c>
      <c r="J37" s="332">
        <f>'WTAX-CAFA'!N24</f>
        <v>0</v>
      </c>
      <c r="K37" s="211">
        <f t="shared" si="12"/>
        <v>0</v>
      </c>
      <c r="L37" s="40">
        <f>'WTAX-CAFA'!F24</f>
        <v>0</v>
      </c>
      <c r="M37" s="37">
        <f>'CAFA - DEDS'!R26</f>
        <v>0</v>
      </c>
      <c r="N37" s="37">
        <f>'CAFA - DEDS'!X26</f>
        <v>0</v>
      </c>
      <c r="O37" s="37">
        <f>'CAFA - DEDS'!Y26</f>
        <v>0</v>
      </c>
      <c r="P37" s="37">
        <f>'CAFA - DEDS'!AE26</f>
        <v>0</v>
      </c>
      <c r="Q37" s="38">
        <f t="shared" si="13"/>
        <v>0</v>
      </c>
      <c r="R37" s="49">
        <f t="shared" si="14"/>
        <v>0</v>
      </c>
      <c r="S37" s="76">
        <f t="shared" si="15"/>
        <v>0</v>
      </c>
      <c r="T37" s="77">
        <f t="shared" si="16"/>
        <v>0</v>
      </c>
      <c r="U37" s="33">
        <f t="shared" si="17"/>
        <v>7</v>
      </c>
      <c r="V37" s="36">
        <f>ROUND('CAFA - PAY'!I37*0.12,2)</f>
        <v>0</v>
      </c>
      <c r="W37" s="37">
        <f t="shared" si="18"/>
        <v>100</v>
      </c>
      <c r="X37" s="37">
        <f>MIN((I37*0.05)-'CAFA - DEDS'!Y26,2500)</f>
        <v>0</v>
      </c>
      <c r="Y37" s="41">
        <f t="shared" si="19"/>
        <v>200</v>
      </c>
    </row>
    <row r="38" spans="1:25" ht="18.75" customHeight="1" x14ac:dyDescent="0.25">
      <c r="A38" s="98"/>
      <c r="B38" s="33">
        <f t="shared" si="10"/>
        <v>8</v>
      </c>
      <c r="C38" s="72">
        <f>VLOOKUP(B38,'WTAX-CAFA'!B:N,2,0)</f>
        <v>0</v>
      </c>
      <c r="D38" s="72" t="e">
        <f>VLOOKUP(C38,'WTAX-CAFA'!C:O,2,0)</f>
        <v>#N/A</v>
      </c>
      <c r="E38" s="306">
        <f>VLOOKUP(B38,'WTAX-CAFA'!B:N,4,0)</f>
        <v>0</v>
      </c>
      <c r="F38" s="86"/>
      <c r="G38" s="91"/>
      <c r="H38" s="91"/>
      <c r="I38" s="37">
        <f t="shared" si="11"/>
        <v>0</v>
      </c>
      <c r="J38" s="332">
        <f>'WTAX-CAFA'!N25</f>
        <v>0</v>
      </c>
      <c r="K38" s="211">
        <f t="shared" si="12"/>
        <v>0</v>
      </c>
      <c r="L38" s="40">
        <f>'WTAX-CAFA'!F25</f>
        <v>0</v>
      </c>
      <c r="M38" s="37">
        <f>'CAFA - DEDS'!R27</f>
        <v>0</v>
      </c>
      <c r="N38" s="37">
        <f>'CAFA - DEDS'!X27</f>
        <v>0</v>
      </c>
      <c r="O38" s="37">
        <f>'CAFA - DEDS'!Y27</f>
        <v>0</v>
      </c>
      <c r="P38" s="37">
        <f>'CAFA - DEDS'!AE27</f>
        <v>0</v>
      </c>
      <c r="Q38" s="38">
        <f t="shared" si="13"/>
        <v>0</v>
      </c>
      <c r="R38" s="49">
        <f t="shared" si="14"/>
        <v>0</v>
      </c>
      <c r="S38" s="76">
        <f t="shared" si="15"/>
        <v>0</v>
      </c>
      <c r="T38" s="77">
        <f t="shared" si="16"/>
        <v>0</v>
      </c>
      <c r="U38" s="33">
        <f t="shared" si="17"/>
        <v>8</v>
      </c>
      <c r="V38" s="36">
        <f>ROUND('CAFA - PAY'!I38*0.12,2)</f>
        <v>0</v>
      </c>
      <c r="W38" s="37">
        <f t="shared" si="18"/>
        <v>100</v>
      </c>
      <c r="X38" s="37">
        <f>MIN((I38*0.05)-'CAFA - DEDS'!Y27,2500)</f>
        <v>0</v>
      </c>
      <c r="Y38" s="41">
        <f t="shared" si="19"/>
        <v>200</v>
      </c>
    </row>
    <row r="39" spans="1:25" ht="18.75" customHeight="1" x14ac:dyDescent="0.25">
      <c r="A39" s="98"/>
      <c r="B39" s="33">
        <f t="shared" si="10"/>
        <v>9</v>
      </c>
      <c r="C39" s="72">
        <f>VLOOKUP(B39,'WTAX-CAFA'!B:N,2,0)</f>
        <v>0</v>
      </c>
      <c r="D39" s="72" t="e">
        <f>VLOOKUP(C39,'WTAX-CAFA'!C:O,2,0)</f>
        <v>#N/A</v>
      </c>
      <c r="E39" s="306">
        <f>VLOOKUP(B39,'WTAX-CAFA'!B:N,4,0)</f>
        <v>0</v>
      </c>
      <c r="F39" s="86"/>
      <c r="G39" s="91"/>
      <c r="H39" s="91"/>
      <c r="I39" s="37">
        <f t="shared" si="11"/>
        <v>0</v>
      </c>
      <c r="J39" s="332">
        <f>'WTAX-CAFA'!N26</f>
        <v>0</v>
      </c>
      <c r="K39" s="211">
        <f t="shared" si="12"/>
        <v>0</v>
      </c>
      <c r="L39" s="40">
        <f>'WTAX-CAFA'!F26</f>
        <v>0</v>
      </c>
      <c r="M39" s="37">
        <f>'CAFA - DEDS'!R28</f>
        <v>0</v>
      </c>
      <c r="N39" s="37">
        <f>'CAFA - DEDS'!X28</f>
        <v>0</v>
      </c>
      <c r="O39" s="37">
        <f>'CAFA - DEDS'!Y28</f>
        <v>0</v>
      </c>
      <c r="P39" s="37">
        <f>'CAFA - DEDS'!AE28</f>
        <v>0</v>
      </c>
      <c r="Q39" s="38">
        <f t="shared" si="13"/>
        <v>0</v>
      </c>
      <c r="R39" s="49">
        <f t="shared" si="14"/>
        <v>0</v>
      </c>
      <c r="S39" s="76">
        <f t="shared" si="15"/>
        <v>0</v>
      </c>
      <c r="T39" s="77">
        <f t="shared" si="16"/>
        <v>0</v>
      </c>
      <c r="U39" s="33">
        <f t="shared" si="17"/>
        <v>9</v>
      </c>
      <c r="V39" s="36">
        <f>ROUND('CAFA - PAY'!I39*0.12,2)</f>
        <v>0</v>
      </c>
      <c r="W39" s="37">
        <f t="shared" si="18"/>
        <v>100</v>
      </c>
      <c r="X39" s="37">
        <f>MIN((I39*0.05)-'CAFA - DEDS'!Y28,2500)</f>
        <v>0</v>
      </c>
      <c r="Y39" s="41">
        <f t="shared" si="19"/>
        <v>200</v>
      </c>
    </row>
    <row r="40" spans="1:25" ht="18.75" customHeight="1" x14ac:dyDescent="0.25">
      <c r="A40" s="98"/>
      <c r="B40" s="33">
        <f t="shared" si="10"/>
        <v>10</v>
      </c>
      <c r="C40" s="72">
        <f>VLOOKUP(B40,'WTAX-CAFA'!B:N,2,0)</f>
        <v>0</v>
      </c>
      <c r="D40" s="72" t="e">
        <f>VLOOKUP(C40,'WTAX-CAFA'!C:O,2,0)</f>
        <v>#N/A</v>
      </c>
      <c r="E40" s="306">
        <f>VLOOKUP(B40,'WTAX-CAFA'!B:N,4,0)</f>
        <v>0</v>
      </c>
      <c r="F40" s="86"/>
      <c r="G40" s="91"/>
      <c r="H40" s="91"/>
      <c r="I40" s="37">
        <f t="shared" si="11"/>
        <v>0</v>
      </c>
      <c r="J40" s="332">
        <f>'WTAX-CAFA'!N27</f>
        <v>0</v>
      </c>
      <c r="K40" s="211">
        <f t="shared" si="12"/>
        <v>0</v>
      </c>
      <c r="L40" s="40">
        <f>'WTAX-CAFA'!F27</f>
        <v>0</v>
      </c>
      <c r="M40" s="37">
        <f>'CAFA - DEDS'!R29</f>
        <v>0</v>
      </c>
      <c r="N40" s="37">
        <f>'CAFA - DEDS'!X29</f>
        <v>0</v>
      </c>
      <c r="O40" s="37">
        <f>'CAFA - DEDS'!Y29</f>
        <v>0</v>
      </c>
      <c r="P40" s="37">
        <f>'CAFA - DEDS'!AE29</f>
        <v>0</v>
      </c>
      <c r="Q40" s="38">
        <f t="shared" si="13"/>
        <v>0</v>
      </c>
      <c r="R40" s="49">
        <f t="shared" si="14"/>
        <v>0</v>
      </c>
      <c r="S40" s="76">
        <f t="shared" si="15"/>
        <v>0</v>
      </c>
      <c r="T40" s="77">
        <f t="shared" si="16"/>
        <v>0</v>
      </c>
      <c r="U40" s="33">
        <f t="shared" si="17"/>
        <v>10</v>
      </c>
      <c r="V40" s="36">
        <f>ROUND('CAFA - PAY'!I40*0.12,2)</f>
        <v>0</v>
      </c>
      <c r="W40" s="37">
        <f t="shared" si="18"/>
        <v>100</v>
      </c>
      <c r="X40" s="37">
        <f>MIN((I40*0.05)-'CAFA - DEDS'!Y29,2500)</f>
        <v>0</v>
      </c>
      <c r="Y40" s="41">
        <f t="shared" si="19"/>
        <v>200</v>
      </c>
    </row>
    <row r="41" spans="1:25" ht="18.75" customHeight="1" x14ac:dyDescent="0.25">
      <c r="A41" s="98"/>
      <c r="B41" s="33">
        <f t="shared" si="10"/>
        <v>11</v>
      </c>
      <c r="C41" s="72">
        <f>VLOOKUP(B41,'WTAX-CAFA'!B:N,2,0)</f>
        <v>0</v>
      </c>
      <c r="D41" s="72" t="e">
        <f>VLOOKUP(C41,'WTAX-CAFA'!C:O,2,0)</f>
        <v>#N/A</v>
      </c>
      <c r="E41" s="306">
        <f>VLOOKUP(B41,'WTAX-CAFA'!B:N,4,0)</f>
        <v>0</v>
      </c>
      <c r="F41" s="86"/>
      <c r="G41" s="91"/>
      <c r="H41" s="91"/>
      <c r="I41" s="37">
        <f t="shared" si="11"/>
        <v>0</v>
      </c>
      <c r="J41" s="332">
        <f>'WTAX-CAFA'!N28</f>
        <v>0</v>
      </c>
      <c r="K41" s="211">
        <f t="shared" si="12"/>
        <v>0</v>
      </c>
      <c r="L41" s="40">
        <f>'WTAX-CAFA'!F28</f>
        <v>0</v>
      </c>
      <c r="M41" s="37">
        <f>'CAFA - DEDS'!R30</f>
        <v>0</v>
      </c>
      <c r="N41" s="37">
        <f>'CAFA - DEDS'!X30</f>
        <v>0</v>
      </c>
      <c r="O41" s="37">
        <f>'CAFA - DEDS'!Y30</f>
        <v>0</v>
      </c>
      <c r="P41" s="37">
        <f>'CAFA - DEDS'!AE30</f>
        <v>0</v>
      </c>
      <c r="Q41" s="38">
        <f t="shared" si="13"/>
        <v>0</v>
      </c>
      <c r="R41" s="49">
        <f t="shared" si="14"/>
        <v>0</v>
      </c>
      <c r="S41" s="76">
        <f t="shared" si="15"/>
        <v>0</v>
      </c>
      <c r="T41" s="77">
        <f t="shared" si="16"/>
        <v>0</v>
      </c>
      <c r="U41" s="33">
        <f t="shared" si="17"/>
        <v>11</v>
      </c>
      <c r="V41" s="36">
        <f>ROUND('CAFA - PAY'!I41*0.12,2)</f>
        <v>0</v>
      </c>
      <c r="W41" s="37">
        <f t="shared" si="18"/>
        <v>100</v>
      </c>
      <c r="X41" s="37">
        <f>MIN((I41*0.05)-'CAFA - DEDS'!Y30,2500)</f>
        <v>0</v>
      </c>
      <c r="Y41" s="41">
        <f t="shared" si="19"/>
        <v>200</v>
      </c>
    </row>
    <row r="42" spans="1:25" ht="18.75" customHeight="1" x14ac:dyDescent="0.25">
      <c r="A42" s="98"/>
      <c r="B42" s="33">
        <f t="shared" si="10"/>
        <v>12</v>
      </c>
      <c r="C42" s="72">
        <f>VLOOKUP(B42,'WTAX-CAFA'!B:N,2,0)</f>
        <v>0</v>
      </c>
      <c r="D42" s="72" t="e">
        <f>VLOOKUP(C42,'WTAX-CAFA'!C:O,2,0)</f>
        <v>#N/A</v>
      </c>
      <c r="E42" s="306">
        <f>VLOOKUP(B42,'WTAX-CAFA'!B:N,4,0)</f>
        <v>0</v>
      </c>
      <c r="F42" s="86"/>
      <c r="G42" s="91"/>
      <c r="H42" s="91"/>
      <c r="I42" s="37">
        <f t="shared" si="11"/>
        <v>0</v>
      </c>
      <c r="J42" s="332">
        <f>'WTAX-CAFA'!N29</f>
        <v>0</v>
      </c>
      <c r="K42" s="211">
        <f t="shared" si="12"/>
        <v>0</v>
      </c>
      <c r="L42" s="40">
        <f>'WTAX-CAFA'!F29</f>
        <v>0</v>
      </c>
      <c r="M42" s="37">
        <f>'CAFA - DEDS'!R31</f>
        <v>0</v>
      </c>
      <c r="N42" s="37">
        <f>'CAFA - DEDS'!X31</f>
        <v>0</v>
      </c>
      <c r="O42" s="37">
        <f>'CAFA - DEDS'!Y31</f>
        <v>0</v>
      </c>
      <c r="P42" s="37">
        <f>'CAFA - DEDS'!AE31</f>
        <v>0</v>
      </c>
      <c r="Q42" s="38">
        <f t="shared" si="13"/>
        <v>0</v>
      </c>
      <c r="R42" s="49">
        <f t="shared" si="14"/>
        <v>0</v>
      </c>
      <c r="S42" s="76">
        <f t="shared" si="15"/>
        <v>0</v>
      </c>
      <c r="T42" s="77">
        <f t="shared" si="16"/>
        <v>0</v>
      </c>
      <c r="U42" s="33">
        <f t="shared" si="17"/>
        <v>12</v>
      </c>
      <c r="V42" s="36">
        <f>ROUND('CAFA - PAY'!I42*0.12,2)</f>
        <v>0</v>
      </c>
      <c r="W42" s="37">
        <f t="shared" si="18"/>
        <v>100</v>
      </c>
      <c r="X42" s="37">
        <f>MIN((I42*0.05)-'CAFA - DEDS'!Y31,2500)</f>
        <v>0</v>
      </c>
      <c r="Y42" s="41">
        <f t="shared" si="19"/>
        <v>200</v>
      </c>
    </row>
    <row r="43" spans="1:25" ht="18.75" customHeight="1" x14ac:dyDescent="0.25">
      <c r="A43" s="98"/>
      <c r="B43" s="33">
        <f t="shared" si="10"/>
        <v>13</v>
      </c>
      <c r="C43" s="72">
        <f>VLOOKUP(B43,'WTAX-CAFA'!B:N,2,0)</f>
        <v>0</v>
      </c>
      <c r="D43" s="72" t="e">
        <f>VLOOKUP(C43,'WTAX-CAFA'!C:O,2,0)</f>
        <v>#N/A</v>
      </c>
      <c r="E43" s="306">
        <f>VLOOKUP(B43,'WTAX-CAFA'!B:N,4,0)</f>
        <v>0</v>
      </c>
      <c r="F43" s="86"/>
      <c r="G43" s="91"/>
      <c r="H43" s="91"/>
      <c r="I43" s="37">
        <f t="shared" si="11"/>
        <v>0</v>
      </c>
      <c r="J43" s="332">
        <f>'WTAX-CAFA'!N30</f>
        <v>0</v>
      </c>
      <c r="K43" s="211">
        <f t="shared" si="12"/>
        <v>0</v>
      </c>
      <c r="L43" s="40">
        <f>'WTAX-CAFA'!F30</f>
        <v>0</v>
      </c>
      <c r="M43" s="37">
        <f>'CAFA - DEDS'!R32</f>
        <v>0</v>
      </c>
      <c r="N43" s="37">
        <f>'CAFA - DEDS'!X32</f>
        <v>0</v>
      </c>
      <c r="O43" s="37">
        <f>'CAFA - DEDS'!Y32</f>
        <v>0</v>
      </c>
      <c r="P43" s="37">
        <f>'CAFA - DEDS'!AE32</f>
        <v>0</v>
      </c>
      <c r="Q43" s="38">
        <f t="shared" si="13"/>
        <v>0</v>
      </c>
      <c r="R43" s="49">
        <f t="shared" si="14"/>
        <v>0</v>
      </c>
      <c r="S43" s="76">
        <f t="shared" si="15"/>
        <v>0</v>
      </c>
      <c r="T43" s="77">
        <f t="shared" si="16"/>
        <v>0</v>
      </c>
      <c r="U43" s="33">
        <f t="shared" si="17"/>
        <v>13</v>
      </c>
      <c r="V43" s="36">
        <f>ROUND('CAFA - PAY'!I43*0.12,2)</f>
        <v>0</v>
      </c>
      <c r="W43" s="37">
        <f t="shared" si="18"/>
        <v>100</v>
      </c>
      <c r="X43" s="37">
        <f>MIN((I43*0.05)-'CAFA - DEDS'!Y32,2500)</f>
        <v>0</v>
      </c>
      <c r="Y43" s="41">
        <f t="shared" si="19"/>
        <v>200</v>
      </c>
    </row>
    <row r="44" spans="1:25" ht="18.75" customHeight="1" x14ac:dyDescent="0.25">
      <c r="A44" s="98"/>
      <c r="B44" s="33">
        <f>+B33+1</f>
        <v>14</v>
      </c>
      <c r="C44" s="72">
        <f>VLOOKUP(B44,'WTAX-CAFA'!B:N,2,0)</f>
        <v>0</v>
      </c>
      <c r="D44" s="72" t="e">
        <f>VLOOKUP(C44,'WTAX-CAFA'!C:O,2,0)</f>
        <v>#N/A</v>
      </c>
      <c r="E44" s="306">
        <f>VLOOKUP(B44,'WTAX-CAFA'!B:N,4,0)</f>
        <v>0</v>
      </c>
      <c r="F44" s="86"/>
      <c r="G44" s="91"/>
      <c r="H44" s="91"/>
      <c r="I44" s="37">
        <f t="shared" si="0"/>
        <v>0</v>
      </c>
      <c r="J44" s="332">
        <f>'WTAX-CAFA'!N31</f>
        <v>0</v>
      </c>
      <c r="K44" s="211">
        <f t="shared" si="5"/>
        <v>0</v>
      </c>
      <c r="L44" s="40">
        <f>'WTAX-CAFA'!F31</f>
        <v>0</v>
      </c>
      <c r="M44" s="37">
        <f>'CAFA - DEDS'!R43</f>
        <v>0</v>
      </c>
      <c r="N44" s="37">
        <f>'CAFA - DEDS'!X43</f>
        <v>0</v>
      </c>
      <c r="O44" s="37">
        <f>'CAFA - DEDS'!Y43</f>
        <v>0</v>
      </c>
      <c r="P44" s="37">
        <f>'CAFA - DEDS'!AE43</f>
        <v>0</v>
      </c>
      <c r="Q44" s="38">
        <f t="shared" si="6"/>
        <v>0</v>
      </c>
      <c r="R44" s="49">
        <f t="shared" si="7"/>
        <v>0</v>
      </c>
      <c r="S44" s="76">
        <f t="shared" si="8"/>
        <v>0</v>
      </c>
      <c r="T44" s="77">
        <f t="shared" si="9"/>
        <v>0</v>
      </c>
      <c r="U44" s="33">
        <f t="shared" si="1"/>
        <v>14</v>
      </c>
      <c r="V44" s="36">
        <f>ROUND('CAFA - PAY'!I44*0.12,2)</f>
        <v>0</v>
      </c>
      <c r="W44" s="37">
        <f>W33</f>
        <v>100</v>
      </c>
      <c r="X44" s="37">
        <f>MIN((I44*0.05)-'CAFA - DEDS'!Y43,2500)</f>
        <v>0</v>
      </c>
      <c r="Y44" s="41">
        <f>Y33</f>
        <v>200</v>
      </c>
    </row>
    <row r="45" spans="1:25" ht="18.75" customHeight="1" x14ac:dyDescent="0.25">
      <c r="A45" s="98"/>
      <c r="B45" s="63"/>
      <c r="C45" s="64"/>
      <c r="D45" s="64"/>
      <c r="E45" s="63"/>
      <c r="F45" s="89"/>
      <c r="G45" s="91"/>
      <c r="H45" s="91"/>
      <c r="I45" s="66"/>
      <c r="J45" s="333"/>
      <c r="K45" s="212"/>
      <c r="L45" s="68"/>
      <c r="M45" s="66"/>
      <c r="N45" s="66"/>
      <c r="O45" s="66"/>
      <c r="P45" s="66"/>
      <c r="Q45" s="69"/>
      <c r="R45" s="70"/>
      <c r="S45" s="68"/>
      <c r="T45" s="71"/>
      <c r="U45" s="63"/>
      <c r="V45" s="65"/>
      <c r="W45" s="66"/>
      <c r="X45" s="66"/>
      <c r="Y45" s="71"/>
    </row>
    <row r="46" spans="1:25" ht="18.75" customHeight="1" thickBot="1" x14ac:dyDescent="0.3">
      <c r="A46" s="98"/>
      <c r="B46" s="64"/>
      <c r="C46" s="64"/>
      <c r="D46" s="64"/>
      <c r="E46" s="63"/>
      <c r="F46" s="92">
        <f>SUM(F21:F45)</f>
        <v>0</v>
      </c>
      <c r="G46" s="93"/>
      <c r="H46" s="93">
        <f t="shared" ref="H46:T46" si="20">SUM(H21:H45)</f>
        <v>0</v>
      </c>
      <c r="I46" s="79">
        <f t="shared" si="20"/>
        <v>0</v>
      </c>
      <c r="J46" s="334">
        <f t="shared" si="20"/>
        <v>0</v>
      </c>
      <c r="K46" s="213">
        <f t="shared" si="20"/>
        <v>0</v>
      </c>
      <c r="L46" s="155">
        <f t="shared" si="20"/>
        <v>0</v>
      </c>
      <c r="M46" s="152">
        <f t="shared" si="20"/>
        <v>0</v>
      </c>
      <c r="N46" s="152">
        <f t="shared" si="20"/>
        <v>0</v>
      </c>
      <c r="O46" s="152">
        <f t="shared" si="20"/>
        <v>0</v>
      </c>
      <c r="P46" s="152">
        <f t="shared" si="20"/>
        <v>0</v>
      </c>
      <c r="Q46" s="153">
        <f t="shared" si="20"/>
        <v>0</v>
      </c>
      <c r="R46" s="154">
        <f t="shared" si="20"/>
        <v>0</v>
      </c>
      <c r="S46" s="155">
        <f t="shared" si="20"/>
        <v>0</v>
      </c>
      <c r="T46" s="156">
        <f t="shared" si="20"/>
        <v>0</v>
      </c>
      <c r="U46" s="63"/>
      <c r="V46" s="157">
        <f>SUM(V21:V45)</f>
        <v>0</v>
      </c>
      <c r="W46" s="152">
        <f>SUM(W21:W45)</f>
        <v>2400</v>
      </c>
      <c r="X46" s="152">
        <f>SUM(X21:X45)</f>
        <v>0</v>
      </c>
      <c r="Y46" s="156">
        <f>SUM(Y21:Y45)</f>
        <v>4800</v>
      </c>
    </row>
    <row r="47" spans="1:25" ht="21" customHeight="1" thickBot="1" x14ac:dyDescent="0.3">
      <c r="A47" s="98"/>
      <c r="B47" s="1" t="s">
        <v>21</v>
      </c>
      <c r="C47" s="854" t="s">
        <v>104</v>
      </c>
      <c r="D47" s="855"/>
      <c r="E47" s="855"/>
      <c r="F47" s="855"/>
      <c r="G47" s="855"/>
      <c r="H47" s="167"/>
      <c r="I47" s="167"/>
      <c r="J47" s="167"/>
      <c r="K47" s="158"/>
      <c r="L47" s="158"/>
      <c r="M47" s="158"/>
      <c r="N47" s="159"/>
      <c r="O47" s="1" t="s">
        <v>23</v>
      </c>
      <c r="P47" s="170" t="s">
        <v>89</v>
      </c>
      <c r="Q47" s="158"/>
      <c r="R47" s="158"/>
      <c r="S47" s="875"/>
      <c r="T47" s="875"/>
      <c r="U47" s="875"/>
      <c r="V47" s="875"/>
      <c r="W47" s="875"/>
      <c r="X47" s="875"/>
      <c r="Y47" s="876"/>
    </row>
    <row r="48" spans="1:25" ht="30.75" customHeight="1" x14ac:dyDescent="0.25">
      <c r="A48" s="98"/>
      <c r="B48" s="17" t="s">
        <v>22</v>
      </c>
      <c r="D48" s="8"/>
      <c r="E48" s="50"/>
      <c r="F48" s="8"/>
      <c r="G48" s="8"/>
      <c r="H48" s="8"/>
      <c r="I48" s="160"/>
      <c r="J48" s="160"/>
      <c r="K48" s="160"/>
      <c r="L48" s="160"/>
      <c r="M48" s="160"/>
      <c r="N48" s="147"/>
      <c r="O48" s="870" t="e" cm="1">
        <f t="array" aca="1" ref="O48" ca="1">PesosInWords2Caps(W48)</f>
        <v>#NAME?</v>
      </c>
      <c r="P48" s="871"/>
      <c r="Q48" s="871"/>
      <c r="R48" s="871"/>
      <c r="S48" s="871"/>
      <c r="T48" s="871"/>
      <c r="U48" s="871"/>
      <c r="V48" s="871"/>
      <c r="W48" s="868">
        <f>S46</f>
        <v>0</v>
      </c>
      <c r="X48" s="868"/>
      <c r="Y48" s="869"/>
    </row>
    <row r="49" spans="1:26" ht="21.75" customHeight="1" x14ac:dyDescent="0.25">
      <c r="A49" s="98"/>
      <c r="B49" s="17"/>
      <c r="C49" s="8"/>
      <c r="D49" s="8"/>
      <c r="E49" s="50"/>
      <c r="F49" s="8"/>
      <c r="G49" s="8"/>
      <c r="H49" s="8"/>
      <c r="I49" s="8"/>
      <c r="J49" s="8"/>
      <c r="K49" s="8"/>
      <c r="L49" s="8"/>
      <c r="M49" s="8"/>
      <c r="N49" s="18"/>
      <c r="O49" s="25"/>
      <c r="P49" s="8"/>
      <c r="Q49" s="8"/>
      <c r="R49" s="8"/>
      <c r="S49" s="9"/>
      <c r="T49" s="9"/>
      <c r="U49" s="6"/>
      <c r="V49" s="9"/>
      <c r="W49" s="9"/>
      <c r="X49" s="9"/>
      <c r="Y49" s="19"/>
    </row>
    <row r="50" spans="1:26" ht="21.75" customHeight="1" x14ac:dyDescent="0.25">
      <c r="A50" s="98"/>
      <c r="B50" s="17"/>
      <c r="N50" s="56"/>
      <c r="O50" s="149"/>
      <c r="P50" s="50"/>
      <c r="U50" s="6"/>
      <c r="Y50" s="19"/>
    </row>
    <row r="51" spans="1:26" ht="16.5" customHeight="1" x14ac:dyDescent="0.25">
      <c r="A51" s="98"/>
      <c r="B51" s="17"/>
      <c r="C51" s="820" t="s">
        <v>47</v>
      </c>
      <c r="D51" s="820"/>
      <c r="E51" s="325"/>
      <c r="F51" s="342">
        <f ca="1">NOW()</f>
        <v>46275.505203009256</v>
      </c>
      <c r="G51" s="164"/>
      <c r="H51" s="820" t="s">
        <v>95</v>
      </c>
      <c r="I51" s="820"/>
      <c r="J51" s="820"/>
      <c r="K51" s="820"/>
      <c r="L51" s="8"/>
      <c r="M51" s="342">
        <f ca="1">NOW()</f>
        <v>46275.505203009256</v>
      </c>
      <c r="N51" s="165"/>
      <c r="O51" s="161"/>
      <c r="P51" s="51"/>
      <c r="Q51" s="820" t="s">
        <v>97</v>
      </c>
      <c r="R51" s="820"/>
      <c r="S51" s="820"/>
      <c r="U51" s="6"/>
      <c r="V51" s="839"/>
      <c r="W51" s="839"/>
      <c r="X51" s="839"/>
      <c r="Y51" s="19"/>
    </row>
    <row r="52" spans="1:26" ht="15.75" x14ac:dyDescent="0.25">
      <c r="A52" s="98"/>
      <c r="B52" s="17"/>
      <c r="C52" s="827" t="s">
        <v>93</v>
      </c>
      <c r="D52" s="827"/>
      <c r="E52" s="6"/>
      <c r="F52" s="171" t="s">
        <v>29</v>
      </c>
      <c r="G52" s="9"/>
      <c r="H52" s="827" t="s">
        <v>94</v>
      </c>
      <c r="I52" s="827"/>
      <c r="J52" s="827"/>
      <c r="K52" s="827"/>
      <c r="L52" s="9"/>
      <c r="M52" s="171" t="s">
        <v>29</v>
      </c>
      <c r="N52" s="172"/>
      <c r="O52" s="161"/>
      <c r="P52" s="51"/>
      <c r="Q52" s="827" t="s">
        <v>96</v>
      </c>
      <c r="R52" s="827"/>
      <c r="S52" s="827"/>
      <c r="T52" s="9"/>
      <c r="U52" s="6"/>
      <c r="V52" s="840" t="s">
        <v>29</v>
      </c>
      <c r="W52" s="840"/>
      <c r="X52" s="840"/>
      <c r="Y52" s="19"/>
    </row>
    <row r="53" spans="1:26" ht="16.5" thickBot="1" x14ac:dyDescent="0.3">
      <c r="A53" s="98"/>
      <c r="B53" s="20"/>
      <c r="C53" s="21"/>
      <c r="D53" s="21"/>
      <c r="E53" s="326"/>
      <c r="F53" s="21"/>
      <c r="G53" s="21"/>
      <c r="H53" s="21"/>
      <c r="I53" s="21"/>
      <c r="J53" s="21"/>
      <c r="K53" s="29"/>
      <c r="L53" s="29"/>
      <c r="M53" s="29"/>
      <c r="N53" s="168"/>
      <c r="O53" s="162"/>
      <c r="P53" s="22"/>
      <c r="Q53" s="30"/>
      <c r="R53" s="30"/>
      <c r="S53" s="30"/>
      <c r="T53" s="10"/>
      <c r="U53" s="54"/>
      <c r="V53" s="10"/>
      <c r="W53" s="10"/>
      <c r="X53" s="10"/>
      <c r="Y53" s="23"/>
      <c r="Z53" s="842"/>
    </row>
    <row r="54" spans="1:26" ht="21" customHeight="1" thickBot="1" x14ac:dyDescent="0.3">
      <c r="A54" s="98"/>
      <c r="B54" s="1" t="s">
        <v>24</v>
      </c>
      <c r="C54" s="818" t="s">
        <v>105</v>
      </c>
      <c r="D54" s="818" t="s">
        <v>100</v>
      </c>
      <c r="E54" s="818"/>
      <c r="F54" s="818"/>
      <c r="G54" s="818"/>
      <c r="H54" s="818"/>
      <c r="I54" s="818"/>
      <c r="J54" s="818"/>
      <c r="K54" s="818"/>
      <c r="L54" s="828">
        <f>S46</f>
        <v>0</v>
      </c>
      <c r="M54" s="828"/>
      <c r="N54" s="829"/>
      <c r="O54" s="1" t="s">
        <v>25</v>
      </c>
      <c r="P54" s="835" t="s">
        <v>35</v>
      </c>
      <c r="Q54" s="835"/>
      <c r="R54" s="835"/>
      <c r="S54" s="835"/>
      <c r="T54" s="836"/>
      <c r="U54" s="1" t="s">
        <v>27</v>
      </c>
      <c r="V54" s="148"/>
      <c r="W54" s="148"/>
      <c r="X54" s="148"/>
      <c r="Y54" s="24"/>
      <c r="Z54" s="843"/>
    </row>
    <row r="55" spans="1:26" ht="30.75" customHeight="1" x14ac:dyDescent="0.25">
      <c r="A55" s="98"/>
      <c r="B55" s="17" t="s">
        <v>26</v>
      </c>
      <c r="C55" s="819"/>
      <c r="D55" s="819"/>
      <c r="E55" s="819"/>
      <c r="F55" s="819"/>
      <c r="G55" s="819"/>
      <c r="H55" s="819"/>
      <c r="I55" s="819"/>
      <c r="J55" s="819"/>
      <c r="K55" s="819"/>
      <c r="L55" s="830"/>
      <c r="M55" s="830"/>
      <c r="N55" s="831"/>
      <c r="O55" s="25"/>
      <c r="P55" s="837"/>
      <c r="Q55" s="837"/>
      <c r="R55" s="837"/>
      <c r="S55" s="837"/>
      <c r="T55" s="838"/>
      <c r="U55" s="149"/>
      <c r="V55" s="61" t="s">
        <v>90</v>
      </c>
      <c r="W55" s="820" t="str">
        <f>'GEN.AD - PAY'!$W$172</f>
        <v>01-101101-2026-01-0003</v>
      </c>
      <c r="X55" s="820"/>
      <c r="Y55" s="822"/>
      <c r="Z55" s="843"/>
    </row>
    <row r="56" spans="1:26" ht="24.95" customHeight="1" x14ac:dyDescent="0.25">
      <c r="A56" s="98"/>
      <c r="B56" s="17"/>
      <c r="C56" s="8" t="s">
        <v>28</v>
      </c>
      <c r="D56" s="8"/>
      <c r="E56" s="50"/>
      <c r="F56" s="8"/>
      <c r="G56" s="8"/>
      <c r="H56" s="8"/>
      <c r="I56" s="8"/>
      <c r="J56" s="8"/>
      <c r="K56" s="8"/>
      <c r="L56" s="8"/>
      <c r="M56" s="8"/>
      <c r="N56" s="18"/>
      <c r="O56" s="25"/>
      <c r="P56" s="8"/>
      <c r="T56" s="26"/>
      <c r="U56" s="150"/>
      <c r="V56" s="61" t="s">
        <v>91</v>
      </c>
      <c r="W56" s="918">
        <f>'GEN.AD - PAY'!$W$173</f>
        <v>46038</v>
      </c>
      <c r="X56" s="918"/>
      <c r="Y56" s="919"/>
      <c r="Z56" s="843"/>
    </row>
    <row r="57" spans="1:26" ht="24.95" customHeight="1" x14ac:dyDescent="0.25">
      <c r="A57" s="98"/>
      <c r="B57" s="17"/>
      <c r="E57" s="820" t="s">
        <v>102</v>
      </c>
      <c r="F57" s="820"/>
      <c r="G57" s="820"/>
      <c r="H57" s="820"/>
      <c r="I57" s="820"/>
      <c r="K57" s="821"/>
      <c r="L57" s="821"/>
      <c r="M57" s="8"/>
      <c r="N57" s="18"/>
      <c r="O57" s="25"/>
      <c r="P57" s="820" t="s">
        <v>99</v>
      </c>
      <c r="Q57" s="820"/>
      <c r="R57" s="820"/>
      <c r="S57" s="820"/>
      <c r="T57" s="26"/>
      <c r="U57" s="149"/>
      <c r="V57" s="61" t="s">
        <v>92</v>
      </c>
      <c r="W57" s="820" t="str">
        <f>'GEN.AD - PAY'!$W$174</f>
        <v>01-2026-01-0019</v>
      </c>
      <c r="X57" s="820"/>
      <c r="Y57" s="822"/>
      <c r="Z57" s="843"/>
    </row>
    <row r="58" spans="1:26" ht="24.95" customHeight="1" x14ac:dyDescent="0.25">
      <c r="A58" s="98"/>
      <c r="B58" s="17"/>
      <c r="E58" s="881" t="s">
        <v>101</v>
      </c>
      <c r="F58" s="881"/>
      <c r="G58" s="881"/>
      <c r="H58" s="881"/>
      <c r="I58" s="881"/>
      <c r="J58" s="9"/>
      <c r="K58" s="889" t="s">
        <v>29</v>
      </c>
      <c r="L58" s="889"/>
      <c r="M58" s="27"/>
      <c r="N58" s="165"/>
      <c r="O58" s="161"/>
      <c r="P58" s="827" t="s">
        <v>98</v>
      </c>
      <c r="Q58" s="827"/>
      <c r="R58" s="827"/>
      <c r="S58" s="827"/>
      <c r="T58" s="26"/>
      <c r="U58" s="150"/>
      <c r="V58" s="61" t="s">
        <v>91</v>
      </c>
      <c r="W58" s="918">
        <f>'GEN.AD - PAY'!$W$175</f>
        <v>46038</v>
      </c>
      <c r="X58" s="918"/>
      <c r="Y58" s="919"/>
      <c r="Z58" s="28"/>
    </row>
    <row r="59" spans="1:26" ht="16.5" thickBot="1" x14ac:dyDescent="0.3">
      <c r="A59" s="98"/>
      <c r="B59" s="20"/>
      <c r="C59" s="29"/>
      <c r="D59" s="29"/>
      <c r="E59" s="880"/>
      <c r="F59" s="880"/>
      <c r="G59" s="880"/>
      <c r="H59" s="880"/>
      <c r="I59" s="29"/>
      <c r="J59" s="29"/>
      <c r="K59" s="30"/>
      <c r="L59" s="30"/>
      <c r="M59" s="30"/>
      <c r="N59" s="168"/>
      <c r="O59" s="162"/>
      <c r="P59" s="30"/>
      <c r="Q59" s="30"/>
      <c r="R59" s="30"/>
      <c r="S59" s="30"/>
      <c r="T59" s="23"/>
      <c r="U59" s="151"/>
      <c r="V59" s="10"/>
      <c r="W59" s="10"/>
      <c r="X59" s="10"/>
      <c r="Y59" s="23"/>
    </row>
    <row r="61" spans="1:26" x14ac:dyDescent="0.25">
      <c r="C61" s="32"/>
    </row>
    <row r="62" spans="1:26" x14ac:dyDescent="0.25">
      <c r="C62" s="32"/>
    </row>
    <row r="63" spans="1:26" x14ac:dyDescent="0.25">
      <c r="C63" s="32"/>
    </row>
    <row r="64" spans="1:26" x14ac:dyDescent="0.25">
      <c r="C64" s="32"/>
    </row>
    <row r="65" spans="3:3" x14ac:dyDescent="0.25">
      <c r="C65" s="32"/>
    </row>
  </sheetData>
  <mergeCells count="68">
    <mergeCell ref="B8:Y8"/>
    <mergeCell ref="V18:V19"/>
    <mergeCell ref="W18:W19"/>
    <mergeCell ref="X2:Y2"/>
    <mergeCell ref="B3:Y3"/>
    <mergeCell ref="B4:Y4"/>
    <mergeCell ref="B5:Y5"/>
    <mergeCell ref="B6:Y6"/>
    <mergeCell ref="B9:Y9"/>
    <mergeCell ref="B10:Y10"/>
    <mergeCell ref="B11:Y11"/>
    <mergeCell ref="D12:D14"/>
    <mergeCell ref="B13:C13"/>
    <mergeCell ref="W13:Y13"/>
    <mergeCell ref="B15:Y15"/>
    <mergeCell ref="B17:B19"/>
    <mergeCell ref="S17:S19"/>
    <mergeCell ref="T17:T19"/>
    <mergeCell ref="C17:C19"/>
    <mergeCell ref="D17:D19"/>
    <mergeCell ref="E17:E19"/>
    <mergeCell ref="F17:K17"/>
    <mergeCell ref="L17:Q17"/>
    <mergeCell ref="J18:J19"/>
    <mergeCell ref="K18:K19"/>
    <mergeCell ref="R17:R19"/>
    <mergeCell ref="F18:F19"/>
    <mergeCell ref="G18:G19"/>
    <mergeCell ref="C47:G47"/>
    <mergeCell ref="O48:V48"/>
    <mergeCell ref="W48:Y48"/>
    <mergeCell ref="N18:N19"/>
    <mergeCell ref="O18:O19"/>
    <mergeCell ref="P18:P19"/>
    <mergeCell ref="Q18:Q19"/>
    <mergeCell ref="U17:U19"/>
    <mergeCell ref="V17:Y17"/>
    <mergeCell ref="S47:Y47"/>
    <mergeCell ref="X18:X19"/>
    <mergeCell ref="Y18:Y19"/>
    <mergeCell ref="L18:L19"/>
    <mergeCell ref="M18:M19"/>
    <mergeCell ref="H18:H19"/>
    <mergeCell ref="I18:I19"/>
    <mergeCell ref="C51:D51"/>
    <mergeCell ref="H51:K51"/>
    <mergeCell ref="Q51:S51"/>
    <mergeCell ref="V51:X51"/>
    <mergeCell ref="C52:D52"/>
    <mergeCell ref="H52:K52"/>
    <mergeCell ref="Q52:S52"/>
    <mergeCell ref="V52:X52"/>
    <mergeCell ref="E59:H59"/>
    <mergeCell ref="Z53:Z57"/>
    <mergeCell ref="C54:C55"/>
    <mergeCell ref="D54:K55"/>
    <mergeCell ref="L54:N55"/>
    <mergeCell ref="P54:T55"/>
    <mergeCell ref="W55:Y55"/>
    <mergeCell ref="W56:Y56"/>
    <mergeCell ref="E57:I57"/>
    <mergeCell ref="K57:L57"/>
    <mergeCell ref="P57:S57"/>
    <mergeCell ref="W57:Y57"/>
    <mergeCell ref="E58:I58"/>
    <mergeCell ref="K58:L58"/>
    <mergeCell ref="P58:S58"/>
    <mergeCell ref="W58:Y58"/>
  </mergeCells>
  <conditionalFormatting sqref="S21:T44">
    <cfRule type="cellIs" dxfId="7" priority="1" stopIfTrue="1" operator="equal">
      <formula>2500</formula>
    </cfRule>
  </conditionalFormatting>
  <printOptions horizontalCentered="1"/>
  <pageMargins left="0.39370078740157483" right="0.39370078740157483" top="0.39370078740157483" bottom="0.19685039370078741" header="0" footer="0"/>
  <pageSetup paperSize="14" scale="51" fitToHeight="0" orientation="landscape" r:id="rId1"/>
  <headerFooter alignWithMargins="0">
    <oddHeader>&amp;R
&amp;16Sheet &amp;"Times New Roman,Bold"&amp;U&amp;P&amp;"Times New Roman,Regular"&amp;U of &amp;"Times New Roman,Bold"&amp;U&amp;N&amp;"Times New Roman,Regular"&amp;U Sheet/s</oddHead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>
    <tabColor rgb="FF7030A0"/>
    <pageSetUpPr fitToPage="1"/>
  </sheetPr>
  <dimension ref="A1:AG51"/>
  <sheetViews>
    <sheetView showWhiteSpace="0" topLeftCell="A16" zoomScaleNormal="100" zoomScaleSheetLayoutView="100" workbookViewId="0">
      <pane xSplit="6" ySplit="3" topLeftCell="V19" activePane="bottomRight" state="frozen"/>
      <selection activeCell="W45" sqref="W45:Y48"/>
      <selection pane="topRight" activeCell="W45" sqref="W45:Y48"/>
      <selection pane="bottomLeft" activeCell="W45" sqref="W45:Y48"/>
      <selection pane="bottomRight" activeCell="W45" sqref="W45:Y48"/>
    </sheetView>
  </sheetViews>
  <sheetFormatPr defaultRowHeight="30.75" x14ac:dyDescent="0.25"/>
  <cols>
    <col min="1" max="1" width="9.375" style="31" customWidth="1"/>
    <col min="2" max="2" width="6.75" style="4" customWidth="1"/>
    <col min="3" max="3" width="24.625" style="4" customWidth="1"/>
    <col min="4" max="4" width="12.875" style="4" customWidth="1"/>
    <col min="5" max="5" width="9.625" style="57" customWidth="1"/>
    <col min="6" max="6" width="10.875" style="4" customWidth="1"/>
    <col min="7" max="7" width="12" style="4" customWidth="1"/>
    <col min="8" max="12" width="10.625" style="4" customWidth="1"/>
    <col min="13" max="13" width="12.25" style="4" customWidth="1"/>
    <col min="14" max="17" width="10.625" style="4" customWidth="1"/>
    <col min="18" max="18" width="11.75" style="4" customWidth="1"/>
    <col min="19" max="19" width="11.25" style="4" customWidth="1"/>
    <col min="20" max="20" width="10.625" style="4" customWidth="1"/>
    <col min="21" max="21" width="10.75" style="4" customWidth="1"/>
    <col min="22" max="23" width="9.875" style="4" customWidth="1"/>
    <col min="24" max="24" width="11.125" style="4" customWidth="1"/>
    <col min="25" max="25" width="10.875" style="4" customWidth="1"/>
    <col min="26" max="26" width="12.375" style="4" customWidth="1"/>
    <col min="27" max="27" width="11.125" style="4" customWidth="1"/>
    <col min="28" max="28" width="11.25" style="4" customWidth="1"/>
    <col min="29" max="30" width="9.875" style="4" customWidth="1"/>
    <col min="31" max="31" width="11.5" style="4" customWidth="1"/>
    <col min="32" max="32" width="13.875" style="4" customWidth="1"/>
    <col min="33" max="33" width="10.375" style="4" bestFit="1" customWidth="1"/>
    <col min="34" max="16384" width="9" style="4"/>
  </cols>
  <sheetData>
    <row r="1" spans="1:33" ht="23.25" customHeight="1" x14ac:dyDescent="0.25">
      <c r="A1" s="98">
        <v>94</v>
      </c>
      <c r="F1" s="5"/>
      <c r="X1" s="5"/>
      <c r="Y1" s="5"/>
      <c r="AE1" s="5"/>
      <c r="AF1" s="3"/>
    </row>
    <row r="2" spans="1:33" ht="23.25" x14ac:dyDescent="0.25">
      <c r="A2" s="98"/>
      <c r="F2" s="5"/>
      <c r="X2" s="5"/>
      <c r="Y2" s="5"/>
      <c r="AE2" s="864" t="s">
        <v>40</v>
      </c>
      <c r="AF2" s="864"/>
    </row>
    <row r="3" spans="1:33" ht="15.75" customHeight="1" x14ac:dyDescent="0.25">
      <c r="A3" s="98"/>
      <c r="B3" s="877" t="s">
        <v>42</v>
      </c>
      <c r="C3" s="877"/>
      <c r="D3" s="877"/>
      <c r="E3" s="877"/>
      <c r="F3" s="877"/>
      <c r="G3" s="877"/>
      <c r="H3" s="877"/>
      <c r="I3" s="877"/>
      <c r="J3" s="877"/>
      <c r="K3" s="877"/>
      <c r="L3" s="877"/>
      <c r="M3" s="877"/>
      <c r="N3" s="877"/>
      <c r="O3" s="877"/>
      <c r="P3" s="877"/>
      <c r="Q3" s="877"/>
      <c r="R3" s="877"/>
      <c r="S3" s="877"/>
      <c r="T3" s="877"/>
      <c r="U3" s="877"/>
      <c r="V3" s="877"/>
      <c r="W3" s="877"/>
      <c r="X3" s="877"/>
      <c r="Y3" s="877"/>
      <c r="Z3" s="877"/>
      <c r="AA3" s="877"/>
      <c r="AB3" s="877"/>
      <c r="AC3" s="877"/>
      <c r="AD3" s="877"/>
      <c r="AE3" s="877"/>
      <c r="AF3" s="877"/>
    </row>
    <row r="4" spans="1:33" ht="15.75" customHeight="1" x14ac:dyDescent="0.25">
      <c r="A4" s="98"/>
      <c r="B4" s="878" t="s">
        <v>43</v>
      </c>
      <c r="C4" s="878"/>
      <c r="D4" s="878"/>
      <c r="E4" s="878"/>
      <c r="F4" s="878"/>
      <c r="G4" s="878"/>
      <c r="H4" s="878"/>
      <c r="I4" s="878"/>
      <c r="J4" s="878"/>
      <c r="K4" s="878"/>
      <c r="L4" s="878"/>
      <c r="M4" s="878"/>
      <c r="N4" s="878"/>
      <c r="O4" s="878"/>
      <c r="P4" s="878"/>
      <c r="Q4" s="878"/>
      <c r="R4" s="878"/>
      <c r="S4" s="878"/>
      <c r="T4" s="878"/>
      <c r="U4" s="878"/>
      <c r="V4" s="878"/>
      <c r="W4" s="878"/>
      <c r="X4" s="878"/>
      <c r="Y4" s="878"/>
      <c r="Z4" s="878"/>
      <c r="AA4" s="878"/>
      <c r="AB4" s="878"/>
      <c r="AC4" s="878"/>
      <c r="AD4" s="878"/>
      <c r="AE4" s="878"/>
      <c r="AF4" s="878"/>
    </row>
    <row r="5" spans="1:33" ht="15.75" customHeight="1" x14ac:dyDescent="0.25">
      <c r="A5" s="98"/>
      <c r="B5" s="878" t="s">
        <v>44</v>
      </c>
      <c r="C5" s="878"/>
      <c r="D5" s="878"/>
      <c r="E5" s="878"/>
      <c r="F5" s="878"/>
      <c r="G5" s="878"/>
      <c r="H5" s="878"/>
      <c r="I5" s="878"/>
      <c r="J5" s="878"/>
      <c r="K5" s="878"/>
      <c r="L5" s="878"/>
      <c r="M5" s="878"/>
      <c r="N5" s="878"/>
      <c r="O5" s="878"/>
      <c r="P5" s="878"/>
      <c r="Q5" s="878"/>
      <c r="R5" s="878"/>
      <c r="S5" s="878"/>
      <c r="T5" s="878"/>
      <c r="U5" s="878"/>
      <c r="V5" s="878"/>
      <c r="W5" s="878"/>
      <c r="X5" s="878"/>
      <c r="Y5" s="878"/>
      <c r="Z5" s="878"/>
      <c r="AA5" s="878"/>
      <c r="AB5" s="878"/>
      <c r="AC5" s="878"/>
      <c r="AD5" s="878"/>
      <c r="AE5" s="878"/>
      <c r="AF5" s="878"/>
    </row>
    <row r="6" spans="1:33" ht="15.75" customHeight="1" x14ac:dyDescent="0.25">
      <c r="A6" s="98"/>
      <c r="B6" s="877" t="s">
        <v>45</v>
      </c>
      <c r="C6" s="877"/>
      <c r="D6" s="877"/>
      <c r="E6" s="877"/>
      <c r="F6" s="877"/>
      <c r="G6" s="877"/>
      <c r="H6" s="877"/>
      <c r="I6" s="877"/>
      <c r="J6" s="877"/>
      <c r="K6" s="877"/>
      <c r="L6" s="877"/>
      <c r="M6" s="877"/>
      <c r="N6" s="877"/>
      <c r="O6" s="877"/>
      <c r="P6" s="877"/>
      <c r="Q6" s="877"/>
      <c r="R6" s="877"/>
      <c r="S6" s="877"/>
      <c r="T6" s="877"/>
      <c r="U6" s="877"/>
      <c r="V6" s="877"/>
      <c r="W6" s="877"/>
      <c r="X6" s="877"/>
      <c r="Y6" s="877"/>
      <c r="Z6" s="877"/>
      <c r="AA6" s="877"/>
      <c r="AB6" s="877"/>
      <c r="AC6" s="877"/>
      <c r="AD6" s="877"/>
      <c r="AE6" s="877"/>
      <c r="AF6" s="877"/>
    </row>
    <row r="7" spans="1:33" ht="15.75" customHeight="1" x14ac:dyDescent="0.25">
      <c r="A7" s="98"/>
      <c r="F7" s="2"/>
      <c r="X7" s="2"/>
      <c r="Y7" s="2"/>
      <c r="AE7" s="2"/>
      <c r="AF7" s="2"/>
    </row>
    <row r="8" spans="1:33" ht="22.5" x14ac:dyDescent="0.25">
      <c r="A8" s="98"/>
      <c r="B8" s="882" t="s">
        <v>64</v>
      </c>
      <c r="C8" s="882"/>
      <c r="D8" s="882"/>
      <c r="E8" s="882"/>
      <c r="F8" s="882"/>
      <c r="G8" s="882"/>
      <c r="H8" s="882"/>
      <c r="I8" s="882"/>
      <c r="J8" s="882"/>
      <c r="K8" s="882"/>
      <c r="L8" s="882"/>
      <c r="M8" s="882"/>
      <c r="N8" s="882"/>
      <c r="O8" s="882"/>
      <c r="P8" s="882"/>
      <c r="Q8" s="882"/>
      <c r="R8" s="882"/>
      <c r="S8" s="882"/>
      <c r="T8" s="882"/>
      <c r="U8" s="882"/>
      <c r="V8" s="882"/>
      <c r="W8" s="882"/>
      <c r="X8" s="882"/>
      <c r="Y8" s="882"/>
      <c r="Z8" s="882"/>
      <c r="AA8" s="882"/>
      <c r="AB8" s="882"/>
      <c r="AC8" s="882"/>
      <c r="AD8" s="882"/>
      <c r="AE8" s="882"/>
      <c r="AF8" s="882"/>
    </row>
    <row r="9" spans="1:33" ht="20.25" x14ac:dyDescent="0.25">
      <c r="A9" s="98"/>
      <c r="B9" s="867" t="str">
        <f>'CAFA - PAY'!B9</f>
        <v>Regular Employees - COLLEGE OF ARCHITECTURE AND FINE ARTS</v>
      </c>
      <c r="C9" s="867"/>
      <c r="D9" s="867"/>
      <c r="E9" s="867"/>
      <c r="F9" s="867"/>
      <c r="G9" s="867"/>
      <c r="H9" s="867"/>
      <c r="I9" s="867"/>
      <c r="J9" s="867"/>
      <c r="K9" s="867"/>
      <c r="L9" s="867"/>
      <c r="M9" s="867"/>
      <c r="N9" s="867"/>
      <c r="O9" s="867"/>
      <c r="P9" s="867"/>
      <c r="Q9" s="867"/>
      <c r="R9" s="867"/>
      <c r="S9" s="867"/>
      <c r="T9" s="867"/>
      <c r="U9" s="867"/>
      <c r="V9" s="867"/>
      <c r="W9" s="867"/>
      <c r="X9" s="867"/>
      <c r="Y9" s="867"/>
      <c r="Z9" s="867"/>
      <c r="AA9" s="867"/>
      <c r="AB9" s="867"/>
      <c r="AC9" s="867"/>
      <c r="AD9" s="867"/>
      <c r="AE9" s="867"/>
      <c r="AF9" s="867"/>
    </row>
    <row r="10" spans="1:33" ht="20.25" x14ac:dyDescent="0.25">
      <c r="A10" s="98"/>
      <c r="B10" s="879" t="str">
        <f>'CAFA - PAY'!B10</f>
        <v>For the period JANUARY 1-31, 2026</v>
      </c>
      <c r="C10" s="879"/>
      <c r="D10" s="879"/>
      <c r="E10" s="879"/>
      <c r="F10" s="879"/>
      <c r="G10" s="879"/>
      <c r="H10" s="879"/>
      <c r="I10" s="879"/>
      <c r="J10" s="879"/>
      <c r="K10" s="879"/>
      <c r="L10" s="879"/>
      <c r="M10" s="879"/>
      <c r="N10" s="879"/>
      <c r="O10" s="879"/>
      <c r="P10" s="879"/>
      <c r="Q10" s="879"/>
      <c r="R10" s="879"/>
      <c r="S10" s="879"/>
      <c r="T10" s="879"/>
      <c r="U10" s="879"/>
      <c r="V10" s="879"/>
      <c r="W10" s="879"/>
      <c r="X10" s="879"/>
      <c r="Y10" s="879"/>
      <c r="Z10" s="879"/>
      <c r="AA10" s="879"/>
      <c r="AB10" s="879"/>
      <c r="AC10" s="879"/>
      <c r="AD10" s="879"/>
      <c r="AE10" s="879"/>
      <c r="AF10" s="879"/>
    </row>
    <row r="11" spans="1:33" ht="15.75" x14ac:dyDescent="0.25">
      <c r="A11" s="98"/>
      <c r="B11" s="9"/>
      <c r="C11" s="6"/>
      <c r="D11" s="866" t="str">
        <f>+'CAFA - PAY'!D12</f>
        <v>01</v>
      </c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</row>
    <row r="12" spans="1:33" s="8" customFormat="1" ht="24.95" customHeight="1" x14ac:dyDescent="0.25">
      <c r="A12" s="98"/>
      <c r="B12" s="865" t="s">
        <v>88</v>
      </c>
      <c r="C12" s="865"/>
      <c r="D12" s="867"/>
      <c r="E12" s="178"/>
      <c r="F12" s="169"/>
      <c r="G12" s="169"/>
      <c r="H12" s="169"/>
      <c r="I12" s="169"/>
      <c r="J12" s="169"/>
      <c r="K12" s="169"/>
      <c r="L12" s="169"/>
      <c r="M12" s="169"/>
      <c r="N12" s="169"/>
      <c r="O12" s="169"/>
      <c r="P12" s="169"/>
      <c r="Q12" s="169"/>
      <c r="R12" s="9"/>
      <c r="S12" s="9"/>
      <c r="T12" s="9"/>
      <c r="U12" s="9"/>
      <c r="AA12" s="7"/>
      <c r="AB12" s="169" t="s">
        <v>103</v>
      </c>
      <c r="AC12" s="169"/>
      <c r="AD12" s="832" t="str">
        <f>'CAFA - PAY'!W13</f>
        <v>2026-01-020</v>
      </c>
      <c r="AE12" s="832"/>
      <c r="AF12" s="832"/>
    </row>
    <row r="13" spans="1:33" s="8" customFormat="1" ht="24.95" customHeight="1" x14ac:dyDescent="0.25">
      <c r="A13" s="98"/>
      <c r="B13" s="9"/>
      <c r="C13" s="9"/>
      <c r="D13" s="867"/>
      <c r="E13" s="6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AB13" s="169"/>
      <c r="AC13" s="169"/>
      <c r="AD13" s="9"/>
      <c r="AE13" s="9"/>
      <c r="AF13" s="9"/>
    </row>
    <row r="14" spans="1:33" s="8" customFormat="1" ht="15.75" customHeight="1" x14ac:dyDescent="0.25">
      <c r="A14" s="98"/>
      <c r="B14" s="872"/>
      <c r="C14" s="872"/>
      <c r="D14" s="872"/>
      <c r="E14" s="872"/>
      <c r="F14" s="872"/>
      <c r="G14" s="872"/>
      <c r="H14" s="872"/>
      <c r="I14" s="872"/>
      <c r="J14" s="872"/>
      <c r="K14" s="872"/>
      <c r="L14" s="872"/>
      <c r="M14" s="872"/>
      <c r="N14" s="872"/>
      <c r="O14" s="872"/>
      <c r="P14" s="872"/>
      <c r="Q14" s="872"/>
      <c r="R14" s="872"/>
      <c r="S14" s="872"/>
      <c r="T14" s="872"/>
      <c r="U14" s="872"/>
      <c r="V14" s="872"/>
      <c r="W14" s="872"/>
      <c r="X14" s="872"/>
      <c r="Y14" s="872"/>
      <c r="Z14" s="872"/>
    </row>
    <row r="15" spans="1:33" ht="9" customHeight="1" thickBot="1" x14ac:dyDescent="0.3">
      <c r="A15" s="98"/>
      <c r="B15" s="9"/>
      <c r="C15" s="10"/>
      <c r="D15" s="10"/>
      <c r="E15" s="54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9"/>
      <c r="T15" s="9"/>
      <c r="U15" s="9"/>
      <c r="V15" s="9"/>
      <c r="W15" s="9"/>
      <c r="X15" s="10"/>
      <c r="Y15" s="10"/>
      <c r="Z15" s="9"/>
      <c r="AA15" s="9"/>
      <c r="AB15" s="9"/>
      <c r="AC15" s="9"/>
      <c r="AD15" s="9"/>
      <c r="AE15" s="10"/>
      <c r="AF15" s="10"/>
    </row>
    <row r="16" spans="1:33" ht="16.5" customHeight="1" thickBot="1" x14ac:dyDescent="0.3">
      <c r="A16" s="98"/>
      <c r="B16" s="802" t="s">
        <v>6</v>
      </c>
      <c r="C16" s="777" t="s">
        <v>1</v>
      </c>
      <c r="D16" s="777" t="s">
        <v>2</v>
      </c>
      <c r="E16" s="802" t="s">
        <v>14</v>
      </c>
      <c r="F16" s="904" t="s">
        <v>54</v>
      </c>
      <c r="G16" s="841" t="s">
        <v>66</v>
      </c>
      <c r="H16" s="833"/>
      <c r="I16" s="833"/>
      <c r="J16" s="833"/>
      <c r="K16" s="833"/>
      <c r="L16" s="833"/>
      <c r="M16" s="833"/>
      <c r="N16" s="833"/>
      <c r="O16" s="833"/>
      <c r="P16" s="833"/>
      <c r="Q16" s="833"/>
      <c r="R16" s="834"/>
      <c r="S16" s="841" t="s">
        <v>63</v>
      </c>
      <c r="T16" s="833"/>
      <c r="U16" s="833"/>
      <c r="V16" s="833"/>
      <c r="W16" s="833"/>
      <c r="X16" s="834"/>
      <c r="Y16" s="904" t="s">
        <v>57</v>
      </c>
      <c r="Z16" s="841" t="s">
        <v>80</v>
      </c>
      <c r="AA16" s="833"/>
      <c r="AB16" s="833"/>
      <c r="AC16" s="833"/>
      <c r="AD16" s="833"/>
      <c r="AE16" s="834"/>
      <c r="AF16" s="802" t="s">
        <v>87</v>
      </c>
      <c r="AG16" s="11"/>
    </row>
    <row r="17" spans="1:33" ht="19.5" customHeight="1" x14ac:dyDescent="0.25">
      <c r="A17" s="98"/>
      <c r="B17" s="803"/>
      <c r="C17" s="778"/>
      <c r="D17" s="778"/>
      <c r="E17" s="803"/>
      <c r="F17" s="905"/>
      <c r="G17" s="911" t="s">
        <v>65</v>
      </c>
      <c r="H17" s="894" t="s">
        <v>110</v>
      </c>
      <c r="I17" s="887" t="s">
        <v>67</v>
      </c>
      <c r="J17" s="892" t="s">
        <v>68</v>
      </c>
      <c r="K17" s="896" t="s">
        <v>69</v>
      </c>
      <c r="L17" s="896" t="s">
        <v>70</v>
      </c>
      <c r="M17" s="896" t="s">
        <v>71</v>
      </c>
      <c r="N17" s="896" t="s">
        <v>72</v>
      </c>
      <c r="O17" s="894" t="s">
        <v>73</v>
      </c>
      <c r="P17" s="894" t="s">
        <v>111</v>
      </c>
      <c r="Q17" s="894" t="s">
        <v>78</v>
      </c>
      <c r="R17" s="909" t="s">
        <v>74</v>
      </c>
      <c r="S17" s="844" t="s">
        <v>75</v>
      </c>
      <c r="T17" s="913" t="s">
        <v>76</v>
      </c>
      <c r="U17" s="896" t="s">
        <v>71</v>
      </c>
      <c r="V17" s="896" t="s">
        <v>77</v>
      </c>
      <c r="W17" s="907" t="s">
        <v>78</v>
      </c>
      <c r="X17" s="902" t="s">
        <v>79</v>
      </c>
      <c r="Y17" s="905"/>
      <c r="Z17" s="898" t="s">
        <v>81</v>
      </c>
      <c r="AA17" s="900" t="s">
        <v>82</v>
      </c>
      <c r="AB17" s="896" t="s">
        <v>83</v>
      </c>
      <c r="AC17" s="892" t="s">
        <v>84</v>
      </c>
      <c r="AD17" s="907" t="s">
        <v>86</v>
      </c>
      <c r="AE17" s="915" t="s">
        <v>85</v>
      </c>
      <c r="AF17" s="803"/>
      <c r="AG17" s="11"/>
    </row>
    <row r="18" spans="1:33" ht="26.25" customHeight="1" thickBot="1" x14ac:dyDescent="0.3">
      <c r="A18" s="98"/>
      <c r="B18" s="803"/>
      <c r="C18" s="778"/>
      <c r="D18" s="778"/>
      <c r="E18" s="803"/>
      <c r="F18" s="906"/>
      <c r="G18" s="912"/>
      <c r="H18" s="895"/>
      <c r="I18" s="888"/>
      <c r="J18" s="893"/>
      <c r="K18" s="897"/>
      <c r="L18" s="897"/>
      <c r="M18" s="897"/>
      <c r="N18" s="897"/>
      <c r="O18" s="895"/>
      <c r="P18" s="895"/>
      <c r="Q18" s="895"/>
      <c r="R18" s="910"/>
      <c r="S18" s="845"/>
      <c r="T18" s="914"/>
      <c r="U18" s="897"/>
      <c r="V18" s="897"/>
      <c r="W18" s="908"/>
      <c r="X18" s="903"/>
      <c r="Y18" s="906"/>
      <c r="Z18" s="899"/>
      <c r="AA18" s="901"/>
      <c r="AB18" s="897"/>
      <c r="AC18" s="893"/>
      <c r="AD18" s="908"/>
      <c r="AE18" s="916"/>
      <c r="AF18" s="804"/>
      <c r="AG18" s="11"/>
    </row>
    <row r="19" spans="1:33" ht="18.75" customHeight="1" x14ac:dyDescent="0.25">
      <c r="A19" s="98"/>
      <c r="B19" s="12"/>
      <c r="C19" s="12"/>
      <c r="D19" s="12"/>
      <c r="E19" s="55"/>
      <c r="F19" s="12"/>
      <c r="G19" s="46"/>
      <c r="H19" s="173"/>
      <c r="I19" s="173"/>
      <c r="J19" s="173"/>
      <c r="K19" s="173"/>
      <c r="L19" s="173"/>
      <c r="M19" s="173"/>
      <c r="N19" s="173"/>
      <c r="O19" s="173"/>
      <c r="P19" s="173"/>
      <c r="Q19" s="173"/>
      <c r="R19" s="43"/>
      <c r="S19" s="174"/>
      <c r="T19" s="175"/>
      <c r="U19" s="173"/>
      <c r="V19" s="173"/>
      <c r="W19" s="173"/>
      <c r="X19" s="176"/>
      <c r="Y19" s="12"/>
      <c r="Z19" s="174"/>
      <c r="AA19" s="175"/>
      <c r="AB19" s="173"/>
      <c r="AC19" s="173"/>
      <c r="AD19" s="173"/>
      <c r="AE19" s="177"/>
      <c r="AF19" s="43"/>
    </row>
    <row r="20" spans="1:33" ht="18.75" customHeight="1" x14ac:dyDescent="0.25">
      <c r="A20" s="98"/>
      <c r="B20" s="33">
        <v>1</v>
      </c>
      <c r="C20" s="72">
        <f>'CAFA - PAY'!C21</f>
        <v>0</v>
      </c>
      <c r="D20" s="72" t="e">
        <f>'CAFA - PAY'!D21</f>
        <v>#N/A</v>
      </c>
      <c r="E20" s="306">
        <f>'CAFA - PAY'!E21</f>
        <v>0</v>
      </c>
      <c r="F20" s="49">
        <f>'CAFA - PAY'!L21</f>
        <v>0</v>
      </c>
      <c r="G20" s="36">
        <f>ROUND('CAFA - PAY'!I21*0.09,2)</f>
        <v>0</v>
      </c>
      <c r="H20" s="88"/>
      <c r="I20" s="88"/>
      <c r="J20" s="88"/>
      <c r="K20" s="88"/>
      <c r="L20" s="88"/>
      <c r="M20" s="88"/>
      <c r="N20" s="88"/>
      <c r="O20" s="88"/>
      <c r="P20" s="88"/>
      <c r="Q20" s="88"/>
      <c r="R20" s="41">
        <f>SUM(G20:Q20)</f>
        <v>0</v>
      </c>
      <c r="S20" s="86"/>
      <c r="T20" s="87"/>
      <c r="U20" s="88"/>
      <c r="V20" s="88"/>
      <c r="W20" s="88"/>
      <c r="X20" s="38">
        <f>SUM(S20:W20)</f>
        <v>0</v>
      </c>
      <c r="Y20" s="49">
        <f>MIN(ROUNDDOWN('CAFA - PAY'!I21*0.05/2,2),2500)</f>
        <v>0</v>
      </c>
      <c r="Z20" s="86"/>
      <c r="AA20" s="87"/>
      <c r="AB20" s="88"/>
      <c r="AC20" s="88"/>
      <c r="AD20" s="88"/>
      <c r="AE20" s="35">
        <f>SUM(Z20:AD20)</f>
        <v>0</v>
      </c>
      <c r="AF20" s="62">
        <f>SUM(F20,R20,X20,Y20,AE20)</f>
        <v>0</v>
      </c>
    </row>
    <row r="21" spans="1:33" ht="18.75" customHeight="1" x14ac:dyDescent="0.25">
      <c r="A21" s="98"/>
      <c r="B21" s="33">
        <f>+B20+1</f>
        <v>2</v>
      </c>
      <c r="C21" s="72">
        <f>'CAFA - PAY'!C22</f>
        <v>0</v>
      </c>
      <c r="D21" s="72" t="e">
        <f>'CAFA - PAY'!D22</f>
        <v>#N/A</v>
      </c>
      <c r="E21" s="306">
        <f>'CAFA - PAY'!E22</f>
        <v>0</v>
      </c>
      <c r="F21" s="49">
        <f>'CAFA - PAY'!L22</f>
        <v>0</v>
      </c>
      <c r="G21" s="36">
        <f>ROUND('CAFA - PAY'!I22*0.09,2)</f>
        <v>0</v>
      </c>
      <c r="H21" s="88"/>
      <c r="I21" s="88"/>
      <c r="J21" s="88"/>
      <c r="K21" s="88"/>
      <c r="L21" s="88"/>
      <c r="M21" s="88"/>
      <c r="N21" s="88"/>
      <c r="O21" s="88"/>
      <c r="P21" s="88"/>
      <c r="Q21" s="88"/>
      <c r="R21" s="41">
        <f>SUM(G21:Q21)</f>
        <v>0</v>
      </c>
      <c r="S21" s="86"/>
      <c r="T21" s="87"/>
      <c r="U21" s="88"/>
      <c r="V21" s="88"/>
      <c r="W21" s="88"/>
      <c r="X21" s="38">
        <f>SUM(S21:W21)</f>
        <v>0</v>
      </c>
      <c r="Y21" s="49">
        <f>MIN(ROUNDDOWN('CAFA - PAY'!I22*0.05/2,2),2500)</f>
        <v>0</v>
      </c>
      <c r="Z21" s="86"/>
      <c r="AA21" s="87"/>
      <c r="AB21" s="88"/>
      <c r="AC21" s="88"/>
      <c r="AD21" s="88"/>
      <c r="AE21" s="35">
        <f>SUM(Z21:AD21)</f>
        <v>0</v>
      </c>
      <c r="AF21" s="62">
        <f>SUM(F21,R21,X21,Y21,AE21)</f>
        <v>0</v>
      </c>
    </row>
    <row r="22" spans="1:33" ht="18.75" customHeight="1" x14ac:dyDescent="0.25">
      <c r="A22" s="98"/>
      <c r="B22" s="33">
        <f>+B21+1</f>
        <v>3</v>
      </c>
      <c r="C22" s="72">
        <f>'CAFA - PAY'!C23</f>
        <v>0</v>
      </c>
      <c r="D22" s="72" t="e">
        <f>'CAFA - PAY'!D23</f>
        <v>#N/A</v>
      </c>
      <c r="E22" s="306">
        <f>'CAFA - PAY'!E23</f>
        <v>0</v>
      </c>
      <c r="F22" s="49">
        <f>'CAFA - PAY'!L23</f>
        <v>0</v>
      </c>
      <c r="G22" s="36">
        <f>ROUND('CAFA - PAY'!I23*0.09,2)</f>
        <v>0</v>
      </c>
      <c r="H22" s="88"/>
      <c r="I22" s="88"/>
      <c r="J22" s="88"/>
      <c r="K22" s="88"/>
      <c r="L22" s="88"/>
      <c r="M22" s="88"/>
      <c r="N22" s="88"/>
      <c r="O22" s="88"/>
      <c r="P22" s="88"/>
      <c r="Q22" s="88"/>
      <c r="R22" s="41">
        <f>SUM(G22:Q22)</f>
        <v>0</v>
      </c>
      <c r="S22" s="86"/>
      <c r="T22" s="87"/>
      <c r="U22" s="88"/>
      <c r="V22" s="88"/>
      <c r="W22" s="88"/>
      <c r="X22" s="38">
        <f>SUM(S22:W22)</f>
        <v>0</v>
      </c>
      <c r="Y22" s="49">
        <f>MIN(ROUNDDOWN('CAFA - PAY'!I23*0.05/2,2),2500)</f>
        <v>0</v>
      </c>
      <c r="Z22" s="86"/>
      <c r="AA22" s="87"/>
      <c r="AB22" s="88"/>
      <c r="AC22" s="88"/>
      <c r="AD22" s="88"/>
      <c r="AE22" s="35">
        <f>SUM(Z22:AD22)</f>
        <v>0</v>
      </c>
      <c r="AF22" s="62">
        <f>SUM(F22,R22,X22,Y22,AE22)</f>
        <v>0</v>
      </c>
    </row>
    <row r="23" spans="1:33" ht="18.75" customHeight="1" x14ac:dyDescent="0.25">
      <c r="A23" s="98"/>
      <c r="B23" s="33">
        <f t="shared" ref="B23:B32" si="0">+B22+1</f>
        <v>4</v>
      </c>
      <c r="C23" s="72">
        <f>'CAFA - PAY'!C24</f>
        <v>0</v>
      </c>
      <c r="D23" s="72" t="e">
        <f>'CAFA - PAY'!D24</f>
        <v>#N/A</v>
      </c>
      <c r="E23" s="306">
        <f>'CAFA - PAY'!E24</f>
        <v>0</v>
      </c>
      <c r="F23" s="49">
        <f>'CAFA - PAY'!L24</f>
        <v>0</v>
      </c>
      <c r="G23" s="36">
        <f>ROUND('CAFA - PAY'!I24*0.09,2)</f>
        <v>0</v>
      </c>
      <c r="H23" s="88"/>
      <c r="I23" s="88"/>
      <c r="J23" s="88"/>
      <c r="K23" s="88"/>
      <c r="L23" s="88"/>
      <c r="M23" s="88"/>
      <c r="N23" s="88"/>
      <c r="O23" s="88"/>
      <c r="P23" s="88"/>
      <c r="Q23" s="88"/>
      <c r="R23" s="41">
        <f>SUM(G23:Q23)</f>
        <v>0</v>
      </c>
      <c r="S23" s="86"/>
      <c r="T23" s="87"/>
      <c r="U23" s="88"/>
      <c r="V23" s="88"/>
      <c r="W23" s="88"/>
      <c r="X23" s="38">
        <f>SUM(S23:W23)</f>
        <v>0</v>
      </c>
      <c r="Y23" s="49">
        <f>MIN(ROUNDDOWN('CAFA - PAY'!I24*0.05/2,2),2500)</f>
        <v>0</v>
      </c>
      <c r="Z23" s="86"/>
      <c r="AA23" s="87"/>
      <c r="AB23" s="88"/>
      <c r="AC23" s="88"/>
      <c r="AD23" s="88"/>
      <c r="AE23" s="35">
        <f>SUM(Z23:AD23)</f>
        <v>0</v>
      </c>
      <c r="AF23" s="62">
        <f>SUM(F23,R23,X23,Y23,AE23)</f>
        <v>0</v>
      </c>
      <c r="AG23" s="75"/>
    </row>
    <row r="24" spans="1:33" ht="18.75" customHeight="1" x14ac:dyDescent="0.25">
      <c r="A24" s="98"/>
      <c r="B24" s="33">
        <f t="shared" si="0"/>
        <v>5</v>
      </c>
      <c r="C24" s="72">
        <f>'CAFA - PAY'!C25</f>
        <v>0</v>
      </c>
      <c r="D24" s="72" t="e">
        <f>'CAFA - PAY'!D25</f>
        <v>#N/A</v>
      </c>
      <c r="E24" s="306">
        <f>'CAFA - PAY'!E25</f>
        <v>0</v>
      </c>
      <c r="F24" s="49">
        <f>'CAFA - PAY'!L25</f>
        <v>0</v>
      </c>
      <c r="G24" s="36">
        <f>ROUND('CAFA - PAY'!I25*0.09,2)</f>
        <v>0</v>
      </c>
      <c r="H24" s="88"/>
      <c r="I24" s="88"/>
      <c r="J24" s="88"/>
      <c r="K24" s="88"/>
      <c r="L24" s="88"/>
      <c r="M24" s="88"/>
      <c r="N24" s="88"/>
      <c r="O24" s="88"/>
      <c r="P24" s="88"/>
      <c r="Q24" s="88"/>
      <c r="R24" s="41">
        <f>SUM(G24:Q24)</f>
        <v>0</v>
      </c>
      <c r="S24" s="86"/>
      <c r="T24" s="87"/>
      <c r="U24" s="88"/>
      <c r="V24" s="88"/>
      <c r="W24" s="88"/>
      <c r="X24" s="38">
        <f>SUM(S24:W24)</f>
        <v>0</v>
      </c>
      <c r="Y24" s="49">
        <f>MIN(ROUNDDOWN('CAFA - PAY'!I25*0.05/2,2),2500)</f>
        <v>0</v>
      </c>
      <c r="Z24" s="86"/>
      <c r="AA24" s="87"/>
      <c r="AB24" s="88"/>
      <c r="AC24" s="88"/>
      <c r="AD24" s="88"/>
      <c r="AE24" s="35">
        <f>SUM(Z24:AD24)</f>
        <v>0</v>
      </c>
      <c r="AF24" s="62">
        <f>SUM(F24,R24,X24,Y24,AE24)</f>
        <v>0</v>
      </c>
    </row>
    <row r="25" spans="1:33" ht="18.75" customHeight="1" x14ac:dyDescent="0.25">
      <c r="A25" s="98"/>
      <c r="B25" s="33">
        <f t="shared" si="0"/>
        <v>6</v>
      </c>
      <c r="C25" s="72">
        <f>'CAFA - PAY'!C26</f>
        <v>0</v>
      </c>
      <c r="D25" s="72" t="e">
        <f>'CAFA - PAY'!D26</f>
        <v>#N/A</v>
      </c>
      <c r="E25" s="306">
        <f>'CAFA - PAY'!E26</f>
        <v>0</v>
      </c>
      <c r="F25" s="49">
        <f>'CAFA - PAY'!L26</f>
        <v>0</v>
      </c>
      <c r="G25" s="36">
        <f>ROUND('CAFA - PAY'!I26*0.09,2)</f>
        <v>0</v>
      </c>
      <c r="H25" s="88"/>
      <c r="I25" s="88"/>
      <c r="J25" s="88"/>
      <c r="K25" s="88"/>
      <c r="L25" s="88"/>
      <c r="M25" s="88"/>
      <c r="N25" s="88"/>
      <c r="O25" s="88"/>
      <c r="P25" s="88"/>
      <c r="Q25" s="88"/>
      <c r="R25" s="41">
        <f t="shared" ref="R25:R43" si="1">SUM(G25:Q25)</f>
        <v>0</v>
      </c>
      <c r="S25" s="86"/>
      <c r="T25" s="87"/>
      <c r="U25" s="88"/>
      <c r="V25" s="88"/>
      <c r="W25" s="88"/>
      <c r="X25" s="38">
        <f t="shared" ref="X25:X43" si="2">SUM(S25:W25)</f>
        <v>0</v>
      </c>
      <c r="Y25" s="49">
        <f>MIN(ROUNDDOWN('CAFA - PAY'!I26*0.05/2,2),2500)</f>
        <v>0</v>
      </c>
      <c r="Z25" s="86"/>
      <c r="AA25" s="87"/>
      <c r="AB25" s="88"/>
      <c r="AC25" s="88"/>
      <c r="AD25" s="88"/>
      <c r="AE25" s="35">
        <f t="shared" ref="AE25:AE43" si="3">SUM(Z25:AD25)</f>
        <v>0</v>
      </c>
      <c r="AF25" s="62">
        <f t="shared" ref="AF25:AF43" si="4">SUM(F25,R25,X25,Y25,AE25)</f>
        <v>0</v>
      </c>
    </row>
    <row r="26" spans="1:33" ht="18.75" customHeight="1" x14ac:dyDescent="0.25">
      <c r="A26" s="98"/>
      <c r="B26" s="33">
        <f t="shared" si="0"/>
        <v>7</v>
      </c>
      <c r="C26" s="72">
        <f>'CAFA - PAY'!C27</f>
        <v>0</v>
      </c>
      <c r="D26" s="72" t="e">
        <f>'CAFA - PAY'!D27</f>
        <v>#N/A</v>
      </c>
      <c r="E26" s="306">
        <f>'CAFA - PAY'!E27</f>
        <v>0</v>
      </c>
      <c r="F26" s="49">
        <f>'CAFA - PAY'!L27</f>
        <v>0</v>
      </c>
      <c r="G26" s="36">
        <f>ROUND('CAFA - PAY'!I27*0.09,2)</f>
        <v>0</v>
      </c>
      <c r="H26" s="88"/>
      <c r="I26" s="88"/>
      <c r="J26" s="88"/>
      <c r="K26" s="88"/>
      <c r="L26" s="88"/>
      <c r="M26" s="88"/>
      <c r="N26" s="88"/>
      <c r="O26" s="88"/>
      <c r="P26" s="88"/>
      <c r="Q26" s="88"/>
      <c r="R26" s="41">
        <f t="shared" si="1"/>
        <v>0</v>
      </c>
      <c r="S26" s="86"/>
      <c r="T26" s="87"/>
      <c r="U26" s="88"/>
      <c r="V26" s="88"/>
      <c r="W26" s="88"/>
      <c r="X26" s="38">
        <f t="shared" si="2"/>
        <v>0</v>
      </c>
      <c r="Y26" s="49">
        <f>MIN(ROUNDDOWN('CAFA - PAY'!I27*0.05/2,2),2500)</f>
        <v>0</v>
      </c>
      <c r="Z26" s="86"/>
      <c r="AA26" s="87"/>
      <c r="AB26" s="88"/>
      <c r="AC26" s="88"/>
      <c r="AD26" s="88"/>
      <c r="AE26" s="35">
        <f t="shared" si="3"/>
        <v>0</v>
      </c>
      <c r="AF26" s="62">
        <f t="shared" si="4"/>
        <v>0</v>
      </c>
    </row>
    <row r="27" spans="1:33" ht="18.75" customHeight="1" x14ac:dyDescent="0.25">
      <c r="A27" s="98"/>
      <c r="B27" s="33">
        <f t="shared" si="0"/>
        <v>8</v>
      </c>
      <c r="C27" s="72">
        <f>'CAFA - PAY'!C28</f>
        <v>0</v>
      </c>
      <c r="D27" s="72" t="e">
        <f>'CAFA - PAY'!D28</f>
        <v>#N/A</v>
      </c>
      <c r="E27" s="306">
        <f>'CAFA - PAY'!E28</f>
        <v>0</v>
      </c>
      <c r="F27" s="49">
        <f>'CAFA - PAY'!L28</f>
        <v>0</v>
      </c>
      <c r="G27" s="36">
        <f>ROUND('CAFA - PAY'!I28*0.09,2)</f>
        <v>0</v>
      </c>
      <c r="H27" s="88"/>
      <c r="I27" s="88"/>
      <c r="J27" s="88"/>
      <c r="K27" s="88"/>
      <c r="L27" s="88"/>
      <c r="M27" s="88"/>
      <c r="N27" s="88"/>
      <c r="O27" s="88"/>
      <c r="P27" s="88"/>
      <c r="Q27" s="88"/>
      <c r="R27" s="41">
        <f t="shared" si="1"/>
        <v>0</v>
      </c>
      <c r="S27" s="86"/>
      <c r="T27" s="87"/>
      <c r="U27" s="88"/>
      <c r="V27" s="88"/>
      <c r="W27" s="88"/>
      <c r="X27" s="38">
        <f t="shared" si="2"/>
        <v>0</v>
      </c>
      <c r="Y27" s="49">
        <f>MIN(ROUNDDOWN('CAFA - PAY'!I28*0.05/2,2),2500)</f>
        <v>0</v>
      </c>
      <c r="Z27" s="86"/>
      <c r="AA27" s="87"/>
      <c r="AB27" s="88"/>
      <c r="AC27" s="88"/>
      <c r="AD27" s="88"/>
      <c r="AE27" s="35">
        <f t="shared" si="3"/>
        <v>0</v>
      </c>
      <c r="AF27" s="62">
        <f t="shared" si="4"/>
        <v>0</v>
      </c>
    </row>
    <row r="28" spans="1:33" ht="18.75" customHeight="1" x14ac:dyDescent="0.25">
      <c r="A28" s="98"/>
      <c r="B28" s="33">
        <f t="shared" si="0"/>
        <v>9</v>
      </c>
      <c r="C28" s="72">
        <f>'CAFA - PAY'!C29</f>
        <v>0</v>
      </c>
      <c r="D28" s="72" t="e">
        <f>'CAFA - PAY'!D29</f>
        <v>#N/A</v>
      </c>
      <c r="E28" s="306">
        <f>'CAFA - PAY'!E29</f>
        <v>0</v>
      </c>
      <c r="F28" s="49">
        <f>'CAFA - PAY'!L29</f>
        <v>0</v>
      </c>
      <c r="G28" s="36">
        <f>ROUND('CAFA - PAY'!I29*0.09,2)</f>
        <v>0</v>
      </c>
      <c r="H28" s="88"/>
      <c r="I28" s="88"/>
      <c r="J28" s="88"/>
      <c r="K28" s="88"/>
      <c r="L28" s="88"/>
      <c r="M28" s="88"/>
      <c r="N28" s="88"/>
      <c r="O28" s="88"/>
      <c r="P28" s="88"/>
      <c r="Q28" s="88"/>
      <c r="R28" s="41">
        <f t="shared" si="1"/>
        <v>0</v>
      </c>
      <c r="S28" s="86"/>
      <c r="T28" s="87"/>
      <c r="U28" s="88"/>
      <c r="V28" s="88"/>
      <c r="W28" s="88"/>
      <c r="X28" s="38">
        <f t="shared" si="2"/>
        <v>0</v>
      </c>
      <c r="Y28" s="49">
        <f>MIN(ROUNDDOWN('CAFA - PAY'!I29*0.05/2,2),2500)</f>
        <v>0</v>
      </c>
      <c r="Z28" s="86"/>
      <c r="AA28" s="87"/>
      <c r="AB28" s="88"/>
      <c r="AC28" s="88"/>
      <c r="AD28" s="88"/>
      <c r="AE28" s="35">
        <f t="shared" si="3"/>
        <v>0</v>
      </c>
      <c r="AF28" s="62">
        <f t="shared" si="4"/>
        <v>0</v>
      </c>
    </row>
    <row r="29" spans="1:33" ht="18.75" customHeight="1" x14ac:dyDescent="0.25">
      <c r="A29" s="98"/>
      <c r="B29" s="33">
        <f t="shared" si="0"/>
        <v>10</v>
      </c>
      <c r="C29" s="72">
        <f>'CAFA - PAY'!C30</f>
        <v>0</v>
      </c>
      <c r="D29" s="72" t="e">
        <f>'CAFA - PAY'!D30</f>
        <v>#N/A</v>
      </c>
      <c r="E29" s="306">
        <f>'CAFA - PAY'!E30</f>
        <v>0</v>
      </c>
      <c r="F29" s="49">
        <f>'CAFA - PAY'!L30</f>
        <v>0</v>
      </c>
      <c r="G29" s="36">
        <f>ROUND('CAFA - PAY'!I30*0.09,2)</f>
        <v>0</v>
      </c>
      <c r="H29" s="88"/>
      <c r="I29" s="88"/>
      <c r="J29" s="88"/>
      <c r="K29" s="88"/>
      <c r="L29" s="88"/>
      <c r="M29" s="88"/>
      <c r="N29" s="88"/>
      <c r="O29" s="88"/>
      <c r="P29" s="88"/>
      <c r="Q29" s="88"/>
      <c r="R29" s="41">
        <f t="shared" si="1"/>
        <v>0</v>
      </c>
      <c r="S29" s="86"/>
      <c r="T29" s="87"/>
      <c r="U29" s="88"/>
      <c r="V29" s="88"/>
      <c r="W29" s="88"/>
      <c r="X29" s="38">
        <f t="shared" si="2"/>
        <v>0</v>
      </c>
      <c r="Y29" s="49">
        <f>MIN(ROUNDDOWN('CAFA - PAY'!I30*0.05/2,2),2500)</f>
        <v>0</v>
      </c>
      <c r="Z29" s="86"/>
      <c r="AA29" s="87"/>
      <c r="AB29" s="88"/>
      <c r="AC29" s="88"/>
      <c r="AD29" s="88"/>
      <c r="AE29" s="35">
        <f t="shared" si="3"/>
        <v>0</v>
      </c>
      <c r="AF29" s="62">
        <f t="shared" si="4"/>
        <v>0</v>
      </c>
    </row>
    <row r="30" spans="1:33" ht="18.75" customHeight="1" x14ac:dyDescent="0.25">
      <c r="A30" s="98"/>
      <c r="B30" s="33">
        <f t="shared" si="0"/>
        <v>11</v>
      </c>
      <c r="C30" s="72">
        <f>'CAFA - PAY'!C31</f>
        <v>0</v>
      </c>
      <c r="D30" s="72" t="e">
        <f>'CAFA - PAY'!D31</f>
        <v>#N/A</v>
      </c>
      <c r="E30" s="306">
        <f>'CAFA - PAY'!E31</f>
        <v>0</v>
      </c>
      <c r="F30" s="49">
        <f>'CAFA - PAY'!L31</f>
        <v>0</v>
      </c>
      <c r="G30" s="36">
        <f>ROUND('CAFA - PAY'!I31*0.09,2)</f>
        <v>0</v>
      </c>
      <c r="H30" s="88"/>
      <c r="I30" s="88"/>
      <c r="J30" s="88"/>
      <c r="K30" s="88"/>
      <c r="L30" s="88"/>
      <c r="M30" s="88"/>
      <c r="N30" s="88"/>
      <c r="O30" s="88"/>
      <c r="P30" s="88"/>
      <c r="Q30" s="88"/>
      <c r="R30" s="41">
        <f t="shared" si="1"/>
        <v>0</v>
      </c>
      <c r="S30" s="86"/>
      <c r="T30" s="87"/>
      <c r="U30" s="88"/>
      <c r="V30" s="88"/>
      <c r="W30" s="88"/>
      <c r="X30" s="38">
        <f t="shared" si="2"/>
        <v>0</v>
      </c>
      <c r="Y30" s="49">
        <f>MIN(ROUNDDOWN('CAFA - PAY'!I31*0.05/2,2),2500)</f>
        <v>0</v>
      </c>
      <c r="Z30" s="86"/>
      <c r="AA30" s="87"/>
      <c r="AB30" s="88"/>
      <c r="AC30" s="88"/>
      <c r="AD30" s="88"/>
      <c r="AE30" s="35">
        <f t="shared" si="3"/>
        <v>0</v>
      </c>
      <c r="AF30" s="62">
        <f t="shared" si="4"/>
        <v>0</v>
      </c>
    </row>
    <row r="31" spans="1:33" ht="18.75" customHeight="1" x14ac:dyDescent="0.25">
      <c r="A31" s="98"/>
      <c r="B31" s="33">
        <f t="shared" si="0"/>
        <v>12</v>
      </c>
      <c r="C31" s="72">
        <f>'CAFA - PAY'!C32</f>
        <v>0</v>
      </c>
      <c r="D31" s="72" t="e">
        <f>'CAFA - PAY'!D32</f>
        <v>#N/A</v>
      </c>
      <c r="E31" s="306">
        <f>'CAFA - PAY'!E32</f>
        <v>0</v>
      </c>
      <c r="F31" s="49">
        <f>'CAFA - PAY'!L32</f>
        <v>0</v>
      </c>
      <c r="G31" s="36">
        <f>ROUND('CAFA - PAY'!I32*0.09,2)</f>
        <v>0</v>
      </c>
      <c r="H31" s="88"/>
      <c r="I31" s="88"/>
      <c r="J31" s="88"/>
      <c r="K31" s="88"/>
      <c r="L31" s="88"/>
      <c r="M31" s="88"/>
      <c r="N31" s="88"/>
      <c r="O31" s="88"/>
      <c r="P31" s="88"/>
      <c r="Q31" s="88"/>
      <c r="R31" s="41">
        <f t="shared" si="1"/>
        <v>0</v>
      </c>
      <c r="S31" s="86"/>
      <c r="T31" s="87"/>
      <c r="U31" s="88"/>
      <c r="V31" s="88"/>
      <c r="W31" s="88"/>
      <c r="X31" s="38">
        <f t="shared" si="2"/>
        <v>0</v>
      </c>
      <c r="Y31" s="49">
        <f>MIN(ROUNDDOWN('CAFA - PAY'!I32*0.05/2,2),2500)</f>
        <v>0</v>
      </c>
      <c r="Z31" s="86"/>
      <c r="AA31" s="87"/>
      <c r="AB31" s="88"/>
      <c r="AC31" s="88"/>
      <c r="AD31" s="88"/>
      <c r="AE31" s="35">
        <f t="shared" si="3"/>
        <v>0</v>
      </c>
      <c r="AF31" s="62">
        <f t="shared" si="4"/>
        <v>0</v>
      </c>
    </row>
    <row r="32" spans="1:33" ht="18.75" customHeight="1" x14ac:dyDescent="0.25">
      <c r="A32" s="98"/>
      <c r="B32" s="33">
        <f t="shared" si="0"/>
        <v>13</v>
      </c>
      <c r="C32" s="72">
        <f>'CAFA - PAY'!C33</f>
        <v>0</v>
      </c>
      <c r="D32" s="72" t="e">
        <f>'CAFA - PAY'!D33</f>
        <v>#N/A</v>
      </c>
      <c r="E32" s="306">
        <f>'CAFA - PAY'!E33</f>
        <v>0</v>
      </c>
      <c r="F32" s="49">
        <f>'CAFA - PAY'!L33</f>
        <v>0</v>
      </c>
      <c r="G32" s="36">
        <f>ROUND('CAFA - PAY'!I33*0.09,2)</f>
        <v>0</v>
      </c>
      <c r="H32" s="88"/>
      <c r="I32" s="88"/>
      <c r="J32" s="88"/>
      <c r="K32" s="88"/>
      <c r="L32" s="88"/>
      <c r="M32" s="88"/>
      <c r="N32" s="88"/>
      <c r="O32" s="88"/>
      <c r="P32" s="88"/>
      <c r="Q32" s="88"/>
      <c r="R32" s="41">
        <f t="shared" si="1"/>
        <v>0</v>
      </c>
      <c r="S32" s="86"/>
      <c r="T32" s="87"/>
      <c r="U32" s="88"/>
      <c r="V32" s="88"/>
      <c r="W32" s="88"/>
      <c r="X32" s="38">
        <f t="shared" si="2"/>
        <v>0</v>
      </c>
      <c r="Y32" s="49">
        <f>MIN(ROUNDDOWN('CAFA - PAY'!I33*0.05/2,2),2500)</f>
        <v>0</v>
      </c>
      <c r="Z32" s="86"/>
      <c r="AA32" s="87"/>
      <c r="AB32" s="88"/>
      <c r="AC32" s="88"/>
      <c r="AD32" s="88"/>
      <c r="AE32" s="35">
        <f t="shared" si="3"/>
        <v>0</v>
      </c>
      <c r="AF32" s="62">
        <f t="shared" si="4"/>
        <v>0</v>
      </c>
    </row>
    <row r="33" spans="1:32" ht="18.75" customHeight="1" x14ac:dyDescent="0.25">
      <c r="A33" s="98"/>
      <c r="B33" s="33">
        <f t="shared" ref="B33:B42" si="5">+B22+1</f>
        <v>4</v>
      </c>
      <c r="C33" s="72">
        <f>'CAFA - PAY'!C34</f>
        <v>0</v>
      </c>
      <c r="D33" s="72" t="e">
        <f>'CAFA - PAY'!D34</f>
        <v>#N/A</v>
      </c>
      <c r="E33" s="306">
        <f>'CAFA - PAY'!E34</f>
        <v>0</v>
      </c>
      <c r="F33" s="49">
        <f>'CAFA - PAY'!L34</f>
        <v>0</v>
      </c>
      <c r="G33" s="36">
        <f>ROUND('CAFA - PAY'!I34*0.09,2)</f>
        <v>0</v>
      </c>
      <c r="H33" s="88"/>
      <c r="I33" s="88"/>
      <c r="J33" s="88"/>
      <c r="K33" s="88"/>
      <c r="L33" s="88"/>
      <c r="M33" s="88"/>
      <c r="N33" s="88"/>
      <c r="O33" s="88"/>
      <c r="P33" s="88"/>
      <c r="Q33" s="88"/>
      <c r="R33" s="41">
        <f t="shared" ref="R33:R42" si="6">SUM(G33:Q33)</f>
        <v>0</v>
      </c>
      <c r="S33" s="86"/>
      <c r="T33" s="87"/>
      <c r="U33" s="88"/>
      <c r="V33" s="88"/>
      <c r="W33" s="88"/>
      <c r="X33" s="38">
        <f t="shared" ref="X33:X42" si="7">SUM(S33:W33)</f>
        <v>0</v>
      </c>
      <c r="Y33" s="49">
        <f>MIN(ROUNDDOWN('CAFA - PAY'!I34*0.05/2,2),2500)</f>
        <v>0</v>
      </c>
      <c r="Z33" s="86"/>
      <c r="AA33" s="87"/>
      <c r="AB33" s="88"/>
      <c r="AC33" s="88"/>
      <c r="AD33" s="88"/>
      <c r="AE33" s="35">
        <f t="shared" ref="AE33:AE42" si="8">SUM(Z33:AD33)</f>
        <v>0</v>
      </c>
      <c r="AF33" s="62">
        <f t="shared" ref="AF33:AF42" si="9">SUM(F33,R33,X33,Y33,AE33)</f>
        <v>0</v>
      </c>
    </row>
    <row r="34" spans="1:32" ht="18.75" customHeight="1" x14ac:dyDescent="0.25">
      <c r="A34" s="98"/>
      <c r="B34" s="33">
        <f t="shared" si="5"/>
        <v>5</v>
      </c>
      <c r="C34" s="72">
        <f>'CAFA - PAY'!C35</f>
        <v>0</v>
      </c>
      <c r="D34" s="72" t="e">
        <f>'CAFA - PAY'!D35</f>
        <v>#N/A</v>
      </c>
      <c r="E34" s="306">
        <f>'CAFA - PAY'!E35</f>
        <v>0</v>
      </c>
      <c r="F34" s="49">
        <f>'CAFA - PAY'!L35</f>
        <v>0</v>
      </c>
      <c r="G34" s="36">
        <f>ROUND('CAFA - PAY'!I35*0.09,2)</f>
        <v>0</v>
      </c>
      <c r="H34" s="88"/>
      <c r="I34" s="88"/>
      <c r="J34" s="88"/>
      <c r="K34" s="88"/>
      <c r="L34" s="88"/>
      <c r="M34" s="88"/>
      <c r="N34" s="88"/>
      <c r="O34" s="88"/>
      <c r="P34" s="88"/>
      <c r="Q34" s="88"/>
      <c r="R34" s="41">
        <f t="shared" si="6"/>
        <v>0</v>
      </c>
      <c r="S34" s="86"/>
      <c r="T34" s="87"/>
      <c r="U34" s="88"/>
      <c r="V34" s="88"/>
      <c r="W34" s="88"/>
      <c r="X34" s="38">
        <f t="shared" si="7"/>
        <v>0</v>
      </c>
      <c r="Y34" s="49">
        <f>MIN(ROUNDDOWN('CAFA - PAY'!I35*0.05/2,2),2500)</f>
        <v>0</v>
      </c>
      <c r="Z34" s="86"/>
      <c r="AA34" s="87"/>
      <c r="AB34" s="88"/>
      <c r="AC34" s="88"/>
      <c r="AD34" s="88"/>
      <c r="AE34" s="35">
        <f t="shared" si="8"/>
        <v>0</v>
      </c>
      <c r="AF34" s="62">
        <f t="shared" si="9"/>
        <v>0</v>
      </c>
    </row>
    <row r="35" spans="1:32" ht="18.75" customHeight="1" x14ac:dyDescent="0.25">
      <c r="A35" s="98"/>
      <c r="B35" s="33">
        <f t="shared" si="5"/>
        <v>6</v>
      </c>
      <c r="C35" s="72">
        <f>'CAFA - PAY'!C36</f>
        <v>0</v>
      </c>
      <c r="D35" s="72" t="e">
        <f>'CAFA - PAY'!D36</f>
        <v>#N/A</v>
      </c>
      <c r="E35" s="306">
        <f>'CAFA - PAY'!E36</f>
        <v>0</v>
      </c>
      <c r="F35" s="49">
        <f>'CAFA - PAY'!L36</f>
        <v>0</v>
      </c>
      <c r="G35" s="36">
        <f>ROUND('CAFA - PAY'!I36*0.09,2)</f>
        <v>0</v>
      </c>
      <c r="H35" s="88"/>
      <c r="I35" s="88"/>
      <c r="J35" s="88"/>
      <c r="K35" s="88"/>
      <c r="L35" s="88"/>
      <c r="M35" s="88"/>
      <c r="N35" s="88"/>
      <c r="O35" s="88"/>
      <c r="P35" s="88"/>
      <c r="Q35" s="88"/>
      <c r="R35" s="41">
        <f t="shared" si="6"/>
        <v>0</v>
      </c>
      <c r="S35" s="86"/>
      <c r="T35" s="87"/>
      <c r="U35" s="88"/>
      <c r="V35" s="88"/>
      <c r="W35" s="88"/>
      <c r="X35" s="38">
        <f t="shared" si="7"/>
        <v>0</v>
      </c>
      <c r="Y35" s="49">
        <f>MIN(ROUNDDOWN('CAFA - PAY'!I36*0.05/2,2),2500)</f>
        <v>0</v>
      </c>
      <c r="Z35" s="86"/>
      <c r="AA35" s="87"/>
      <c r="AB35" s="88"/>
      <c r="AC35" s="88"/>
      <c r="AD35" s="88"/>
      <c r="AE35" s="35">
        <f t="shared" si="8"/>
        <v>0</v>
      </c>
      <c r="AF35" s="62">
        <f t="shared" si="9"/>
        <v>0</v>
      </c>
    </row>
    <row r="36" spans="1:32" ht="18.75" customHeight="1" x14ac:dyDescent="0.25">
      <c r="A36" s="98"/>
      <c r="B36" s="33">
        <f t="shared" si="5"/>
        <v>7</v>
      </c>
      <c r="C36" s="72">
        <f>'CAFA - PAY'!C37</f>
        <v>0</v>
      </c>
      <c r="D36" s="72" t="e">
        <f>'CAFA - PAY'!D37</f>
        <v>#N/A</v>
      </c>
      <c r="E36" s="306">
        <f>'CAFA - PAY'!E37</f>
        <v>0</v>
      </c>
      <c r="F36" s="49">
        <f>'CAFA - PAY'!L37</f>
        <v>0</v>
      </c>
      <c r="G36" s="36">
        <f>ROUND('CAFA - PAY'!I37*0.09,2)</f>
        <v>0</v>
      </c>
      <c r="H36" s="88"/>
      <c r="I36" s="88"/>
      <c r="J36" s="88"/>
      <c r="K36" s="88"/>
      <c r="L36" s="88"/>
      <c r="M36" s="88"/>
      <c r="N36" s="88"/>
      <c r="O36" s="88"/>
      <c r="P36" s="88"/>
      <c r="Q36" s="88"/>
      <c r="R36" s="41">
        <f t="shared" si="6"/>
        <v>0</v>
      </c>
      <c r="S36" s="86"/>
      <c r="T36" s="87"/>
      <c r="U36" s="88"/>
      <c r="V36" s="88"/>
      <c r="W36" s="88"/>
      <c r="X36" s="38">
        <f t="shared" si="7"/>
        <v>0</v>
      </c>
      <c r="Y36" s="49">
        <f>MIN(ROUNDDOWN('CAFA - PAY'!I37*0.05/2,2),2500)</f>
        <v>0</v>
      </c>
      <c r="Z36" s="86"/>
      <c r="AA36" s="87"/>
      <c r="AB36" s="88"/>
      <c r="AC36" s="88"/>
      <c r="AD36" s="88"/>
      <c r="AE36" s="35">
        <f t="shared" si="8"/>
        <v>0</v>
      </c>
      <c r="AF36" s="62">
        <f t="shared" si="9"/>
        <v>0</v>
      </c>
    </row>
    <row r="37" spans="1:32" ht="18.75" customHeight="1" x14ac:dyDescent="0.25">
      <c r="A37" s="98"/>
      <c r="B37" s="33">
        <f t="shared" si="5"/>
        <v>8</v>
      </c>
      <c r="C37" s="72">
        <f>'CAFA - PAY'!C38</f>
        <v>0</v>
      </c>
      <c r="D37" s="72" t="e">
        <f>'CAFA - PAY'!D38</f>
        <v>#N/A</v>
      </c>
      <c r="E37" s="306">
        <f>'CAFA - PAY'!E38</f>
        <v>0</v>
      </c>
      <c r="F37" s="49">
        <f>'CAFA - PAY'!L38</f>
        <v>0</v>
      </c>
      <c r="G37" s="36">
        <f>ROUND('CAFA - PAY'!I38*0.09,2)</f>
        <v>0</v>
      </c>
      <c r="H37" s="88"/>
      <c r="I37" s="88"/>
      <c r="J37" s="88"/>
      <c r="K37" s="88"/>
      <c r="L37" s="88"/>
      <c r="M37" s="88"/>
      <c r="N37" s="88"/>
      <c r="O37" s="88"/>
      <c r="P37" s="88"/>
      <c r="Q37" s="88"/>
      <c r="R37" s="41">
        <f t="shared" si="6"/>
        <v>0</v>
      </c>
      <c r="S37" s="86"/>
      <c r="T37" s="87"/>
      <c r="U37" s="88"/>
      <c r="V37" s="88"/>
      <c r="W37" s="88"/>
      <c r="X37" s="38">
        <f t="shared" si="7"/>
        <v>0</v>
      </c>
      <c r="Y37" s="49">
        <f>MIN(ROUNDDOWN('CAFA - PAY'!I38*0.05/2,2),2500)</f>
        <v>0</v>
      </c>
      <c r="Z37" s="86"/>
      <c r="AA37" s="87"/>
      <c r="AB37" s="88"/>
      <c r="AC37" s="88"/>
      <c r="AD37" s="88"/>
      <c r="AE37" s="35">
        <f t="shared" si="8"/>
        <v>0</v>
      </c>
      <c r="AF37" s="62">
        <f t="shared" si="9"/>
        <v>0</v>
      </c>
    </row>
    <row r="38" spans="1:32" ht="18.75" customHeight="1" x14ac:dyDescent="0.25">
      <c r="A38" s="98"/>
      <c r="B38" s="33">
        <f t="shared" si="5"/>
        <v>9</v>
      </c>
      <c r="C38" s="72">
        <f>'CAFA - PAY'!C39</f>
        <v>0</v>
      </c>
      <c r="D38" s="72" t="e">
        <f>'CAFA - PAY'!D39</f>
        <v>#N/A</v>
      </c>
      <c r="E38" s="306">
        <f>'CAFA - PAY'!E39</f>
        <v>0</v>
      </c>
      <c r="F38" s="49">
        <f>'CAFA - PAY'!L39</f>
        <v>0</v>
      </c>
      <c r="G38" s="36">
        <f>ROUND('CAFA - PAY'!I39*0.09,2)</f>
        <v>0</v>
      </c>
      <c r="H38" s="88"/>
      <c r="I38" s="88"/>
      <c r="J38" s="88"/>
      <c r="K38" s="88"/>
      <c r="L38" s="88"/>
      <c r="M38" s="88"/>
      <c r="N38" s="88"/>
      <c r="O38" s="88"/>
      <c r="P38" s="88"/>
      <c r="Q38" s="88"/>
      <c r="R38" s="41">
        <f t="shared" si="6"/>
        <v>0</v>
      </c>
      <c r="S38" s="86"/>
      <c r="T38" s="87"/>
      <c r="U38" s="88"/>
      <c r="V38" s="88"/>
      <c r="W38" s="88"/>
      <c r="X38" s="38">
        <f t="shared" si="7"/>
        <v>0</v>
      </c>
      <c r="Y38" s="49">
        <f>MIN(ROUNDDOWN('CAFA - PAY'!I39*0.05/2,2),2500)</f>
        <v>0</v>
      </c>
      <c r="Z38" s="86"/>
      <c r="AA38" s="87"/>
      <c r="AB38" s="88"/>
      <c r="AC38" s="88"/>
      <c r="AD38" s="88"/>
      <c r="AE38" s="35">
        <f t="shared" si="8"/>
        <v>0</v>
      </c>
      <c r="AF38" s="62">
        <f t="shared" si="9"/>
        <v>0</v>
      </c>
    </row>
    <row r="39" spans="1:32" ht="18.75" customHeight="1" x14ac:dyDescent="0.25">
      <c r="A39" s="98"/>
      <c r="B39" s="33">
        <f t="shared" si="5"/>
        <v>10</v>
      </c>
      <c r="C39" s="72">
        <f>'CAFA - PAY'!C40</f>
        <v>0</v>
      </c>
      <c r="D39" s="72" t="e">
        <f>'CAFA - PAY'!D40</f>
        <v>#N/A</v>
      </c>
      <c r="E39" s="306">
        <f>'CAFA - PAY'!E40</f>
        <v>0</v>
      </c>
      <c r="F39" s="49">
        <f>'CAFA - PAY'!L40</f>
        <v>0</v>
      </c>
      <c r="G39" s="36">
        <f>ROUND('CAFA - PAY'!I40*0.09,2)</f>
        <v>0</v>
      </c>
      <c r="H39" s="88"/>
      <c r="I39" s="88"/>
      <c r="J39" s="88"/>
      <c r="K39" s="88"/>
      <c r="L39" s="88"/>
      <c r="M39" s="88"/>
      <c r="N39" s="88"/>
      <c r="O39" s="88"/>
      <c r="P39" s="88"/>
      <c r="Q39" s="88"/>
      <c r="R39" s="41">
        <f t="shared" si="6"/>
        <v>0</v>
      </c>
      <c r="S39" s="86"/>
      <c r="T39" s="87"/>
      <c r="U39" s="88"/>
      <c r="V39" s="88"/>
      <c r="W39" s="88"/>
      <c r="X39" s="38">
        <f t="shared" si="7"/>
        <v>0</v>
      </c>
      <c r="Y39" s="49">
        <f>MIN(ROUNDDOWN('CAFA - PAY'!I40*0.05/2,2),2500)</f>
        <v>0</v>
      </c>
      <c r="Z39" s="86"/>
      <c r="AA39" s="87"/>
      <c r="AB39" s="88"/>
      <c r="AC39" s="88"/>
      <c r="AD39" s="88"/>
      <c r="AE39" s="35">
        <f t="shared" si="8"/>
        <v>0</v>
      </c>
      <c r="AF39" s="62">
        <f t="shared" si="9"/>
        <v>0</v>
      </c>
    </row>
    <row r="40" spans="1:32" ht="18.75" customHeight="1" x14ac:dyDescent="0.25">
      <c r="A40" s="98"/>
      <c r="B40" s="33">
        <f t="shared" si="5"/>
        <v>11</v>
      </c>
      <c r="C40" s="72">
        <f>'CAFA - PAY'!C41</f>
        <v>0</v>
      </c>
      <c r="D40" s="72" t="e">
        <f>'CAFA - PAY'!D41</f>
        <v>#N/A</v>
      </c>
      <c r="E40" s="306">
        <f>'CAFA - PAY'!E41</f>
        <v>0</v>
      </c>
      <c r="F40" s="49">
        <f>'CAFA - PAY'!L41</f>
        <v>0</v>
      </c>
      <c r="G40" s="36">
        <f>ROUND('CAFA - PAY'!I41*0.09,2)</f>
        <v>0</v>
      </c>
      <c r="H40" s="88"/>
      <c r="I40" s="88"/>
      <c r="J40" s="88"/>
      <c r="K40" s="88"/>
      <c r="L40" s="88"/>
      <c r="M40" s="88"/>
      <c r="N40" s="88"/>
      <c r="O40" s="88"/>
      <c r="P40" s="88"/>
      <c r="Q40" s="88"/>
      <c r="R40" s="41">
        <f t="shared" si="6"/>
        <v>0</v>
      </c>
      <c r="S40" s="86"/>
      <c r="T40" s="87"/>
      <c r="U40" s="88"/>
      <c r="V40" s="88"/>
      <c r="W40" s="88"/>
      <c r="X40" s="38">
        <f t="shared" si="7"/>
        <v>0</v>
      </c>
      <c r="Y40" s="49">
        <f>MIN(ROUNDDOWN('CAFA - PAY'!I41*0.05/2,2),2500)</f>
        <v>0</v>
      </c>
      <c r="Z40" s="86"/>
      <c r="AA40" s="87"/>
      <c r="AB40" s="88"/>
      <c r="AC40" s="88"/>
      <c r="AD40" s="88"/>
      <c r="AE40" s="35">
        <f t="shared" si="8"/>
        <v>0</v>
      </c>
      <c r="AF40" s="62">
        <f t="shared" si="9"/>
        <v>0</v>
      </c>
    </row>
    <row r="41" spans="1:32" ht="18.75" customHeight="1" x14ac:dyDescent="0.25">
      <c r="A41" s="98"/>
      <c r="B41" s="33">
        <f t="shared" si="5"/>
        <v>12</v>
      </c>
      <c r="C41" s="72">
        <f>'CAFA - PAY'!C42</f>
        <v>0</v>
      </c>
      <c r="D41" s="72" t="e">
        <f>'CAFA - PAY'!D42</f>
        <v>#N/A</v>
      </c>
      <c r="E41" s="306">
        <f>'CAFA - PAY'!E42</f>
        <v>0</v>
      </c>
      <c r="F41" s="49">
        <f>'CAFA - PAY'!L42</f>
        <v>0</v>
      </c>
      <c r="G41" s="36">
        <f>ROUND('CAFA - PAY'!I42*0.09,2)</f>
        <v>0</v>
      </c>
      <c r="H41" s="88"/>
      <c r="I41" s="88"/>
      <c r="J41" s="88"/>
      <c r="K41" s="88"/>
      <c r="L41" s="88"/>
      <c r="M41" s="88"/>
      <c r="N41" s="88"/>
      <c r="O41" s="88"/>
      <c r="P41" s="88"/>
      <c r="Q41" s="88"/>
      <c r="R41" s="41">
        <f t="shared" si="6"/>
        <v>0</v>
      </c>
      <c r="S41" s="86"/>
      <c r="T41" s="87"/>
      <c r="U41" s="88"/>
      <c r="V41" s="88"/>
      <c r="W41" s="88"/>
      <c r="X41" s="38">
        <f t="shared" si="7"/>
        <v>0</v>
      </c>
      <c r="Y41" s="49">
        <f>MIN(ROUNDDOWN('CAFA - PAY'!I42*0.05/2,2),2500)</f>
        <v>0</v>
      </c>
      <c r="Z41" s="86"/>
      <c r="AA41" s="87"/>
      <c r="AB41" s="88"/>
      <c r="AC41" s="88"/>
      <c r="AD41" s="88"/>
      <c r="AE41" s="35">
        <f t="shared" si="8"/>
        <v>0</v>
      </c>
      <c r="AF41" s="62">
        <f t="shared" si="9"/>
        <v>0</v>
      </c>
    </row>
    <row r="42" spans="1:32" ht="18.75" customHeight="1" x14ac:dyDescent="0.25">
      <c r="A42" s="98"/>
      <c r="B42" s="33">
        <f t="shared" si="5"/>
        <v>13</v>
      </c>
      <c r="C42" s="72">
        <f>'CAFA - PAY'!C43</f>
        <v>0</v>
      </c>
      <c r="D42" s="72" t="e">
        <f>'CAFA - PAY'!D43</f>
        <v>#N/A</v>
      </c>
      <c r="E42" s="306">
        <f>'CAFA - PAY'!E43</f>
        <v>0</v>
      </c>
      <c r="F42" s="49">
        <f>'CAFA - PAY'!L43</f>
        <v>0</v>
      </c>
      <c r="G42" s="36">
        <f>ROUND('CAFA - PAY'!I43*0.09,2)</f>
        <v>0</v>
      </c>
      <c r="H42" s="88"/>
      <c r="I42" s="88"/>
      <c r="J42" s="88"/>
      <c r="K42" s="88"/>
      <c r="L42" s="88"/>
      <c r="M42" s="88"/>
      <c r="N42" s="88"/>
      <c r="O42" s="88"/>
      <c r="P42" s="88"/>
      <c r="Q42" s="88"/>
      <c r="R42" s="41">
        <f t="shared" si="6"/>
        <v>0</v>
      </c>
      <c r="S42" s="86"/>
      <c r="T42" s="87"/>
      <c r="U42" s="88"/>
      <c r="V42" s="88"/>
      <c r="W42" s="88"/>
      <c r="X42" s="38">
        <f t="shared" si="7"/>
        <v>0</v>
      </c>
      <c r="Y42" s="49">
        <f>MIN(ROUNDDOWN('CAFA - PAY'!I43*0.05/2,2),2500)</f>
        <v>0</v>
      </c>
      <c r="Z42" s="86"/>
      <c r="AA42" s="87"/>
      <c r="AB42" s="88"/>
      <c r="AC42" s="88"/>
      <c r="AD42" s="88"/>
      <c r="AE42" s="35">
        <f t="shared" si="8"/>
        <v>0</v>
      </c>
      <c r="AF42" s="62">
        <f t="shared" si="9"/>
        <v>0</v>
      </c>
    </row>
    <row r="43" spans="1:32" ht="18.75" customHeight="1" x14ac:dyDescent="0.25">
      <c r="A43" s="98"/>
      <c r="B43" s="33">
        <f>+B32+1</f>
        <v>14</v>
      </c>
      <c r="C43" s="72">
        <f>'CAFA - PAY'!C44</f>
        <v>0</v>
      </c>
      <c r="D43" s="72" t="e">
        <f>'CAFA - PAY'!D44</f>
        <v>#N/A</v>
      </c>
      <c r="E43" s="306">
        <f>'CAFA - PAY'!E44</f>
        <v>0</v>
      </c>
      <c r="F43" s="49">
        <f>'CAFA - PAY'!L44</f>
        <v>0</v>
      </c>
      <c r="G43" s="36">
        <f>ROUND('CAFA - PAY'!I44*0.09,2)</f>
        <v>0</v>
      </c>
      <c r="H43" s="88"/>
      <c r="I43" s="88"/>
      <c r="J43" s="88"/>
      <c r="K43" s="88"/>
      <c r="L43" s="88"/>
      <c r="M43" s="88"/>
      <c r="N43" s="88"/>
      <c r="O43" s="88"/>
      <c r="P43" s="88"/>
      <c r="Q43" s="88"/>
      <c r="R43" s="41">
        <f t="shared" si="1"/>
        <v>0</v>
      </c>
      <c r="S43" s="86"/>
      <c r="T43" s="87"/>
      <c r="U43" s="88"/>
      <c r="V43" s="88"/>
      <c r="W43" s="88"/>
      <c r="X43" s="38">
        <f t="shared" si="2"/>
        <v>0</v>
      </c>
      <c r="Y43" s="49">
        <f>MIN(ROUNDDOWN('CAFA - PAY'!I44*0.05/2,2),2500)</f>
        <v>0</v>
      </c>
      <c r="Z43" s="86"/>
      <c r="AA43" s="87"/>
      <c r="AB43" s="88"/>
      <c r="AC43" s="88"/>
      <c r="AD43" s="88"/>
      <c r="AE43" s="35">
        <f t="shared" si="3"/>
        <v>0</v>
      </c>
      <c r="AF43" s="62">
        <f t="shared" si="4"/>
        <v>0</v>
      </c>
    </row>
    <row r="44" spans="1:32" ht="18.75" customHeight="1" x14ac:dyDescent="0.25">
      <c r="A44" s="98"/>
      <c r="B44" s="33"/>
      <c r="C44" s="64"/>
      <c r="D44" s="64"/>
      <c r="E44" s="63"/>
      <c r="F44" s="70"/>
      <c r="G44" s="65"/>
      <c r="H44" s="91"/>
      <c r="I44" s="91"/>
      <c r="J44" s="91"/>
      <c r="K44" s="91"/>
      <c r="L44" s="91"/>
      <c r="M44" s="91"/>
      <c r="N44" s="91"/>
      <c r="O44" s="91"/>
      <c r="P44" s="91"/>
      <c r="Q44" s="91"/>
      <c r="R44" s="71"/>
      <c r="S44" s="89"/>
      <c r="T44" s="90"/>
      <c r="U44" s="91"/>
      <c r="V44" s="91"/>
      <c r="W44" s="91"/>
      <c r="X44" s="69"/>
      <c r="Y44" s="70"/>
      <c r="Z44" s="89"/>
      <c r="AA44" s="90"/>
      <c r="AB44" s="91"/>
      <c r="AC44" s="91"/>
      <c r="AD44" s="91"/>
      <c r="AE44" s="67"/>
      <c r="AF44" s="62">
        <f>SUM(F44,R44,X44,Y44,AE44)</f>
        <v>0</v>
      </c>
    </row>
    <row r="45" spans="1:32" ht="18.75" customHeight="1" thickBot="1" x14ac:dyDescent="0.3">
      <c r="A45" s="98"/>
      <c r="B45" s="16"/>
      <c r="C45" s="16"/>
      <c r="D45" s="16"/>
      <c r="E45" s="324"/>
      <c r="F45" s="81">
        <f t="shared" ref="F45:AF45" si="10">SUM(F20:F44)</f>
        <v>0</v>
      </c>
      <c r="G45" s="73">
        <f t="shared" si="10"/>
        <v>0</v>
      </c>
      <c r="H45" s="94">
        <f t="shared" si="10"/>
        <v>0</v>
      </c>
      <c r="I45" s="94">
        <f t="shared" si="10"/>
        <v>0</v>
      </c>
      <c r="J45" s="94">
        <f t="shared" si="10"/>
        <v>0</v>
      </c>
      <c r="K45" s="94">
        <f t="shared" si="10"/>
        <v>0</v>
      </c>
      <c r="L45" s="94">
        <f t="shared" si="10"/>
        <v>0</v>
      </c>
      <c r="M45" s="94">
        <f t="shared" si="10"/>
        <v>0</v>
      </c>
      <c r="N45" s="94">
        <f t="shared" si="10"/>
        <v>0</v>
      </c>
      <c r="O45" s="94">
        <f t="shared" si="10"/>
        <v>0</v>
      </c>
      <c r="P45" s="94">
        <f t="shared" si="10"/>
        <v>0</v>
      </c>
      <c r="Q45" s="94">
        <f t="shared" si="10"/>
        <v>0</v>
      </c>
      <c r="R45" s="74">
        <f t="shared" si="10"/>
        <v>0</v>
      </c>
      <c r="S45" s="95">
        <f t="shared" si="10"/>
        <v>0</v>
      </c>
      <c r="T45" s="96">
        <f t="shared" si="10"/>
        <v>0</v>
      </c>
      <c r="U45" s="94">
        <f t="shared" si="10"/>
        <v>0</v>
      </c>
      <c r="V45" s="94">
        <f t="shared" si="10"/>
        <v>0</v>
      </c>
      <c r="W45" s="94">
        <f t="shared" si="10"/>
        <v>0</v>
      </c>
      <c r="X45" s="80">
        <f t="shared" si="10"/>
        <v>0</v>
      </c>
      <c r="Y45" s="81">
        <f t="shared" si="10"/>
        <v>0</v>
      </c>
      <c r="Z45" s="95">
        <f t="shared" si="10"/>
        <v>0</v>
      </c>
      <c r="AA45" s="96">
        <f t="shared" si="10"/>
        <v>0</v>
      </c>
      <c r="AB45" s="94">
        <f t="shared" si="10"/>
        <v>0</v>
      </c>
      <c r="AC45" s="94">
        <f t="shared" si="10"/>
        <v>0</v>
      </c>
      <c r="AD45" s="94">
        <f t="shared" si="10"/>
        <v>0</v>
      </c>
      <c r="AE45" s="80">
        <f t="shared" si="10"/>
        <v>0</v>
      </c>
      <c r="AF45" s="81">
        <f t="shared" si="10"/>
        <v>0</v>
      </c>
    </row>
    <row r="46" spans="1:32" x14ac:dyDescent="0.25">
      <c r="R46" s="75">
        <f>R45-'CAFA - PAY'!M46</f>
        <v>0</v>
      </c>
      <c r="X46" s="75">
        <f>X45-'CAFA - PAY'!N46</f>
        <v>0</v>
      </c>
      <c r="Y46" s="75">
        <f>Y45-'CAFA - PAY'!O46</f>
        <v>0</v>
      </c>
      <c r="AE46" s="75">
        <f>AE45-'CAFA - PAY'!P46</f>
        <v>0</v>
      </c>
      <c r="AF46" s="75">
        <f>AF45-'CAFA - PAY'!Q46</f>
        <v>0</v>
      </c>
    </row>
    <row r="47" spans="1:32" x14ac:dyDescent="0.25">
      <c r="AF47" s="75"/>
    </row>
    <row r="48" spans="1:32" x14ac:dyDescent="0.25">
      <c r="C48" s="820" t="s">
        <v>47</v>
      </c>
      <c r="D48" s="820"/>
    </row>
    <row r="49" spans="3:4" x14ac:dyDescent="0.25">
      <c r="C49" s="827" t="s">
        <v>93</v>
      </c>
      <c r="D49" s="827"/>
    </row>
    <row r="51" spans="3:4" x14ac:dyDescent="0.25">
      <c r="C51" s="32"/>
    </row>
  </sheetData>
  <mergeCells count="48">
    <mergeCell ref="B14:Z14"/>
    <mergeCell ref="AE2:AF2"/>
    <mergeCell ref="B3:AF3"/>
    <mergeCell ref="B4:AF4"/>
    <mergeCell ref="B5:AF5"/>
    <mergeCell ref="B6:AF6"/>
    <mergeCell ref="B8:AF8"/>
    <mergeCell ref="B9:AF9"/>
    <mergeCell ref="B10:AF10"/>
    <mergeCell ref="D11:D13"/>
    <mergeCell ref="B12:C12"/>
    <mergeCell ref="AD12:AF12"/>
    <mergeCell ref="B16:B18"/>
    <mergeCell ref="C16:C18"/>
    <mergeCell ref="D16:D18"/>
    <mergeCell ref="E16:E18"/>
    <mergeCell ref="F16:F18"/>
    <mergeCell ref="S16:X16"/>
    <mergeCell ref="Y16:Y18"/>
    <mergeCell ref="Z16:AE16"/>
    <mergeCell ref="AF16:AF18"/>
    <mergeCell ref="G17:G18"/>
    <mergeCell ref="H17:H18"/>
    <mergeCell ref="I17:I18"/>
    <mergeCell ref="J17:J18"/>
    <mergeCell ref="K17:K18"/>
    <mergeCell ref="L17:L18"/>
    <mergeCell ref="G16:R16"/>
    <mergeCell ref="M17:M18"/>
    <mergeCell ref="N17:N18"/>
    <mergeCell ref="O17:O18"/>
    <mergeCell ref="P17:P18"/>
    <mergeCell ref="AD17:AD18"/>
    <mergeCell ref="AE17:AE18"/>
    <mergeCell ref="C48:D48"/>
    <mergeCell ref="C49:D49"/>
    <mergeCell ref="W17:W18"/>
    <mergeCell ref="X17:X18"/>
    <mergeCell ref="Z17:Z18"/>
    <mergeCell ref="AA17:AA18"/>
    <mergeCell ref="AB17:AB18"/>
    <mergeCell ref="AC17:AC18"/>
    <mergeCell ref="Q17:Q18"/>
    <mergeCell ref="R17:R18"/>
    <mergeCell ref="S17:S18"/>
    <mergeCell ref="T17:T18"/>
    <mergeCell ref="U17:U18"/>
    <mergeCell ref="V17:V18"/>
  </mergeCells>
  <printOptions horizontalCentered="1"/>
  <pageMargins left="0.39370078740157483" right="0.39370078740157483" top="0.39370078740157483" bottom="0.39370078740157483" header="0" footer="0.19685039370078741"/>
  <pageSetup paperSize="14" scale="41" fitToHeight="0" orientation="landscape" r:id="rId1"/>
  <headerFooter alignWithMargins="0">
    <oddHeader>&amp;R&amp;16
Sheet &amp;"Times New Roman,Bold"&amp;U&amp;P&amp;"Times New Roman,Regular"&amp;U of &amp;"Times New Roman,Bold"&amp;U&amp;N&amp;"Times New Roman,Regular"&amp;U Sheet/s</oddHead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>
    <tabColor theme="9" tint="-0.249977111117893"/>
  </sheetPr>
  <dimension ref="B2:N59"/>
  <sheetViews>
    <sheetView workbookViewId="0">
      <selection activeCell="C8" sqref="C8:C40"/>
    </sheetView>
  </sheetViews>
  <sheetFormatPr defaultRowHeight="15.75" x14ac:dyDescent="0.25"/>
  <cols>
    <col min="1" max="2" width="9" style="4"/>
    <col min="3" max="3" width="31.625" style="4" bestFit="1" customWidth="1"/>
    <col min="4" max="4" width="21.75" style="4" bestFit="1" customWidth="1"/>
    <col min="5" max="14" width="12.375" style="57" bestFit="1" customWidth="1"/>
    <col min="15" max="16384" width="9" style="4"/>
  </cols>
  <sheetData>
    <row r="2" spans="2:14" ht="27.75" customHeight="1" thickBot="1" x14ac:dyDescent="0.3">
      <c r="B2" s="785" t="s">
        <v>156</v>
      </c>
      <c r="C2" s="785"/>
      <c r="D2" s="785"/>
      <c r="E2" s="785"/>
      <c r="F2" s="785"/>
      <c r="G2" s="785"/>
      <c r="H2" s="785"/>
      <c r="I2" s="785"/>
      <c r="J2" s="785"/>
      <c r="K2" s="785"/>
      <c r="L2" s="785"/>
      <c r="M2" s="785"/>
      <c r="N2" s="785"/>
    </row>
    <row r="3" spans="2:14" ht="27.75" customHeight="1" thickBot="1" x14ac:dyDescent="0.3">
      <c r="B3" s="941" t="s">
        <v>120</v>
      </c>
      <c r="C3" s="941"/>
      <c r="D3" s="941"/>
      <c r="E3" s="941"/>
      <c r="F3" s="941"/>
      <c r="G3" s="941"/>
      <c r="H3" s="941"/>
      <c r="I3" s="941"/>
      <c r="J3" s="941"/>
      <c r="K3" s="941"/>
      <c r="L3" s="941"/>
      <c r="M3" s="941"/>
      <c r="N3" s="941"/>
    </row>
    <row r="4" spans="2:14" x14ac:dyDescent="0.25">
      <c r="B4" s="802" t="s">
        <v>6</v>
      </c>
      <c r="C4" s="806" t="s">
        <v>1</v>
      </c>
      <c r="D4" s="815" t="s">
        <v>2</v>
      </c>
      <c r="E4" s="780" t="s">
        <v>14</v>
      </c>
      <c r="F4" s="780" t="s">
        <v>54</v>
      </c>
      <c r="G4" s="802" t="s">
        <v>157</v>
      </c>
      <c r="H4" s="809" t="s">
        <v>153</v>
      </c>
      <c r="I4" s="810"/>
      <c r="J4" s="810"/>
      <c r="K4" s="810"/>
      <c r="L4" s="810"/>
      <c r="M4" s="810"/>
      <c r="N4" s="811"/>
    </row>
    <row r="5" spans="2:14" ht="16.5" thickBot="1" x14ac:dyDescent="0.3">
      <c r="B5" s="803"/>
      <c r="C5" s="807"/>
      <c r="D5" s="816"/>
      <c r="E5" s="781"/>
      <c r="F5" s="781"/>
      <c r="G5" s="803"/>
      <c r="H5" s="812"/>
      <c r="I5" s="813"/>
      <c r="J5" s="813"/>
      <c r="K5" s="813"/>
      <c r="L5" s="813"/>
      <c r="M5" s="813"/>
      <c r="N5" s="814"/>
    </row>
    <row r="6" spans="2:14" ht="16.5" thickBot="1" x14ac:dyDescent="0.3">
      <c r="B6" s="803"/>
      <c r="C6" s="807"/>
      <c r="D6" s="816"/>
      <c r="E6" s="781"/>
      <c r="F6" s="781"/>
      <c r="G6" s="804"/>
      <c r="H6" s="323" t="s">
        <v>150</v>
      </c>
      <c r="I6" s="319" t="s">
        <v>154</v>
      </c>
      <c r="J6" s="323" t="s">
        <v>151</v>
      </c>
      <c r="K6" s="319" t="s">
        <v>154</v>
      </c>
      <c r="L6" s="323" t="s">
        <v>152</v>
      </c>
      <c r="M6" s="319" t="s">
        <v>154</v>
      </c>
      <c r="N6" s="319" t="s">
        <v>155</v>
      </c>
    </row>
    <row r="7" spans="2:14" x14ac:dyDescent="0.25">
      <c r="B7" s="42"/>
      <c r="C7" s="320"/>
      <c r="D7" s="321"/>
      <c r="E7" s="322"/>
      <c r="F7" s="322"/>
      <c r="G7" s="55"/>
      <c r="H7" s="322"/>
      <c r="I7" s="55"/>
      <c r="J7" s="322"/>
      <c r="K7" s="55"/>
      <c r="L7" s="322"/>
      <c r="M7" s="55"/>
      <c r="N7" s="55"/>
    </row>
    <row r="8" spans="2:14" x14ac:dyDescent="0.25">
      <c r="B8" s="34">
        <v>1</v>
      </c>
      <c r="C8" s="184"/>
      <c r="D8" s="185"/>
      <c r="E8" s="225"/>
      <c r="F8" s="225"/>
      <c r="G8" s="188">
        <f>'CED - PAY'!I21/31</f>
        <v>0</v>
      </c>
      <c r="H8" s="313"/>
      <c r="I8" s="188">
        <f>ROUND(G8*H8,2)</f>
        <v>0</v>
      </c>
      <c r="J8" s="313"/>
      <c r="K8" s="188">
        <f>ROUND(G8/8*J8,2)</f>
        <v>0</v>
      </c>
      <c r="L8" s="313"/>
      <c r="M8" s="188">
        <f>ROUND(G8/8/60*L8,2)</f>
        <v>0</v>
      </c>
      <c r="N8" s="188">
        <f>I8+K8+M8</f>
        <v>0</v>
      </c>
    </row>
    <row r="9" spans="2:14" x14ac:dyDescent="0.25">
      <c r="B9" s="34">
        <f>+B8+1</f>
        <v>2</v>
      </c>
      <c r="C9" s="184"/>
      <c r="D9" s="185"/>
      <c r="E9" s="225"/>
      <c r="F9" s="225"/>
      <c r="G9" s="188">
        <f>'CED - PAY'!I22/31</f>
        <v>0</v>
      </c>
      <c r="H9" s="313"/>
      <c r="I9" s="188">
        <f t="shared" ref="I9:I15" si="0">ROUND(G9*H9,2)</f>
        <v>0</v>
      </c>
      <c r="J9" s="313"/>
      <c r="K9" s="188">
        <f t="shared" ref="K9:K15" si="1">ROUND(G9/8*J9,2)</f>
        <v>0</v>
      </c>
      <c r="L9" s="313"/>
      <c r="M9" s="188">
        <f t="shared" ref="M9:M15" si="2">ROUND(G9/8/60*L9,2)</f>
        <v>0</v>
      </c>
      <c r="N9" s="188">
        <f t="shared" ref="N9:N15" si="3">I9+K9+M9</f>
        <v>0</v>
      </c>
    </row>
    <row r="10" spans="2:14" x14ac:dyDescent="0.25">
      <c r="B10" s="34">
        <f t="shared" ref="B10:B39" si="4">+B9+1</f>
        <v>3</v>
      </c>
      <c r="C10" s="184"/>
      <c r="D10" s="185"/>
      <c r="E10" s="225"/>
      <c r="F10" s="225"/>
      <c r="G10" s="188">
        <f>'CED - PAY'!I23/31</f>
        <v>0</v>
      </c>
      <c r="H10" s="313"/>
      <c r="I10" s="188">
        <f t="shared" si="0"/>
        <v>0</v>
      </c>
      <c r="J10" s="313"/>
      <c r="K10" s="188">
        <f t="shared" si="1"/>
        <v>0</v>
      </c>
      <c r="L10" s="313"/>
      <c r="M10" s="188">
        <f t="shared" si="2"/>
        <v>0</v>
      </c>
      <c r="N10" s="188">
        <f t="shared" si="3"/>
        <v>0</v>
      </c>
    </row>
    <row r="11" spans="2:14" x14ac:dyDescent="0.25">
      <c r="B11" s="34">
        <f t="shared" si="4"/>
        <v>4</v>
      </c>
      <c r="C11" s="184"/>
      <c r="D11" s="185"/>
      <c r="E11" s="225"/>
      <c r="F11" s="225"/>
      <c r="G11" s="188">
        <f>'CED - PAY'!I24/31</f>
        <v>0</v>
      </c>
      <c r="H11" s="313"/>
      <c r="I11" s="188">
        <f t="shared" si="0"/>
        <v>0</v>
      </c>
      <c r="J11" s="313"/>
      <c r="K11" s="188">
        <f t="shared" si="1"/>
        <v>0</v>
      </c>
      <c r="L11" s="313"/>
      <c r="M11" s="188">
        <f t="shared" si="2"/>
        <v>0</v>
      </c>
      <c r="N11" s="188">
        <f t="shared" si="3"/>
        <v>0</v>
      </c>
    </row>
    <row r="12" spans="2:14" x14ac:dyDescent="0.25">
      <c r="B12" s="34">
        <f t="shared" si="4"/>
        <v>5</v>
      </c>
      <c r="C12" s="184"/>
      <c r="D12" s="185"/>
      <c r="E12" s="225"/>
      <c r="F12" s="225"/>
      <c r="G12" s="188">
        <f>'CED - PAY'!I25/31</f>
        <v>0</v>
      </c>
      <c r="H12" s="313"/>
      <c r="I12" s="188">
        <f t="shared" si="0"/>
        <v>0</v>
      </c>
      <c r="J12" s="313"/>
      <c r="K12" s="188">
        <f t="shared" si="1"/>
        <v>0</v>
      </c>
      <c r="L12" s="313"/>
      <c r="M12" s="188">
        <f t="shared" si="2"/>
        <v>0</v>
      </c>
      <c r="N12" s="188">
        <f t="shared" si="3"/>
        <v>0</v>
      </c>
    </row>
    <row r="13" spans="2:14" x14ac:dyDescent="0.25">
      <c r="B13" s="34">
        <f t="shared" si="4"/>
        <v>6</v>
      </c>
      <c r="C13" s="184"/>
      <c r="D13" s="185"/>
      <c r="E13" s="225"/>
      <c r="F13" s="225"/>
      <c r="G13" s="188">
        <f>'CED - PAY'!I26/31</f>
        <v>0</v>
      </c>
      <c r="H13" s="313"/>
      <c r="I13" s="188">
        <f t="shared" si="0"/>
        <v>0</v>
      </c>
      <c r="J13" s="313"/>
      <c r="K13" s="188">
        <f t="shared" si="1"/>
        <v>0</v>
      </c>
      <c r="L13" s="313"/>
      <c r="M13" s="188">
        <f t="shared" si="2"/>
        <v>0</v>
      </c>
      <c r="N13" s="188">
        <f t="shared" si="3"/>
        <v>0</v>
      </c>
    </row>
    <row r="14" spans="2:14" x14ac:dyDescent="0.25">
      <c r="B14" s="34">
        <f t="shared" si="4"/>
        <v>7</v>
      </c>
      <c r="C14" s="184"/>
      <c r="D14" s="185"/>
      <c r="E14" s="225"/>
      <c r="F14" s="225"/>
      <c r="G14" s="188">
        <f>'CED - PAY'!I27/31</f>
        <v>0</v>
      </c>
      <c r="H14" s="313"/>
      <c r="I14" s="188">
        <f t="shared" si="0"/>
        <v>0</v>
      </c>
      <c r="J14" s="313"/>
      <c r="K14" s="188">
        <f t="shared" si="1"/>
        <v>0</v>
      </c>
      <c r="L14" s="313"/>
      <c r="M14" s="188">
        <f t="shared" si="2"/>
        <v>0</v>
      </c>
      <c r="N14" s="188">
        <f t="shared" si="3"/>
        <v>0</v>
      </c>
    </row>
    <row r="15" spans="2:14" x14ac:dyDescent="0.25">
      <c r="B15" s="34">
        <f t="shared" si="4"/>
        <v>8</v>
      </c>
      <c r="C15" s="184"/>
      <c r="D15" s="185"/>
      <c r="E15" s="225"/>
      <c r="F15" s="225"/>
      <c r="G15" s="188">
        <f>'CED - PAY'!I28/31</f>
        <v>0</v>
      </c>
      <c r="H15" s="313"/>
      <c r="I15" s="188">
        <f t="shared" si="0"/>
        <v>0</v>
      </c>
      <c r="J15" s="313"/>
      <c r="K15" s="188">
        <f t="shared" si="1"/>
        <v>0</v>
      </c>
      <c r="L15" s="313"/>
      <c r="M15" s="188">
        <f t="shared" si="2"/>
        <v>0</v>
      </c>
      <c r="N15" s="188">
        <f t="shared" si="3"/>
        <v>0</v>
      </c>
    </row>
    <row r="16" spans="2:14" x14ac:dyDescent="0.25">
      <c r="B16" s="34">
        <f t="shared" si="4"/>
        <v>9</v>
      </c>
      <c r="C16" s="184"/>
      <c r="D16" s="185"/>
      <c r="E16" s="225"/>
      <c r="F16" s="225"/>
      <c r="G16" s="188">
        <f>'CED - PAY'!I29/31</f>
        <v>0</v>
      </c>
      <c r="H16" s="313"/>
      <c r="I16" s="188">
        <f>ROUND(G16*H16,2)</f>
        <v>0</v>
      </c>
      <c r="J16" s="313"/>
      <c r="K16" s="188">
        <f>ROUND(G16/8*J16,2)</f>
        <v>0</v>
      </c>
      <c r="L16" s="313"/>
      <c r="M16" s="188">
        <f>ROUND(G16/8/60*L16,2)</f>
        <v>0</v>
      </c>
      <c r="N16" s="188">
        <f>I16+K16+M16</f>
        <v>0</v>
      </c>
    </row>
    <row r="17" spans="2:14" x14ac:dyDescent="0.25">
      <c r="B17" s="34">
        <f t="shared" si="4"/>
        <v>10</v>
      </c>
      <c r="C17" s="186"/>
      <c r="D17" s="185"/>
      <c r="E17" s="331"/>
      <c r="F17" s="331"/>
      <c r="G17" s="188">
        <f>'CED - PAY'!I30/31</f>
        <v>0</v>
      </c>
      <c r="H17" s="314"/>
      <c r="I17" s="189">
        <f>ROUND(G17*H17,2)</f>
        <v>0</v>
      </c>
      <c r="J17" s="314"/>
      <c r="K17" s="189">
        <f>ROUND(G17/8*J17,2)</f>
        <v>0</v>
      </c>
      <c r="L17" s="314"/>
      <c r="M17" s="189">
        <f>ROUND(G17/8/60*L17,2)</f>
        <v>0</v>
      </c>
      <c r="N17" s="189">
        <f>I17+K17+M17</f>
        <v>0</v>
      </c>
    </row>
    <row r="18" spans="2:14" x14ac:dyDescent="0.25">
      <c r="B18" s="34">
        <f t="shared" si="4"/>
        <v>11</v>
      </c>
      <c r="C18" s="186"/>
      <c r="D18" s="185"/>
      <c r="E18" s="331"/>
      <c r="F18" s="331"/>
      <c r="G18" s="188">
        <f>'CED - PAY'!I31/31</f>
        <v>0</v>
      </c>
      <c r="H18" s="314"/>
      <c r="I18" s="189">
        <f t="shared" ref="I18:I28" si="5">ROUND(G18*H18,2)</f>
        <v>0</v>
      </c>
      <c r="J18" s="314"/>
      <c r="K18" s="189">
        <f t="shared" ref="K18:K28" si="6">ROUND(G18/8*J18,2)</f>
        <v>0</v>
      </c>
      <c r="L18" s="314"/>
      <c r="M18" s="189">
        <f t="shared" ref="M18:M28" si="7">ROUND(G18/8/60*L18,2)</f>
        <v>0</v>
      </c>
      <c r="N18" s="189">
        <f t="shared" ref="N18:N28" si="8">I18+K18+M18</f>
        <v>0</v>
      </c>
    </row>
    <row r="19" spans="2:14" x14ac:dyDescent="0.25">
      <c r="B19" s="34">
        <f t="shared" si="4"/>
        <v>12</v>
      </c>
      <c r="C19" s="186"/>
      <c r="D19" s="185"/>
      <c r="E19" s="331"/>
      <c r="F19" s="331"/>
      <c r="G19" s="188">
        <f>'CED - PAY'!I32/31</f>
        <v>0</v>
      </c>
      <c r="H19" s="314"/>
      <c r="I19" s="189">
        <f t="shared" si="5"/>
        <v>0</v>
      </c>
      <c r="J19" s="314"/>
      <c r="K19" s="189">
        <f t="shared" si="6"/>
        <v>0</v>
      </c>
      <c r="L19" s="314"/>
      <c r="M19" s="189">
        <f t="shared" si="7"/>
        <v>0</v>
      </c>
      <c r="N19" s="189">
        <f t="shared" si="8"/>
        <v>0</v>
      </c>
    </row>
    <row r="20" spans="2:14" x14ac:dyDescent="0.25">
      <c r="B20" s="34">
        <f t="shared" si="4"/>
        <v>13</v>
      </c>
      <c r="C20" s="186"/>
      <c r="D20" s="185"/>
      <c r="E20" s="331"/>
      <c r="F20" s="331"/>
      <c r="G20" s="188">
        <f>'CED - PAY'!I33/31</f>
        <v>0</v>
      </c>
      <c r="H20" s="314"/>
      <c r="I20" s="189">
        <f t="shared" si="5"/>
        <v>0</v>
      </c>
      <c r="J20" s="314"/>
      <c r="K20" s="189">
        <f t="shared" si="6"/>
        <v>0</v>
      </c>
      <c r="L20" s="314"/>
      <c r="M20" s="189">
        <f t="shared" si="7"/>
        <v>0</v>
      </c>
      <c r="N20" s="189">
        <f t="shared" si="8"/>
        <v>0</v>
      </c>
    </row>
    <row r="21" spans="2:14" x14ac:dyDescent="0.25">
      <c r="B21" s="34">
        <f t="shared" si="4"/>
        <v>14</v>
      </c>
      <c r="C21" s="186"/>
      <c r="D21" s="185"/>
      <c r="E21" s="331"/>
      <c r="F21" s="331"/>
      <c r="G21" s="188">
        <f>'CED - PAY'!I34/31</f>
        <v>0</v>
      </c>
      <c r="H21" s="314"/>
      <c r="I21" s="189">
        <f t="shared" si="5"/>
        <v>0</v>
      </c>
      <c r="J21" s="314"/>
      <c r="K21" s="189">
        <f t="shared" si="6"/>
        <v>0</v>
      </c>
      <c r="L21" s="314"/>
      <c r="M21" s="189">
        <f t="shared" si="7"/>
        <v>0</v>
      </c>
      <c r="N21" s="189">
        <f t="shared" si="8"/>
        <v>0</v>
      </c>
    </row>
    <row r="22" spans="2:14" x14ac:dyDescent="0.25">
      <c r="B22" s="34">
        <f t="shared" si="4"/>
        <v>15</v>
      </c>
      <c r="C22" s="186"/>
      <c r="D22" s="185"/>
      <c r="E22" s="225"/>
      <c r="F22" s="225"/>
      <c r="G22" s="188">
        <f>'CED - PAY'!I35/31</f>
        <v>0</v>
      </c>
      <c r="H22" s="314"/>
      <c r="I22" s="189">
        <f t="shared" si="5"/>
        <v>0</v>
      </c>
      <c r="J22" s="314"/>
      <c r="K22" s="189">
        <f t="shared" si="6"/>
        <v>0</v>
      </c>
      <c r="L22" s="314"/>
      <c r="M22" s="189">
        <f t="shared" si="7"/>
        <v>0</v>
      </c>
      <c r="N22" s="189">
        <f t="shared" si="8"/>
        <v>0</v>
      </c>
    </row>
    <row r="23" spans="2:14" x14ac:dyDescent="0.25">
      <c r="B23" s="34">
        <f t="shared" si="4"/>
        <v>16</v>
      </c>
      <c r="C23" s="186"/>
      <c r="D23" s="185"/>
      <c r="E23" s="331"/>
      <c r="F23" s="331"/>
      <c r="G23" s="188">
        <f>'CED - PAY'!I36/31</f>
        <v>0</v>
      </c>
      <c r="H23" s="314"/>
      <c r="I23" s="189">
        <f t="shared" si="5"/>
        <v>0</v>
      </c>
      <c r="J23" s="314"/>
      <c r="K23" s="189">
        <f t="shared" si="6"/>
        <v>0</v>
      </c>
      <c r="L23" s="314"/>
      <c r="M23" s="189">
        <f t="shared" si="7"/>
        <v>0</v>
      </c>
      <c r="N23" s="189">
        <f t="shared" si="8"/>
        <v>0</v>
      </c>
    </row>
    <row r="24" spans="2:14" x14ac:dyDescent="0.25">
      <c r="B24" s="34">
        <f t="shared" si="4"/>
        <v>17</v>
      </c>
      <c r="C24" s="186"/>
      <c r="D24" s="185"/>
      <c r="E24" s="225"/>
      <c r="F24" s="225"/>
      <c r="G24" s="188">
        <f>'CED - PAY'!I37/31</f>
        <v>0</v>
      </c>
      <c r="H24" s="314"/>
      <c r="I24" s="189">
        <f t="shared" si="5"/>
        <v>0</v>
      </c>
      <c r="J24" s="314"/>
      <c r="K24" s="189">
        <f t="shared" si="6"/>
        <v>0</v>
      </c>
      <c r="L24" s="314"/>
      <c r="M24" s="189">
        <f t="shared" si="7"/>
        <v>0</v>
      </c>
      <c r="N24" s="189">
        <f t="shared" si="8"/>
        <v>0</v>
      </c>
    </row>
    <row r="25" spans="2:14" x14ac:dyDescent="0.25">
      <c r="B25" s="34">
        <f t="shared" si="4"/>
        <v>18</v>
      </c>
      <c r="C25" s="186"/>
      <c r="D25" s="305"/>
      <c r="E25" s="331"/>
      <c r="F25" s="331"/>
      <c r="G25" s="188">
        <f>'CED - PAY'!I38/31</f>
        <v>0</v>
      </c>
      <c r="H25" s="314"/>
      <c r="I25" s="189">
        <f t="shared" si="5"/>
        <v>0</v>
      </c>
      <c r="J25" s="314"/>
      <c r="K25" s="189">
        <f t="shared" si="6"/>
        <v>0</v>
      </c>
      <c r="L25" s="314"/>
      <c r="M25" s="189">
        <f t="shared" si="7"/>
        <v>0</v>
      </c>
      <c r="N25" s="189">
        <f t="shared" si="8"/>
        <v>0</v>
      </c>
    </row>
    <row r="26" spans="2:14" x14ac:dyDescent="0.25">
      <c r="B26" s="34">
        <f t="shared" si="4"/>
        <v>19</v>
      </c>
      <c r="C26" s="186"/>
      <c r="D26" s="305"/>
      <c r="E26" s="331"/>
      <c r="F26" s="331"/>
      <c r="G26" s="188">
        <f>'CED - PAY'!I39/31</f>
        <v>0</v>
      </c>
      <c r="H26" s="314"/>
      <c r="I26" s="189">
        <f t="shared" si="5"/>
        <v>0</v>
      </c>
      <c r="J26" s="314"/>
      <c r="K26" s="189">
        <f t="shared" si="6"/>
        <v>0</v>
      </c>
      <c r="L26" s="314"/>
      <c r="M26" s="189">
        <f t="shared" si="7"/>
        <v>0</v>
      </c>
      <c r="N26" s="189">
        <f t="shared" si="8"/>
        <v>0</v>
      </c>
    </row>
    <row r="27" spans="2:14" x14ac:dyDescent="0.25">
      <c r="B27" s="34">
        <f t="shared" si="4"/>
        <v>20</v>
      </c>
      <c r="C27" s="186"/>
      <c r="D27" s="185"/>
      <c r="E27" s="331"/>
      <c r="F27" s="331"/>
      <c r="G27" s="188">
        <f>'CED - PAY'!I40/31</f>
        <v>0</v>
      </c>
      <c r="H27" s="314"/>
      <c r="I27" s="189">
        <f t="shared" si="5"/>
        <v>0</v>
      </c>
      <c r="J27" s="314"/>
      <c r="K27" s="189">
        <f t="shared" si="6"/>
        <v>0</v>
      </c>
      <c r="L27" s="314"/>
      <c r="M27" s="189">
        <f t="shared" si="7"/>
        <v>0</v>
      </c>
      <c r="N27" s="189">
        <f t="shared" si="8"/>
        <v>0</v>
      </c>
    </row>
    <row r="28" spans="2:14" x14ac:dyDescent="0.25">
      <c r="B28" s="34">
        <f t="shared" si="4"/>
        <v>21</v>
      </c>
      <c r="C28" s="186"/>
      <c r="D28" s="305"/>
      <c r="E28" s="331"/>
      <c r="F28" s="331"/>
      <c r="G28" s="188">
        <f>'CED - PAY'!I41/31</f>
        <v>0</v>
      </c>
      <c r="H28" s="314"/>
      <c r="I28" s="189">
        <f t="shared" si="5"/>
        <v>0</v>
      </c>
      <c r="J28" s="314"/>
      <c r="K28" s="189">
        <f t="shared" si="6"/>
        <v>0</v>
      </c>
      <c r="L28" s="314"/>
      <c r="M28" s="189">
        <f t="shared" si="7"/>
        <v>0</v>
      </c>
      <c r="N28" s="189">
        <f t="shared" si="8"/>
        <v>0</v>
      </c>
    </row>
    <row r="29" spans="2:14" x14ac:dyDescent="0.25">
      <c r="B29" s="34">
        <f t="shared" si="4"/>
        <v>22</v>
      </c>
      <c r="C29" s="186"/>
      <c r="D29" s="305"/>
      <c r="E29" s="331"/>
      <c r="F29" s="331"/>
      <c r="G29" s="188">
        <f>'CED - PAY'!I42/31</f>
        <v>0</v>
      </c>
      <c r="H29" s="314"/>
      <c r="I29" s="189">
        <f t="shared" ref="I29:I57" si="9">ROUND(G29*H29,2)</f>
        <v>0</v>
      </c>
      <c r="J29" s="314"/>
      <c r="K29" s="189">
        <f t="shared" ref="K29:K57" si="10">ROUND(G29/8*J29,2)</f>
        <v>0</v>
      </c>
      <c r="L29" s="314"/>
      <c r="M29" s="189">
        <f t="shared" ref="M29:M57" si="11">ROUND(G29/8/60*L29,2)</f>
        <v>0</v>
      </c>
      <c r="N29" s="189">
        <f t="shared" ref="N29:N57" si="12">I29+K29+M29</f>
        <v>0</v>
      </c>
    </row>
    <row r="30" spans="2:14" x14ac:dyDescent="0.25">
      <c r="B30" s="34">
        <f t="shared" si="4"/>
        <v>23</v>
      </c>
      <c r="C30" s="186"/>
      <c r="D30" s="305"/>
      <c r="E30" s="331"/>
      <c r="F30" s="331"/>
      <c r="G30" s="188">
        <f>'CED - PAY'!I43/31</f>
        <v>0</v>
      </c>
      <c r="H30" s="314"/>
      <c r="I30" s="189">
        <f t="shared" si="9"/>
        <v>0</v>
      </c>
      <c r="J30" s="314"/>
      <c r="K30" s="189">
        <f t="shared" si="10"/>
        <v>0</v>
      </c>
      <c r="L30" s="314"/>
      <c r="M30" s="189">
        <f t="shared" si="11"/>
        <v>0</v>
      </c>
      <c r="N30" s="189">
        <f t="shared" si="12"/>
        <v>0</v>
      </c>
    </row>
    <row r="31" spans="2:14" x14ac:dyDescent="0.25">
      <c r="B31" s="34">
        <f t="shared" si="4"/>
        <v>24</v>
      </c>
      <c r="C31" s="186"/>
      <c r="D31" s="185"/>
      <c r="E31" s="225"/>
      <c r="F31" s="225"/>
      <c r="G31" s="188">
        <f>'CED - PAY'!I44/31</f>
        <v>0</v>
      </c>
      <c r="H31" s="314"/>
      <c r="I31" s="189">
        <f t="shared" si="9"/>
        <v>0</v>
      </c>
      <c r="J31" s="314"/>
      <c r="K31" s="189">
        <f t="shared" si="10"/>
        <v>0</v>
      </c>
      <c r="L31" s="314"/>
      <c r="M31" s="189">
        <f t="shared" si="11"/>
        <v>0</v>
      </c>
      <c r="N31" s="189">
        <f t="shared" si="12"/>
        <v>0</v>
      </c>
    </row>
    <row r="32" spans="2:14" x14ac:dyDescent="0.25">
      <c r="B32" s="34">
        <f t="shared" si="4"/>
        <v>25</v>
      </c>
      <c r="C32" s="186"/>
      <c r="D32" s="305"/>
      <c r="E32" s="331"/>
      <c r="F32" s="331"/>
      <c r="G32" s="188">
        <f>'CED - PAY'!I45/31</f>
        <v>0</v>
      </c>
      <c r="H32" s="314"/>
      <c r="I32" s="189">
        <f t="shared" si="9"/>
        <v>0</v>
      </c>
      <c r="J32" s="314"/>
      <c r="K32" s="189">
        <f t="shared" si="10"/>
        <v>0</v>
      </c>
      <c r="L32" s="314"/>
      <c r="M32" s="189">
        <f t="shared" si="11"/>
        <v>0</v>
      </c>
      <c r="N32" s="189">
        <f t="shared" si="12"/>
        <v>0</v>
      </c>
    </row>
    <row r="33" spans="2:14" x14ac:dyDescent="0.25">
      <c r="B33" s="34">
        <f t="shared" si="4"/>
        <v>26</v>
      </c>
      <c r="C33" s="186"/>
      <c r="D33" s="305"/>
      <c r="E33" s="331"/>
      <c r="F33" s="331"/>
      <c r="G33" s="188">
        <f>'CED - PAY'!I46/31</f>
        <v>0</v>
      </c>
      <c r="H33" s="314"/>
      <c r="I33" s="189">
        <f t="shared" si="9"/>
        <v>0</v>
      </c>
      <c r="J33" s="314"/>
      <c r="K33" s="189">
        <f t="shared" si="10"/>
        <v>0</v>
      </c>
      <c r="L33" s="314"/>
      <c r="M33" s="189">
        <f t="shared" si="11"/>
        <v>0</v>
      </c>
      <c r="N33" s="189">
        <f t="shared" si="12"/>
        <v>0</v>
      </c>
    </row>
    <row r="34" spans="2:14" x14ac:dyDescent="0.25">
      <c r="B34" s="34">
        <f t="shared" si="4"/>
        <v>27</v>
      </c>
      <c r="C34" s="186"/>
      <c r="D34" s="305"/>
      <c r="E34" s="331"/>
      <c r="F34" s="331"/>
      <c r="G34" s="188">
        <f>'CED - PAY'!I47/31</f>
        <v>0</v>
      </c>
      <c r="H34" s="314"/>
      <c r="I34" s="189">
        <f t="shared" si="9"/>
        <v>0</v>
      </c>
      <c r="J34" s="314"/>
      <c r="K34" s="189">
        <f t="shared" si="10"/>
        <v>0</v>
      </c>
      <c r="L34" s="314"/>
      <c r="M34" s="189">
        <f t="shared" si="11"/>
        <v>0</v>
      </c>
      <c r="N34" s="189">
        <f t="shared" si="12"/>
        <v>0</v>
      </c>
    </row>
    <row r="35" spans="2:14" x14ac:dyDescent="0.25">
      <c r="B35" s="34">
        <f t="shared" si="4"/>
        <v>28</v>
      </c>
      <c r="C35" s="186"/>
      <c r="D35" s="305"/>
      <c r="E35" s="331"/>
      <c r="F35" s="331"/>
      <c r="G35" s="188">
        <f>'CED - PAY'!I48/31</f>
        <v>0</v>
      </c>
      <c r="H35" s="314"/>
      <c r="I35" s="189">
        <f t="shared" si="9"/>
        <v>0</v>
      </c>
      <c r="J35" s="314"/>
      <c r="K35" s="189">
        <f t="shared" si="10"/>
        <v>0</v>
      </c>
      <c r="L35" s="314"/>
      <c r="M35" s="189">
        <f t="shared" si="11"/>
        <v>0</v>
      </c>
      <c r="N35" s="189">
        <f t="shared" si="12"/>
        <v>0</v>
      </c>
    </row>
    <row r="36" spans="2:14" x14ac:dyDescent="0.25">
      <c r="B36" s="34">
        <f t="shared" si="4"/>
        <v>29</v>
      </c>
      <c r="C36" s="186"/>
      <c r="D36" s="305"/>
      <c r="E36" s="331"/>
      <c r="F36" s="331"/>
      <c r="G36" s="188">
        <f>'CED - PAY'!I49/31</f>
        <v>0</v>
      </c>
      <c r="H36" s="314"/>
      <c r="I36" s="189">
        <f t="shared" si="9"/>
        <v>0</v>
      </c>
      <c r="J36" s="314"/>
      <c r="K36" s="189">
        <f t="shared" si="10"/>
        <v>0</v>
      </c>
      <c r="L36" s="314"/>
      <c r="M36" s="189">
        <f t="shared" si="11"/>
        <v>0</v>
      </c>
      <c r="N36" s="189">
        <f t="shared" si="12"/>
        <v>0</v>
      </c>
    </row>
    <row r="37" spans="2:14" x14ac:dyDescent="0.25">
      <c r="B37" s="34">
        <f t="shared" si="4"/>
        <v>30</v>
      </c>
      <c r="C37" s="186"/>
      <c r="D37" s="305"/>
      <c r="E37" s="331"/>
      <c r="F37" s="331"/>
      <c r="G37" s="188">
        <f>'CED - PAY'!I50/31</f>
        <v>0</v>
      </c>
      <c r="H37" s="314"/>
      <c r="I37" s="189">
        <f t="shared" si="9"/>
        <v>0</v>
      </c>
      <c r="J37" s="314"/>
      <c r="K37" s="189">
        <f t="shared" si="10"/>
        <v>0</v>
      </c>
      <c r="L37" s="314"/>
      <c r="M37" s="189">
        <f t="shared" si="11"/>
        <v>0</v>
      </c>
      <c r="N37" s="189">
        <f t="shared" si="12"/>
        <v>0</v>
      </c>
    </row>
    <row r="38" spans="2:14" x14ac:dyDescent="0.25">
      <c r="B38" s="34">
        <f t="shared" si="4"/>
        <v>31</v>
      </c>
      <c r="C38" s="186"/>
      <c r="D38" s="185"/>
      <c r="E38" s="331"/>
      <c r="F38" s="331"/>
      <c r="G38" s="188">
        <f>'CED - PAY'!I51/31</f>
        <v>0</v>
      </c>
      <c r="H38" s="314"/>
      <c r="I38" s="189">
        <f t="shared" si="9"/>
        <v>0</v>
      </c>
      <c r="J38" s="314"/>
      <c r="K38" s="189">
        <f t="shared" si="10"/>
        <v>0</v>
      </c>
      <c r="L38" s="314"/>
      <c r="M38" s="189">
        <f t="shared" si="11"/>
        <v>0</v>
      </c>
      <c r="N38" s="189">
        <f t="shared" si="12"/>
        <v>0</v>
      </c>
    </row>
    <row r="39" spans="2:14" x14ac:dyDescent="0.25">
      <c r="B39" s="34">
        <f t="shared" si="4"/>
        <v>32</v>
      </c>
      <c r="C39" s="186"/>
      <c r="D39" s="305"/>
      <c r="E39" s="331"/>
      <c r="F39" s="331"/>
      <c r="G39" s="188">
        <f>'CED - PAY'!I52/31</f>
        <v>0</v>
      </c>
      <c r="H39" s="314"/>
      <c r="I39" s="189">
        <f t="shared" si="9"/>
        <v>0</v>
      </c>
      <c r="J39" s="314"/>
      <c r="K39" s="189">
        <f t="shared" si="10"/>
        <v>0</v>
      </c>
      <c r="L39" s="314"/>
      <c r="M39" s="189">
        <f t="shared" si="11"/>
        <v>0</v>
      </c>
      <c r="N39" s="189">
        <f t="shared" si="12"/>
        <v>0</v>
      </c>
    </row>
    <row r="40" spans="2:14" x14ac:dyDescent="0.25">
      <c r="B40" s="34">
        <f t="shared" ref="B40:B56" si="13">+B22+1</f>
        <v>16</v>
      </c>
      <c r="C40" s="186"/>
      <c r="D40" s="185"/>
      <c r="E40" s="331"/>
      <c r="F40" s="331"/>
      <c r="G40" s="188">
        <f>'CED - PAY'!I36/31</f>
        <v>0</v>
      </c>
      <c r="H40" s="314"/>
      <c r="I40" s="189">
        <f t="shared" ref="I40:I56" si="14">ROUND(G40*H40,2)</f>
        <v>0</v>
      </c>
      <c r="J40" s="314"/>
      <c r="K40" s="189">
        <f t="shared" ref="K40:K56" si="15">ROUND(G40/8*J40,2)</f>
        <v>0</v>
      </c>
      <c r="L40" s="314"/>
      <c r="M40" s="189">
        <f t="shared" ref="M40:M56" si="16">ROUND(G40/8/60*L40,2)</f>
        <v>0</v>
      </c>
      <c r="N40" s="189">
        <f t="shared" ref="N40:N56" si="17">I40+K40+M40</f>
        <v>0</v>
      </c>
    </row>
    <row r="41" spans="2:14" x14ac:dyDescent="0.25">
      <c r="B41" s="34">
        <f t="shared" si="13"/>
        <v>17</v>
      </c>
      <c r="C41" s="186"/>
      <c r="D41" s="185"/>
      <c r="E41" s="331"/>
      <c r="F41" s="331"/>
      <c r="G41" s="188">
        <f>'CED - PAY'!I37/31</f>
        <v>0</v>
      </c>
      <c r="H41" s="314"/>
      <c r="I41" s="189">
        <f t="shared" si="14"/>
        <v>0</v>
      </c>
      <c r="J41" s="314"/>
      <c r="K41" s="189">
        <f t="shared" si="15"/>
        <v>0</v>
      </c>
      <c r="L41" s="314"/>
      <c r="M41" s="189">
        <f t="shared" si="16"/>
        <v>0</v>
      </c>
      <c r="N41" s="189">
        <f t="shared" si="17"/>
        <v>0</v>
      </c>
    </row>
    <row r="42" spans="2:14" x14ac:dyDescent="0.25">
      <c r="B42" s="34">
        <f t="shared" si="13"/>
        <v>18</v>
      </c>
      <c r="C42" s="186"/>
      <c r="D42" s="185"/>
      <c r="E42" s="331"/>
      <c r="F42" s="331"/>
      <c r="G42" s="188">
        <f>'CED - PAY'!I38/31</f>
        <v>0</v>
      </c>
      <c r="H42" s="314"/>
      <c r="I42" s="189">
        <f t="shared" si="14"/>
        <v>0</v>
      </c>
      <c r="J42" s="314"/>
      <c r="K42" s="189">
        <f t="shared" si="15"/>
        <v>0</v>
      </c>
      <c r="L42" s="314"/>
      <c r="M42" s="189">
        <f t="shared" si="16"/>
        <v>0</v>
      </c>
      <c r="N42" s="189">
        <f t="shared" si="17"/>
        <v>0</v>
      </c>
    </row>
    <row r="43" spans="2:14" x14ac:dyDescent="0.25">
      <c r="B43" s="34">
        <f t="shared" si="13"/>
        <v>19</v>
      </c>
      <c r="C43" s="186"/>
      <c r="D43" s="185"/>
      <c r="E43" s="331"/>
      <c r="F43" s="331"/>
      <c r="G43" s="188">
        <f>'CED - PAY'!I39/31</f>
        <v>0</v>
      </c>
      <c r="H43" s="314"/>
      <c r="I43" s="189">
        <f t="shared" si="14"/>
        <v>0</v>
      </c>
      <c r="J43" s="314"/>
      <c r="K43" s="189">
        <f t="shared" si="15"/>
        <v>0</v>
      </c>
      <c r="L43" s="314"/>
      <c r="M43" s="189">
        <f t="shared" si="16"/>
        <v>0</v>
      </c>
      <c r="N43" s="189">
        <f t="shared" si="17"/>
        <v>0</v>
      </c>
    </row>
    <row r="44" spans="2:14" x14ac:dyDescent="0.25">
      <c r="B44" s="34">
        <f t="shared" si="13"/>
        <v>20</v>
      </c>
      <c r="C44" s="186"/>
      <c r="D44" s="185"/>
      <c r="E44" s="331"/>
      <c r="F44" s="331"/>
      <c r="G44" s="188">
        <f>'CED - PAY'!I40/31</f>
        <v>0</v>
      </c>
      <c r="H44" s="314"/>
      <c r="I44" s="189">
        <f t="shared" si="14"/>
        <v>0</v>
      </c>
      <c r="J44" s="314"/>
      <c r="K44" s="189">
        <f t="shared" si="15"/>
        <v>0</v>
      </c>
      <c r="L44" s="314"/>
      <c r="M44" s="189">
        <f t="shared" si="16"/>
        <v>0</v>
      </c>
      <c r="N44" s="189">
        <f t="shared" si="17"/>
        <v>0</v>
      </c>
    </row>
    <row r="45" spans="2:14" x14ac:dyDescent="0.25">
      <c r="B45" s="34">
        <f t="shared" si="13"/>
        <v>21</v>
      </c>
      <c r="C45" s="186"/>
      <c r="D45" s="185"/>
      <c r="E45" s="331"/>
      <c r="F45" s="331"/>
      <c r="G45" s="188">
        <f>'CED - PAY'!I41/31</f>
        <v>0</v>
      </c>
      <c r="H45" s="314"/>
      <c r="I45" s="189">
        <f t="shared" si="14"/>
        <v>0</v>
      </c>
      <c r="J45" s="314"/>
      <c r="K45" s="189">
        <f t="shared" si="15"/>
        <v>0</v>
      </c>
      <c r="L45" s="314"/>
      <c r="M45" s="189">
        <f t="shared" si="16"/>
        <v>0</v>
      </c>
      <c r="N45" s="189">
        <f t="shared" si="17"/>
        <v>0</v>
      </c>
    </row>
    <row r="46" spans="2:14" x14ac:dyDescent="0.25">
      <c r="B46" s="34">
        <f t="shared" si="13"/>
        <v>22</v>
      </c>
      <c r="C46" s="186"/>
      <c r="D46" s="185"/>
      <c r="E46" s="331"/>
      <c r="F46" s="331"/>
      <c r="G46" s="188">
        <f>'CED - PAY'!I42/31</f>
        <v>0</v>
      </c>
      <c r="H46" s="314"/>
      <c r="I46" s="189">
        <f t="shared" si="14"/>
        <v>0</v>
      </c>
      <c r="J46" s="314"/>
      <c r="K46" s="189">
        <f t="shared" si="15"/>
        <v>0</v>
      </c>
      <c r="L46" s="314"/>
      <c r="M46" s="189">
        <f t="shared" si="16"/>
        <v>0</v>
      </c>
      <c r="N46" s="189">
        <f t="shared" si="17"/>
        <v>0</v>
      </c>
    </row>
    <row r="47" spans="2:14" x14ac:dyDescent="0.25">
      <c r="B47" s="34">
        <f t="shared" si="13"/>
        <v>23</v>
      </c>
      <c r="C47" s="186"/>
      <c r="D47" s="185"/>
      <c r="E47" s="331"/>
      <c r="F47" s="331"/>
      <c r="G47" s="188">
        <f>'CED - PAY'!I43/31</f>
        <v>0</v>
      </c>
      <c r="H47" s="314"/>
      <c r="I47" s="189">
        <f t="shared" si="14"/>
        <v>0</v>
      </c>
      <c r="J47" s="314"/>
      <c r="K47" s="189">
        <f t="shared" si="15"/>
        <v>0</v>
      </c>
      <c r="L47" s="314"/>
      <c r="M47" s="189">
        <f t="shared" si="16"/>
        <v>0</v>
      </c>
      <c r="N47" s="189">
        <f t="shared" si="17"/>
        <v>0</v>
      </c>
    </row>
    <row r="48" spans="2:14" x14ac:dyDescent="0.25">
      <c r="B48" s="34">
        <f t="shared" si="13"/>
        <v>24</v>
      </c>
      <c r="C48" s="186"/>
      <c r="D48" s="185"/>
      <c r="E48" s="331"/>
      <c r="F48" s="331"/>
      <c r="G48" s="188">
        <f>'CED - PAY'!I44/31</f>
        <v>0</v>
      </c>
      <c r="H48" s="314"/>
      <c r="I48" s="189">
        <f t="shared" si="14"/>
        <v>0</v>
      </c>
      <c r="J48" s="314"/>
      <c r="K48" s="189">
        <f t="shared" si="15"/>
        <v>0</v>
      </c>
      <c r="L48" s="314"/>
      <c r="M48" s="189">
        <f t="shared" si="16"/>
        <v>0</v>
      </c>
      <c r="N48" s="189">
        <f t="shared" si="17"/>
        <v>0</v>
      </c>
    </row>
    <row r="49" spans="2:14" x14ac:dyDescent="0.25">
      <c r="B49" s="34">
        <f t="shared" si="13"/>
        <v>25</v>
      </c>
      <c r="C49" s="186"/>
      <c r="D49" s="185"/>
      <c r="E49" s="331"/>
      <c r="F49" s="331"/>
      <c r="G49" s="188">
        <f>'CED - PAY'!I45/31</f>
        <v>0</v>
      </c>
      <c r="H49" s="314"/>
      <c r="I49" s="189">
        <f t="shared" si="14"/>
        <v>0</v>
      </c>
      <c r="J49" s="314"/>
      <c r="K49" s="189">
        <f t="shared" si="15"/>
        <v>0</v>
      </c>
      <c r="L49" s="314"/>
      <c r="M49" s="189">
        <f t="shared" si="16"/>
        <v>0</v>
      </c>
      <c r="N49" s="189">
        <f t="shared" si="17"/>
        <v>0</v>
      </c>
    </row>
    <row r="50" spans="2:14" x14ac:dyDescent="0.25">
      <c r="B50" s="34">
        <f t="shared" si="13"/>
        <v>26</v>
      </c>
      <c r="C50" s="186"/>
      <c r="D50" s="185"/>
      <c r="E50" s="331"/>
      <c r="F50" s="331"/>
      <c r="G50" s="188">
        <f>'CED - PAY'!I46/31</f>
        <v>0</v>
      </c>
      <c r="H50" s="314"/>
      <c r="I50" s="189">
        <f t="shared" si="14"/>
        <v>0</v>
      </c>
      <c r="J50" s="314"/>
      <c r="K50" s="189">
        <f t="shared" si="15"/>
        <v>0</v>
      </c>
      <c r="L50" s="314"/>
      <c r="M50" s="189">
        <f t="shared" si="16"/>
        <v>0</v>
      </c>
      <c r="N50" s="189">
        <f t="shared" si="17"/>
        <v>0</v>
      </c>
    </row>
    <row r="51" spans="2:14" x14ac:dyDescent="0.25">
      <c r="B51" s="34">
        <f t="shared" si="13"/>
        <v>27</v>
      </c>
      <c r="C51" s="186"/>
      <c r="D51" s="185"/>
      <c r="E51" s="331"/>
      <c r="F51" s="331"/>
      <c r="G51" s="188">
        <f>'CED - PAY'!I47/31</f>
        <v>0</v>
      </c>
      <c r="H51" s="314"/>
      <c r="I51" s="189">
        <f t="shared" si="14"/>
        <v>0</v>
      </c>
      <c r="J51" s="314"/>
      <c r="K51" s="189">
        <f t="shared" si="15"/>
        <v>0</v>
      </c>
      <c r="L51" s="314"/>
      <c r="M51" s="189">
        <f t="shared" si="16"/>
        <v>0</v>
      </c>
      <c r="N51" s="189">
        <f t="shared" si="17"/>
        <v>0</v>
      </c>
    </row>
    <row r="52" spans="2:14" x14ac:dyDescent="0.25">
      <c r="B52" s="34">
        <f t="shared" si="13"/>
        <v>28</v>
      </c>
      <c r="C52" s="186"/>
      <c r="D52" s="185"/>
      <c r="E52" s="331"/>
      <c r="F52" s="331"/>
      <c r="G52" s="188">
        <f>'CED - PAY'!I48/31</f>
        <v>0</v>
      </c>
      <c r="H52" s="314"/>
      <c r="I52" s="189">
        <f t="shared" si="14"/>
        <v>0</v>
      </c>
      <c r="J52" s="314"/>
      <c r="K52" s="189">
        <f t="shared" si="15"/>
        <v>0</v>
      </c>
      <c r="L52" s="314"/>
      <c r="M52" s="189">
        <f t="shared" si="16"/>
        <v>0</v>
      </c>
      <c r="N52" s="189">
        <f t="shared" si="17"/>
        <v>0</v>
      </c>
    </row>
    <row r="53" spans="2:14" x14ac:dyDescent="0.25">
      <c r="B53" s="34">
        <f t="shared" si="13"/>
        <v>29</v>
      </c>
      <c r="C53" s="186"/>
      <c r="D53" s="185"/>
      <c r="E53" s="331"/>
      <c r="F53" s="331"/>
      <c r="G53" s="188">
        <f>'CED - PAY'!I49/31</f>
        <v>0</v>
      </c>
      <c r="H53" s="314"/>
      <c r="I53" s="189">
        <f t="shared" si="14"/>
        <v>0</v>
      </c>
      <c r="J53" s="314"/>
      <c r="K53" s="189">
        <f t="shared" si="15"/>
        <v>0</v>
      </c>
      <c r="L53" s="314"/>
      <c r="M53" s="189">
        <f t="shared" si="16"/>
        <v>0</v>
      </c>
      <c r="N53" s="189">
        <f t="shared" si="17"/>
        <v>0</v>
      </c>
    </row>
    <row r="54" spans="2:14" x14ac:dyDescent="0.25">
      <c r="B54" s="34">
        <f t="shared" si="13"/>
        <v>30</v>
      </c>
      <c r="C54" s="186"/>
      <c r="D54" s="185"/>
      <c r="E54" s="331"/>
      <c r="F54" s="331"/>
      <c r="G54" s="188">
        <f>'CED - PAY'!I50/31</f>
        <v>0</v>
      </c>
      <c r="H54" s="314"/>
      <c r="I54" s="189">
        <f t="shared" si="14"/>
        <v>0</v>
      </c>
      <c r="J54" s="314"/>
      <c r="K54" s="189">
        <f t="shared" si="15"/>
        <v>0</v>
      </c>
      <c r="L54" s="314"/>
      <c r="M54" s="189">
        <f t="shared" si="16"/>
        <v>0</v>
      </c>
      <c r="N54" s="189">
        <f t="shared" si="17"/>
        <v>0</v>
      </c>
    </row>
    <row r="55" spans="2:14" x14ac:dyDescent="0.25">
      <c r="B55" s="34">
        <f t="shared" si="13"/>
        <v>31</v>
      </c>
      <c r="C55" s="186"/>
      <c r="D55" s="185"/>
      <c r="E55" s="331"/>
      <c r="F55" s="331"/>
      <c r="G55" s="188">
        <f>'CED - PAY'!I51/31</f>
        <v>0</v>
      </c>
      <c r="H55" s="314"/>
      <c r="I55" s="189">
        <f t="shared" si="14"/>
        <v>0</v>
      </c>
      <c r="J55" s="314"/>
      <c r="K55" s="189">
        <f t="shared" si="15"/>
        <v>0</v>
      </c>
      <c r="L55" s="314"/>
      <c r="M55" s="189">
        <f t="shared" si="16"/>
        <v>0</v>
      </c>
      <c r="N55" s="189">
        <f t="shared" si="17"/>
        <v>0</v>
      </c>
    </row>
    <row r="56" spans="2:14" x14ac:dyDescent="0.25">
      <c r="B56" s="34">
        <f t="shared" si="13"/>
        <v>32</v>
      </c>
      <c r="C56" s="186"/>
      <c r="D56" s="185"/>
      <c r="E56" s="331"/>
      <c r="F56" s="331"/>
      <c r="G56" s="188">
        <f>'CED - PAY'!I52/31</f>
        <v>0</v>
      </c>
      <c r="H56" s="314"/>
      <c r="I56" s="189">
        <f t="shared" si="14"/>
        <v>0</v>
      </c>
      <c r="J56" s="314"/>
      <c r="K56" s="189">
        <f t="shared" si="15"/>
        <v>0</v>
      </c>
      <c r="L56" s="314"/>
      <c r="M56" s="189">
        <f t="shared" si="16"/>
        <v>0</v>
      </c>
      <c r="N56" s="189">
        <f t="shared" si="17"/>
        <v>0</v>
      </c>
    </row>
    <row r="57" spans="2:14" x14ac:dyDescent="0.25">
      <c r="B57" s="34">
        <f>+B39+1</f>
        <v>33</v>
      </c>
      <c r="C57" s="186"/>
      <c r="D57" s="185"/>
      <c r="E57" s="331"/>
      <c r="F57" s="331"/>
      <c r="G57" s="188">
        <f>'CED - PAY'!I70/31</f>
        <v>0</v>
      </c>
      <c r="H57" s="314"/>
      <c r="I57" s="189">
        <f t="shared" si="9"/>
        <v>0</v>
      </c>
      <c r="J57" s="314"/>
      <c r="K57" s="189">
        <f t="shared" si="10"/>
        <v>0</v>
      </c>
      <c r="L57" s="314"/>
      <c r="M57" s="189">
        <f t="shared" si="11"/>
        <v>0</v>
      </c>
      <c r="N57" s="189">
        <f t="shared" si="12"/>
        <v>0</v>
      </c>
    </row>
    <row r="58" spans="2:14" ht="16.5" thickBot="1" x14ac:dyDescent="0.3">
      <c r="B58" s="180"/>
      <c r="C58" s="181"/>
      <c r="D58" s="29"/>
      <c r="E58" s="329"/>
      <c r="F58" s="327">
        <f>SUM(F8:F57)</f>
        <v>0</v>
      </c>
      <c r="G58" s="327"/>
      <c r="H58" s="327"/>
      <c r="I58" s="327">
        <f>SUM(I8:I57)</f>
        <v>0</v>
      </c>
      <c r="J58" s="327"/>
      <c r="K58" s="327">
        <f>SUM(K8:K57)</f>
        <v>0</v>
      </c>
      <c r="L58" s="327"/>
      <c r="M58" s="327">
        <f>SUM(M8:M57)</f>
        <v>0</v>
      </c>
      <c r="N58" s="327">
        <f>SUM(N8:N57)</f>
        <v>0</v>
      </c>
    </row>
    <row r="59" spans="2:14" x14ac:dyDescent="0.25">
      <c r="E59" s="205"/>
      <c r="F59" s="205">
        <f>F58-'CED - PAY'!L72</f>
        <v>0</v>
      </c>
      <c r="G59" s="205"/>
      <c r="H59" s="205"/>
      <c r="I59" s="205"/>
      <c r="J59" s="205"/>
      <c r="K59" s="205"/>
      <c r="L59" s="205"/>
      <c r="M59" s="205"/>
      <c r="N59" s="205">
        <f>N58-'CED - PAY'!J72</f>
        <v>0</v>
      </c>
    </row>
  </sheetData>
  <mergeCells count="9">
    <mergeCell ref="B2:N2"/>
    <mergeCell ref="B3:N3"/>
    <mergeCell ref="H4:N5"/>
    <mergeCell ref="G4:G6"/>
    <mergeCell ref="B4:B6"/>
    <mergeCell ref="C4:C6"/>
    <mergeCell ref="D4:D6"/>
    <mergeCell ref="F4:F6"/>
    <mergeCell ref="E4:E6"/>
  </mergeCells>
  <pageMargins left="0.7" right="0.7" top="0.75" bottom="0.75" header="0.3" footer="0.3"/>
  <pageSetup paperSize="9" orientation="portrait" horizontalDpi="0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>
    <tabColor theme="9" tint="-0.249977111117893"/>
    <pageSetUpPr fitToPage="1"/>
  </sheetPr>
  <dimension ref="A1:Z91"/>
  <sheetViews>
    <sheetView showWhiteSpace="0" topLeftCell="B16" zoomScaleNormal="100" zoomScaleSheetLayoutView="100" workbookViewId="0">
      <pane xSplit="10" ySplit="4" topLeftCell="T35" activePane="bottomRight" state="frozen"/>
      <selection activeCell="W34" sqref="W34:Y37"/>
      <selection pane="topRight" activeCell="W34" sqref="W34:Y37"/>
      <selection pane="bottomLeft" activeCell="W34" sqref="W34:Y37"/>
      <selection pane="bottomRight" activeCell="B51" sqref="A51:XFD51"/>
    </sheetView>
  </sheetViews>
  <sheetFormatPr defaultRowHeight="30.75" x14ac:dyDescent="0.25"/>
  <cols>
    <col min="1" max="1" width="9.375" style="31" customWidth="1"/>
    <col min="2" max="2" width="6.75" style="4" customWidth="1"/>
    <col min="3" max="3" width="24.625" style="4" customWidth="1"/>
    <col min="4" max="4" width="12.875" style="4" customWidth="1"/>
    <col min="5" max="5" width="9.625" style="57" customWidth="1"/>
    <col min="6" max="6" width="13.375" style="4" customWidth="1"/>
    <col min="7" max="7" width="8.5" style="4" customWidth="1"/>
    <col min="8" max="8" width="9.75" style="4" customWidth="1"/>
    <col min="9" max="9" width="13.125" style="4" customWidth="1"/>
    <col min="10" max="10" width="11.125" style="4" customWidth="1"/>
    <col min="11" max="11" width="14" style="4" customWidth="1"/>
    <col min="12" max="13" width="11.5" style="4" customWidth="1"/>
    <col min="14" max="14" width="10.375" style="4" customWidth="1"/>
    <col min="15" max="15" width="11" style="4" bestFit="1" customWidth="1"/>
    <col min="16" max="16" width="11.875" style="4" customWidth="1"/>
    <col min="17" max="17" width="15.125" style="4" bestFit="1" customWidth="1"/>
    <col min="18" max="18" width="13.125" style="4" customWidth="1"/>
    <col min="19" max="19" width="12.75" style="4" customWidth="1"/>
    <col min="20" max="20" width="12.125" style="4" bestFit="1" customWidth="1"/>
    <col min="21" max="21" width="3.75" style="57" customWidth="1"/>
    <col min="22" max="22" width="14.25" style="4" customWidth="1"/>
    <col min="23" max="23" width="10.625" style="4" customWidth="1"/>
    <col min="24" max="24" width="11.625" style="4" bestFit="1" customWidth="1"/>
    <col min="25" max="25" width="11" style="4" bestFit="1" customWidth="1"/>
    <col min="26" max="26" width="5.625" style="4" customWidth="1"/>
    <col min="27" max="16384" width="9" style="4"/>
  </cols>
  <sheetData>
    <row r="1" spans="1:25" ht="23.25" customHeight="1" x14ac:dyDescent="0.25">
      <c r="A1" s="98">
        <v>94</v>
      </c>
      <c r="Q1" s="5"/>
      <c r="R1" s="5"/>
      <c r="S1" s="5"/>
      <c r="T1" s="5"/>
      <c r="U1" s="52"/>
      <c r="V1" s="3"/>
      <c r="W1" s="3"/>
    </row>
    <row r="2" spans="1:25" ht="23.25" x14ac:dyDescent="0.25">
      <c r="A2" s="98"/>
      <c r="Q2" s="5"/>
      <c r="R2" s="5"/>
      <c r="S2" s="5"/>
      <c r="T2" s="5"/>
      <c r="U2" s="53"/>
      <c r="V2" s="2"/>
      <c r="W2" s="2"/>
      <c r="X2" s="864" t="s">
        <v>40</v>
      </c>
      <c r="Y2" s="864"/>
    </row>
    <row r="3" spans="1:25" ht="15.75" customHeight="1" x14ac:dyDescent="0.25">
      <c r="A3" s="98"/>
      <c r="B3" s="877" t="s">
        <v>42</v>
      </c>
      <c r="C3" s="877"/>
      <c r="D3" s="877"/>
      <c r="E3" s="877"/>
      <c r="F3" s="877"/>
      <c r="G3" s="877"/>
      <c r="H3" s="877"/>
      <c r="I3" s="877"/>
      <c r="J3" s="877"/>
      <c r="K3" s="877"/>
      <c r="L3" s="877"/>
      <c r="M3" s="877"/>
      <c r="N3" s="877"/>
      <c r="O3" s="877"/>
      <c r="P3" s="877"/>
      <c r="Q3" s="877"/>
      <c r="R3" s="877"/>
      <c r="S3" s="877"/>
      <c r="T3" s="877"/>
      <c r="U3" s="877"/>
      <c r="V3" s="877"/>
      <c r="W3" s="877"/>
      <c r="X3" s="877"/>
      <c r="Y3" s="877"/>
    </row>
    <row r="4" spans="1:25" ht="15.75" customHeight="1" x14ac:dyDescent="0.25">
      <c r="A4" s="98"/>
      <c r="B4" s="878" t="s">
        <v>43</v>
      </c>
      <c r="C4" s="878"/>
      <c r="D4" s="878"/>
      <c r="E4" s="878"/>
      <c r="F4" s="878"/>
      <c r="G4" s="878"/>
      <c r="H4" s="878"/>
      <c r="I4" s="878"/>
      <c r="J4" s="878"/>
      <c r="K4" s="878"/>
      <c r="L4" s="878"/>
      <c r="M4" s="878"/>
      <c r="N4" s="878"/>
      <c r="O4" s="878"/>
      <c r="P4" s="878"/>
      <c r="Q4" s="878"/>
      <c r="R4" s="878"/>
      <c r="S4" s="878"/>
      <c r="T4" s="878"/>
      <c r="U4" s="878"/>
      <c r="V4" s="878"/>
      <c r="W4" s="878"/>
      <c r="X4" s="878"/>
      <c r="Y4" s="878"/>
    </row>
    <row r="5" spans="1:25" ht="15.75" customHeight="1" x14ac:dyDescent="0.25">
      <c r="A5" s="98"/>
      <c r="B5" s="878" t="s">
        <v>44</v>
      </c>
      <c r="C5" s="878"/>
      <c r="D5" s="878"/>
      <c r="E5" s="878"/>
      <c r="F5" s="878"/>
      <c r="G5" s="878"/>
      <c r="H5" s="878"/>
      <c r="I5" s="878"/>
      <c r="J5" s="878"/>
      <c r="K5" s="878"/>
      <c r="L5" s="878"/>
      <c r="M5" s="878"/>
      <c r="N5" s="878"/>
      <c r="O5" s="878"/>
      <c r="P5" s="878"/>
      <c r="Q5" s="878"/>
      <c r="R5" s="878"/>
      <c r="S5" s="878"/>
      <c r="T5" s="878"/>
      <c r="U5" s="878"/>
      <c r="V5" s="878"/>
      <c r="W5" s="878"/>
      <c r="X5" s="878"/>
      <c r="Y5" s="878"/>
    </row>
    <row r="6" spans="1:25" ht="15.75" customHeight="1" x14ac:dyDescent="0.25">
      <c r="A6" s="98"/>
      <c r="B6" s="877" t="s">
        <v>45</v>
      </c>
      <c r="C6" s="877"/>
      <c r="D6" s="877"/>
      <c r="E6" s="877"/>
      <c r="F6" s="877"/>
      <c r="G6" s="877"/>
      <c r="H6" s="877"/>
      <c r="I6" s="877"/>
      <c r="J6" s="877"/>
      <c r="K6" s="877"/>
      <c r="L6" s="877"/>
      <c r="M6" s="877"/>
      <c r="N6" s="877"/>
      <c r="O6" s="877"/>
      <c r="P6" s="877"/>
      <c r="Q6" s="877"/>
      <c r="R6" s="877"/>
      <c r="S6" s="877"/>
      <c r="T6" s="877"/>
      <c r="U6" s="877"/>
      <c r="V6" s="877"/>
      <c r="W6" s="877"/>
      <c r="X6" s="877"/>
      <c r="Y6" s="877"/>
    </row>
    <row r="7" spans="1:25" ht="15.75" customHeight="1" x14ac:dyDescent="0.25">
      <c r="A7" s="98"/>
      <c r="Q7" s="2"/>
      <c r="R7" s="2"/>
      <c r="S7" s="2"/>
      <c r="T7" s="2"/>
      <c r="U7" s="53"/>
      <c r="V7" s="2"/>
      <c r="W7" s="2"/>
      <c r="X7" s="2"/>
      <c r="Y7" s="2"/>
    </row>
    <row r="8" spans="1:25" ht="22.5" x14ac:dyDescent="0.25">
      <c r="A8" s="98"/>
      <c r="B8" s="882" t="s">
        <v>13</v>
      </c>
      <c r="C8" s="882"/>
      <c r="D8" s="882"/>
      <c r="E8" s="882"/>
      <c r="F8" s="882"/>
      <c r="G8" s="882"/>
      <c r="H8" s="882"/>
      <c r="I8" s="882"/>
      <c r="J8" s="882"/>
      <c r="K8" s="882"/>
      <c r="L8" s="882"/>
      <c r="M8" s="882"/>
      <c r="N8" s="882"/>
      <c r="O8" s="882"/>
      <c r="P8" s="882"/>
      <c r="Q8" s="882"/>
      <c r="R8" s="882"/>
      <c r="S8" s="882"/>
      <c r="T8" s="882"/>
      <c r="U8" s="882"/>
      <c r="V8" s="882"/>
      <c r="W8" s="882"/>
      <c r="X8" s="882"/>
      <c r="Y8" s="882"/>
    </row>
    <row r="9" spans="1:25" ht="20.25" x14ac:dyDescent="0.25">
      <c r="A9" s="98"/>
      <c r="B9" s="867" t="s">
        <v>144</v>
      </c>
      <c r="C9" s="867"/>
      <c r="D9" s="867"/>
      <c r="E9" s="867"/>
      <c r="F9" s="867"/>
      <c r="G9" s="867"/>
      <c r="H9" s="867"/>
      <c r="I9" s="867"/>
      <c r="J9" s="867"/>
      <c r="K9" s="867"/>
      <c r="L9" s="867"/>
      <c r="M9" s="867"/>
      <c r="N9" s="867"/>
      <c r="O9" s="867"/>
      <c r="P9" s="867"/>
      <c r="Q9" s="867"/>
      <c r="R9" s="867"/>
      <c r="S9" s="867"/>
      <c r="T9" s="867"/>
      <c r="U9" s="867"/>
      <c r="V9" s="867"/>
      <c r="W9" s="867"/>
      <c r="X9" s="867"/>
      <c r="Y9" s="867"/>
    </row>
    <row r="10" spans="1:25" ht="20.25" x14ac:dyDescent="0.25">
      <c r="A10" s="98"/>
      <c r="B10" s="879" t="s">
        <v>41</v>
      </c>
      <c r="C10" s="879"/>
      <c r="D10" s="879"/>
      <c r="E10" s="879"/>
      <c r="F10" s="879"/>
      <c r="G10" s="879"/>
      <c r="H10" s="879"/>
      <c r="I10" s="879"/>
      <c r="J10" s="879"/>
      <c r="K10" s="879"/>
      <c r="L10" s="879"/>
      <c r="M10" s="879"/>
      <c r="N10" s="879"/>
      <c r="O10" s="879"/>
      <c r="P10" s="879"/>
      <c r="Q10" s="879"/>
      <c r="R10" s="879"/>
      <c r="S10" s="879"/>
      <c r="T10" s="879"/>
      <c r="U10" s="879"/>
      <c r="V10" s="879"/>
      <c r="W10" s="879"/>
      <c r="X10" s="879"/>
      <c r="Y10" s="879"/>
    </row>
    <row r="11" spans="1:25" ht="20.25" x14ac:dyDescent="0.25">
      <c r="A11" s="98"/>
      <c r="B11" s="879" t="s">
        <v>138</v>
      </c>
      <c r="C11" s="879"/>
      <c r="D11" s="879"/>
      <c r="E11" s="879"/>
      <c r="F11" s="879"/>
      <c r="G11" s="879"/>
      <c r="H11" s="879"/>
      <c r="I11" s="879"/>
      <c r="J11" s="879"/>
      <c r="K11" s="879"/>
      <c r="L11" s="879"/>
      <c r="M11" s="879"/>
      <c r="N11" s="879"/>
      <c r="O11" s="879"/>
      <c r="P11" s="879"/>
      <c r="Q11" s="879"/>
      <c r="R11" s="879"/>
      <c r="S11" s="879"/>
      <c r="T11" s="879"/>
      <c r="U11" s="879"/>
      <c r="V11" s="879"/>
      <c r="W11" s="879"/>
      <c r="X11" s="879"/>
      <c r="Y11" s="879"/>
    </row>
    <row r="12" spans="1:25" ht="15.75" x14ac:dyDescent="0.25">
      <c r="A12" s="98"/>
      <c r="B12" s="9"/>
      <c r="C12" s="6"/>
      <c r="D12" s="866" t="s">
        <v>106</v>
      </c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</row>
    <row r="13" spans="1:25" s="8" customFormat="1" ht="24.95" customHeight="1" x14ac:dyDescent="0.25">
      <c r="A13" s="98"/>
      <c r="B13" s="865" t="s">
        <v>88</v>
      </c>
      <c r="C13" s="865"/>
      <c r="D13" s="867"/>
      <c r="E13" s="178"/>
      <c r="F13" s="169"/>
      <c r="G13" s="169"/>
      <c r="H13" s="169"/>
      <c r="I13" s="169"/>
      <c r="J13" s="169"/>
      <c r="K13" s="169"/>
      <c r="L13" s="169"/>
      <c r="M13" s="169"/>
      <c r="N13" s="169"/>
      <c r="O13" s="169"/>
      <c r="P13" s="169"/>
      <c r="Q13" s="9"/>
      <c r="R13" s="9"/>
      <c r="S13" s="9"/>
      <c r="T13" s="9"/>
      <c r="U13" s="169" t="s">
        <v>103</v>
      </c>
      <c r="V13" s="169"/>
      <c r="W13" s="832" t="str">
        <f>SUMMARY!B15</f>
        <v>2026-01-021</v>
      </c>
      <c r="X13" s="832"/>
      <c r="Y13" s="832"/>
    </row>
    <row r="14" spans="1:25" s="8" customFormat="1" ht="24.95" customHeight="1" x14ac:dyDescent="0.25">
      <c r="A14" s="98"/>
      <c r="B14" s="9"/>
      <c r="C14" s="9"/>
      <c r="D14" s="867"/>
      <c r="E14" s="6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169"/>
      <c r="V14" s="169"/>
      <c r="W14" s="9"/>
      <c r="X14" s="9"/>
      <c r="Y14" s="9"/>
    </row>
    <row r="15" spans="1:25" s="8" customFormat="1" ht="15.75" customHeight="1" x14ac:dyDescent="0.25">
      <c r="A15" s="98"/>
      <c r="B15" s="872" t="s">
        <v>0</v>
      </c>
      <c r="C15" s="872"/>
      <c r="D15" s="872"/>
      <c r="E15" s="872"/>
      <c r="F15" s="872"/>
      <c r="G15" s="872"/>
      <c r="H15" s="872"/>
      <c r="I15" s="872"/>
      <c r="J15" s="872"/>
      <c r="K15" s="872"/>
      <c r="L15" s="872"/>
      <c r="M15" s="872"/>
      <c r="N15" s="872"/>
      <c r="O15" s="872"/>
      <c r="P15" s="872"/>
      <c r="Q15" s="872"/>
      <c r="R15" s="872"/>
      <c r="S15" s="872"/>
      <c r="T15" s="872"/>
      <c r="U15" s="872"/>
      <c r="V15" s="872"/>
      <c r="W15" s="872"/>
      <c r="X15" s="872"/>
      <c r="Y15" s="872"/>
    </row>
    <row r="16" spans="1:25" ht="9" customHeight="1" thickBot="1" x14ac:dyDescent="0.3">
      <c r="A16" s="98"/>
      <c r="B16" s="9"/>
      <c r="C16" s="10"/>
      <c r="D16" s="10"/>
      <c r="E16" s="54"/>
      <c r="F16" s="10"/>
      <c r="G16" s="10"/>
      <c r="H16" s="10"/>
      <c r="I16" s="10"/>
      <c r="J16" s="9"/>
      <c r="K16" s="9"/>
      <c r="L16" s="9"/>
      <c r="M16" s="9"/>
      <c r="N16" s="9"/>
      <c r="O16" s="9"/>
      <c r="P16" s="9"/>
      <c r="Q16" s="10"/>
      <c r="R16" s="10"/>
      <c r="S16" s="10"/>
      <c r="T16" s="10"/>
      <c r="U16" s="54"/>
      <c r="V16" s="10"/>
      <c r="W16" s="10"/>
      <c r="X16" s="10"/>
      <c r="Y16" s="10"/>
    </row>
    <row r="17" spans="1:26" ht="16.5" customHeight="1" thickBot="1" x14ac:dyDescent="0.3">
      <c r="A17" s="98"/>
      <c r="B17" s="802" t="s">
        <v>6</v>
      </c>
      <c r="C17" s="777" t="s">
        <v>1</v>
      </c>
      <c r="D17" s="777" t="s">
        <v>2</v>
      </c>
      <c r="E17" s="802" t="s">
        <v>14</v>
      </c>
      <c r="F17" s="841" t="s">
        <v>4</v>
      </c>
      <c r="G17" s="833"/>
      <c r="H17" s="833"/>
      <c r="I17" s="833"/>
      <c r="J17" s="833"/>
      <c r="K17" s="834"/>
      <c r="L17" s="833" t="s">
        <v>3</v>
      </c>
      <c r="M17" s="833"/>
      <c r="N17" s="833"/>
      <c r="O17" s="833"/>
      <c r="P17" s="833"/>
      <c r="Q17" s="834"/>
      <c r="R17" s="802" t="s">
        <v>16</v>
      </c>
      <c r="S17" s="856" t="s">
        <v>51</v>
      </c>
      <c r="T17" s="861" t="s">
        <v>52</v>
      </c>
      <c r="U17" s="777" t="s">
        <v>59</v>
      </c>
      <c r="V17" s="841" t="s">
        <v>60</v>
      </c>
      <c r="W17" s="833"/>
      <c r="X17" s="833"/>
      <c r="Y17" s="834"/>
      <c r="Z17" s="11"/>
    </row>
    <row r="18" spans="1:26" ht="19.5" customHeight="1" x14ac:dyDescent="0.25">
      <c r="A18" s="98"/>
      <c r="B18" s="803"/>
      <c r="C18" s="778"/>
      <c r="D18" s="778"/>
      <c r="E18" s="803"/>
      <c r="F18" s="844" t="s">
        <v>48</v>
      </c>
      <c r="G18" s="887" t="s">
        <v>50</v>
      </c>
      <c r="H18" s="892" t="s">
        <v>49</v>
      </c>
      <c r="I18" s="859" t="s">
        <v>5</v>
      </c>
      <c r="J18" s="859" t="s">
        <v>53</v>
      </c>
      <c r="K18" s="848" t="s">
        <v>137</v>
      </c>
      <c r="L18" s="873" t="s">
        <v>54</v>
      </c>
      <c r="M18" s="859" t="s">
        <v>55</v>
      </c>
      <c r="N18" s="859" t="s">
        <v>56</v>
      </c>
      <c r="O18" s="890" t="s">
        <v>57</v>
      </c>
      <c r="P18" s="859" t="s">
        <v>58</v>
      </c>
      <c r="Q18" s="846" t="s">
        <v>17</v>
      </c>
      <c r="R18" s="803"/>
      <c r="S18" s="857"/>
      <c r="T18" s="862"/>
      <c r="U18" s="778"/>
      <c r="V18" s="850" t="s">
        <v>61</v>
      </c>
      <c r="W18" s="852" t="s">
        <v>62</v>
      </c>
      <c r="X18" s="883" t="s">
        <v>57</v>
      </c>
      <c r="Y18" s="885" t="s">
        <v>63</v>
      </c>
      <c r="Z18" s="11"/>
    </row>
    <row r="19" spans="1:26" ht="26.25" customHeight="1" thickBot="1" x14ac:dyDescent="0.3">
      <c r="A19" s="98"/>
      <c r="B19" s="803"/>
      <c r="C19" s="778"/>
      <c r="D19" s="778"/>
      <c r="E19" s="803"/>
      <c r="F19" s="845"/>
      <c r="G19" s="888"/>
      <c r="H19" s="893"/>
      <c r="I19" s="860"/>
      <c r="J19" s="860"/>
      <c r="K19" s="849"/>
      <c r="L19" s="874"/>
      <c r="M19" s="860"/>
      <c r="N19" s="860"/>
      <c r="O19" s="891"/>
      <c r="P19" s="860"/>
      <c r="Q19" s="847"/>
      <c r="R19" s="804"/>
      <c r="S19" s="858"/>
      <c r="T19" s="863"/>
      <c r="U19" s="778"/>
      <c r="V19" s="851"/>
      <c r="W19" s="853"/>
      <c r="X19" s="884"/>
      <c r="Y19" s="886"/>
      <c r="Z19" s="11"/>
    </row>
    <row r="20" spans="1:26" ht="18.75" customHeight="1" x14ac:dyDescent="0.25">
      <c r="A20" s="98"/>
      <c r="B20" s="12"/>
      <c r="C20" s="12"/>
      <c r="D20" s="12"/>
      <c r="E20" s="55"/>
      <c r="F20" s="84"/>
      <c r="G20" s="85"/>
      <c r="H20" s="85"/>
      <c r="I20" s="13"/>
      <c r="J20" s="13"/>
      <c r="K20" s="210"/>
      <c r="L20" s="39"/>
      <c r="M20" s="13"/>
      <c r="N20" s="13"/>
      <c r="O20" s="13"/>
      <c r="P20" s="13"/>
      <c r="Q20" s="14"/>
      <c r="R20" s="12"/>
      <c r="S20" s="48"/>
      <c r="T20" s="43"/>
      <c r="U20" s="55"/>
      <c r="V20" s="46"/>
      <c r="W20" s="47"/>
      <c r="X20" s="47"/>
      <c r="Y20" s="43"/>
    </row>
    <row r="21" spans="1:26" ht="18.75" customHeight="1" x14ac:dyDescent="0.25">
      <c r="A21" s="98"/>
      <c r="B21" s="33">
        <v>1</v>
      </c>
      <c r="C21" s="72">
        <f>VLOOKUP(B21,'WTAX-CED'!B:N,2,0)</f>
        <v>0</v>
      </c>
      <c r="D21" s="72" t="e">
        <f>VLOOKUP(C21,'WTAX-CED'!C:O,2,0)</f>
        <v>#N/A</v>
      </c>
      <c r="E21" s="306">
        <f>VLOOKUP(B21,'WTAX-CED'!B:N,4,0)</f>
        <v>0</v>
      </c>
      <c r="F21" s="86"/>
      <c r="G21" s="88"/>
      <c r="H21" s="88"/>
      <c r="I21" s="37">
        <f>SUM(F21:H21)</f>
        <v>0</v>
      </c>
      <c r="J21" s="332">
        <f>'WTAX-CED'!N8</f>
        <v>0</v>
      </c>
      <c r="K21" s="211">
        <f>ROUND(I21-J21,2)</f>
        <v>0</v>
      </c>
      <c r="L21" s="40">
        <f>'WTAX-CED'!F8</f>
        <v>0</v>
      </c>
      <c r="M21" s="37">
        <f>'CED - DEDS'!R20</f>
        <v>0</v>
      </c>
      <c r="N21" s="37">
        <f>'CED - DEDS'!X20</f>
        <v>0</v>
      </c>
      <c r="O21" s="37">
        <f>'CED - DEDS'!Y20</f>
        <v>0</v>
      </c>
      <c r="P21" s="37">
        <f>'CED - DEDS'!AE20</f>
        <v>0</v>
      </c>
      <c r="Q21" s="38">
        <f>ROUND(SUM(L21:P21),2)</f>
        <v>0</v>
      </c>
      <c r="R21" s="49">
        <f>K21-Q21</f>
        <v>0</v>
      </c>
      <c r="S21" s="76">
        <f>ROUND(R21/2,0)</f>
        <v>0</v>
      </c>
      <c r="T21" s="77">
        <f>R21-S21</f>
        <v>0</v>
      </c>
      <c r="U21" s="33">
        <f t="shared" ref="U21:U30" si="0">B21</f>
        <v>1</v>
      </c>
      <c r="V21" s="36">
        <f>ROUND('CED - PAY'!I21*0.12,2)</f>
        <v>0</v>
      </c>
      <c r="W21" s="37">
        <v>100</v>
      </c>
      <c r="X21" s="37">
        <f>MIN((I21*0.05)-'CED - DEDS'!Y20,2500)</f>
        <v>0</v>
      </c>
      <c r="Y21" s="41">
        <v>200</v>
      </c>
    </row>
    <row r="22" spans="1:26" ht="18.75" customHeight="1" x14ac:dyDescent="0.25">
      <c r="A22" s="98"/>
      <c r="B22" s="33">
        <f>+B21+1</f>
        <v>2</v>
      </c>
      <c r="C22" s="72">
        <f>VLOOKUP(B22,'WTAX-CED'!B:N,2,0)</f>
        <v>0</v>
      </c>
      <c r="D22" s="72" t="e">
        <f>VLOOKUP(C22,'WTAX-CED'!C:O,2,0)</f>
        <v>#N/A</v>
      </c>
      <c r="E22" s="306">
        <f>VLOOKUP(B22,'WTAX-CED'!B:N,4,0)</f>
        <v>0</v>
      </c>
      <c r="F22" s="86"/>
      <c r="G22" s="88"/>
      <c r="H22" s="88"/>
      <c r="I22" s="37">
        <f t="shared" ref="I22:I30" si="1">SUM(F22:H22)</f>
        <v>0</v>
      </c>
      <c r="J22" s="332">
        <f>'WTAX-CED'!N9</f>
        <v>0</v>
      </c>
      <c r="K22" s="211">
        <f t="shared" ref="K22:K30" si="2">ROUND(I22-J22,2)</f>
        <v>0</v>
      </c>
      <c r="L22" s="40">
        <f>'WTAX-CED'!F9</f>
        <v>0</v>
      </c>
      <c r="M22" s="37">
        <f>'CED - DEDS'!R21</f>
        <v>0</v>
      </c>
      <c r="N22" s="37">
        <f>'CED - DEDS'!X21</f>
        <v>0</v>
      </c>
      <c r="O22" s="37">
        <f>'CED - DEDS'!Y21</f>
        <v>0</v>
      </c>
      <c r="P22" s="37">
        <f>'CED - DEDS'!AE21</f>
        <v>0</v>
      </c>
      <c r="Q22" s="38">
        <f t="shared" ref="Q22:Q30" si="3">ROUND(SUM(L22:P22),2)</f>
        <v>0</v>
      </c>
      <c r="R22" s="49">
        <f t="shared" ref="R22:R30" si="4">K22-Q22</f>
        <v>0</v>
      </c>
      <c r="S22" s="76">
        <f t="shared" ref="S22:S30" si="5">ROUND(R22/2,0)</f>
        <v>0</v>
      </c>
      <c r="T22" s="77">
        <f>R22-S22</f>
        <v>0</v>
      </c>
      <c r="U22" s="33">
        <f t="shared" si="0"/>
        <v>2</v>
      </c>
      <c r="V22" s="36">
        <f>ROUND('CED - PAY'!I22*0.12,2)</f>
        <v>0</v>
      </c>
      <c r="W22" s="37">
        <f>W21</f>
        <v>100</v>
      </c>
      <c r="X22" s="37">
        <f>MIN((I22*0.05)-'CED - DEDS'!Y21,2500)</f>
        <v>0</v>
      </c>
      <c r="Y22" s="41">
        <f>Y21</f>
        <v>200</v>
      </c>
    </row>
    <row r="23" spans="1:26" ht="18.75" customHeight="1" x14ac:dyDescent="0.25">
      <c r="A23" s="98"/>
      <c r="B23" s="33">
        <f t="shared" ref="B23:B52" si="6">+B22+1</f>
        <v>3</v>
      </c>
      <c r="C23" s="72">
        <f>VLOOKUP(B23,'WTAX-CED'!B:N,2,0)</f>
        <v>0</v>
      </c>
      <c r="D23" s="72" t="e">
        <f>VLOOKUP(C23,'WTAX-CED'!C:O,2,0)</f>
        <v>#N/A</v>
      </c>
      <c r="E23" s="306">
        <f>VLOOKUP(B23,'WTAX-CED'!B:N,4,0)</f>
        <v>0</v>
      </c>
      <c r="F23" s="86"/>
      <c r="G23" s="88"/>
      <c r="H23" s="88"/>
      <c r="I23" s="37">
        <f t="shared" si="1"/>
        <v>0</v>
      </c>
      <c r="J23" s="332">
        <f>'WTAX-CED'!N10</f>
        <v>0</v>
      </c>
      <c r="K23" s="211">
        <f t="shared" si="2"/>
        <v>0</v>
      </c>
      <c r="L23" s="40">
        <f>'WTAX-CED'!F10</f>
        <v>0</v>
      </c>
      <c r="M23" s="37">
        <f>'CED - DEDS'!R22</f>
        <v>0</v>
      </c>
      <c r="N23" s="37">
        <f>'CED - DEDS'!X22</f>
        <v>0</v>
      </c>
      <c r="O23" s="37">
        <f>'CED - DEDS'!Y22</f>
        <v>0</v>
      </c>
      <c r="P23" s="37">
        <f>'CED - DEDS'!AE22</f>
        <v>0</v>
      </c>
      <c r="Q23" s="38">
        <f t="shared" si="3"/>
        <v>0</v>
      </c>
      <c r="R23" s="49">
        <f t="shared" si="4"/>
        <v>0</v>
      </c>
      <c r="S23" s="76">
        <f t="shared" si="5"/>
        <v>0</v>
      </c>
      <c r="T23" s="77">
        <f t="shared" ref="T23:T30" si="7">R23-S23</f>
        <v>0</v>
      </c>
      <c r="U23" s="33">
        <f t="shared" si="0"/>
        <v>3</v>
      </c>
      <c r="V23" s="36">
        <f>ROUND('CED - PAY'!I23*0.12,2)</f>
        <v>0</v>
      </c>
      <c r="W23" s="37">
        <f t="shared" ref="W23:W52" si="8">W22</f>
        <v>100</v>
      </c>
      <c r="X23" s="37">
        <f>MIN((I23*0.05)-'CED - DEDS'!Y22,2500)</f>
        <v>0</v>
      </c>
      <c r="Y23" s="41">
        <f t="shared" ref="Y23:Y52" si="9">Y22</f>
        <v>200</v>
      </c>
    </row>
    <row r="24" spans="1:26" ht="18.75" customHeight="1" x14ac:dyDescent="0.25">
      <c r="A24" s="98"/>
      <c r="B24" s="33">
        <f t="shared" si="6"/>
        <v>4</v>
      </c>
      <c r="C24" s="72">
        <f>VLOOKUP(B24,'WTAX-CED'!B:N,2,0)</f>
        <v>0</v>
      </c>
      <c r="D24" s="72" t="e">
        <f>VLOOKUP(C24,'WTAX-CED'!C:O,2,0)</f>
        <v>#N/A</v>
      </c>
      <c r="E24" s="306">
        <f>VLOOKUP(B24,'WTAX-CED'!B:N,4,0)</f>
        <v>0</v>
      </c>
      <c r="F24" s="86"/>
      <c r="G24" s="88"/>
      <c r="H24" s="88"/>
      <c r="I24" s="37">
        <f t="shared" si="1"/>
        <v>0</v>
      </c>
      <c r="J24" s="332">
        <f>'WTAX-CED'!N11</f>
        <v>0</v>
      </c>
      <c r="K24" s="211">
        <f t="shared" si="2"/>
        <v>0</v>
      </c>
      <c r="L24" s="40">
        <f>'WTAX-CED'!F11</f>
        <v>0</v>
      </c>
      <c r="M24" s="37">
        <f>'CED - DEDS'!R23</f>
        <v>0</v>
      </c>
      <c r="N24" s="37">
        <f>'CED - DEDS'!X23</f>
        <v>0</v>
      </c>
      <c r="O24" s="37">
        <f>'CED - DEDS'!Y23</f>
        <v>0</v>
      </c>
      <c r="P24" s="37">
        <f>'CED - DEDS'!AE23</f>
        <v>0</v>
      </c>
      <c r="Q24" s="38">
        <f t="shared" si="3"/>
        <v>0</v>
      </c>
      <c r="R24" s="49">
        <f t="shared" si="4"/>
        <v>0</v>
      </c>
      <c r="S24" s="76">
        <f t="shared" si="5"/>
        <v>0</v>
      </c>
      <c r="T24" s="77">
        <f t="shared" si="7"/>
        <v>0</v>
      </c>
      <c r="U24" s="33">
        <f t="shared" si="0"/>
        <v>4</v>
      </c>
      <c r="V24" s="36">
        <f>ROUND('CED - PAY'!I24*0.12,2)</f>
        <v>0</v>
      </c>
      <c r="W24" s="37">
        <f t="shared" si="8"/>
        <v>100</v>
      </c>
      <c r="X24" s="37">
        <f>MIN((I24*0.05)-'CED - DEDS'!Y23,2500)</f>
        <v>0</v>
      </c>
      <c r="Y24" s="41">
        <f t="shared" si="9"/>
        <v>200</v>
      </c>
    </row>
    <row r="25" spans="1:26" ht="18.75" customHeight="1" x14ac:dyDescent="0.25">
      <c r="A25" s="98"/>
      <c r="B25" s="33">
        <f t="shared" si="6"/>
        <v>5</v>
      </c>
      <c r="C25" s="72">
        <f>VLOOKUP(B25,'WTAX-CED'!B:N,2,0)</f>
        <v>0</v>
      </c>
      <c r="D25" s="72" t="e">
        <f>VLOOKUP(C25,'WTAX-CED'!C:O,2,0)</f>
        <v>#N/A</v>
      </c>
      <c r="E25" s="306">
        <f>VLOOKUP(B25,'WTAX-CED'!B:N,4,0)</f>
        <v>0</v>
      </c>
      <c r="F25" s="86"/>
      <c r="G25" s="88"/>
      <c r="H25" s="88"/>
      <c r="I25" s="37">
        <f t="shared" si="1"/>
        <v>0</v>
      </c>
      <c r="J25" s="332">
        <f>'WTAX-CED'!N12</f>
        <v>0</v>
      </c>
      <c r="K25" s="211">
        <f t="shared" si="2"/>
        <v>0</v>
      </c>
      <c r="L25" s="40">
        <f>'WTAX-CED'!F12</f>
        <v>0</v>
      </c>
      <c r="M25" s="37">
        <f>'CED - DEDS'!R24</f>
        <v>0</v>
      </c>
      <c r="N25" s="37">
        <f>'CED - DEDS'!X24</f>
        <v>0</v>
      </c>
      <c r="O25" s="37">
        <f>'CED - DEDS'!Y24</f>
        <v>0</v>
      </c>
      <c r="P25" s="37">
        <f>'CED - DEDS'!AE24</f>
        <v>0</v>
      </c>
      <c r="Q25" s="38">
        <f t="shared" si="3"/>
        <v>0</v>
      </c>
      <c r="R25" s="49">
        <f t="shared" si="4"/>
        <v>0</v>
      </c>
      <c r="S25" s="76">
        <f t="shared" si="5"/>
        <v>0</v>
      </c>
      <c r="T25" s="77">
        <f t="shared" si="7"/>
        <v>0</v>
      </c>
      <c r="U25" s="33">
        <f t="shared" si="0"/>
        <v>5</v>
      </c>
      <c r="V25" s="36">
        <f>ROUND('CED - PAY'!I25*0.12,2)</f>
        <v>0</v>
      </c>
      <c r="W25" s="37">
        <f t="shared" si="8"/>
        <v>100</v>
      </c>
      <c r="X25" s="37">
        <f>MIN((I25*0.05)-'CED - DEDS'!Y24,2500)</f>
        <v>0</v>
      </c>
      <c r="Y25" s="41">
        <f t="shared" si="9"/>
        <v>200</v>
      </c>
    </row>
    <row r="26" spans="1:26" ht="18.75" customHeight="1" x14ac:dyDescent="0.25">
      <c r="A26" s="98"/>
      <c r="B26" s="33">
        <f t="shared" si="6"/>
        <v>6</v>
      </c>
      <c r="C26" s="72">
        <f>VLOOKUP(B26,'WTAX-CED'!B:N,2,0)</f>
        <v>0</v>
      </c>
      <c r="D26" s="72" t="e">
        <f>VLOOKUP(C26,'WTAX-CED'!C:O,2,0)</f>
        <v>#N/A</v>
      </c>
      <c r="E26" s="306">
        <f>VLOOKUP(B26,'WTAX-CED'!B:N,4,0)</f>
        <v>0</v>
      </c>
      <c r="F26" s="86"/>
      <c r="G26" s="88"/>
      <c r="H26" s="88"/>
      <c r="I26" s="37">
        <f t="shared" si="1"/>
        <v>0</v>
      </c>
      <c r="J26" s="332">
        <f>'WTAX-CED'!N13</f>
        <v>0</v>
      </c>
      <c r="K26" s="211">
        <f t="shared" si="2"/>
        <v>0</v>
      </c>
      <c r="L26" s="40">
        <f>'WTAX-CED'!F13</f>
        <v>0</v>
      </c>
      <c r="M26" s="37">
        <f>'CED - DEDS'!R25</f>
        <v>0</v>
      </c>
      <c r="N26" s="37">
        <f>'CED - DEDS'!X25</f>
        <v>0</v>
      </c>
      <c r="O26" s="37">
        <f>'CED - DEDS'!Y25</f>
        <v>0</v>
      </c>
      <c r="P26" s="37">
        <f>'CED - DEDS'!AE25</f>
        <v>0</v>
      </c>
      <c r="Q26" s="38">
        <f t="shared" si="3"/>
        <v>0</v>
      </c>
      <c r="R26" s="49">
        <f t="shared" si="4"/>
        <v>0</v>
      </c>
      <c r="S26" s="76">
        <f t="shared" si="5"/>
        <v>0</v>
      </c>
      <c r="T26" s="77">
        <f t="shared" si="7"/>
        <v>0</v>
      </c>
      <c r="U26" s="33">
        <f t="shared" si="0"/>
        <v>6</v>
      </c>
      <c r="V26" s="36">
        <f>ROUND('CED - PAY'!I26*0.12,2)</f>
        <v>0</v>
      </c>
      <c r="W26" s="37">
        <f t="shared" si="8"/>
        <v>100</v>
      </c>
      <c r="X26" s="37">
        <f>MIN((I26*0.05)-'CED - DEDS'!Y25,2500)</f>
        <v>0</v>
      </c>
      <c r="Y26" s="41">
        <f t="shared" si="9"/>
        <v>200</v>
      </c>
    </row>
    <row r="27" spans="1:26" ht="18.75" customHeight="1" x14ac:dyDescent="0.25">
      <c r="A27" s="98"/>
      <c r="B27" s="33">
        <f t="shared" si="6"/>
        <v>7</v>
      </c>
      <c r="C27" s="72">
        <f>VLOOKUP(B27,'WTAX-CED'!B:N,2,0)</f>
        <v>0</v>
      </c>
      <c r="D27" s="72" t="e">
        <f>VLOOKUP(C27,'WTAX-CED'!C:O,2,0)</f>
        <v>#N/A</v>
      </c>
      <c r="E27" s="306">
        <f>VLOOKUP(B27,'WTAX-CED'!B:N,4,0)</f>
        <v>0</v>
      </c>
      <c r="F27" s="86"/>
      <c r="G27" s="88"/>
      <c r="H27" s="88"/>
      <c r="I27" s="37">
        <f t="shared" si="1"/>
        <v>0</v>
      </c>
      <c r="J27" s="332">
        <f>'WTAX-CED'!N14</f>
        <v>0</v>
      </c>
      <c r="K27" s="211">
        <f t="shared" si="2"/>
        <v>0</v>
      </c>
      <c r="L27" s="40">
        <f>'WTAX-CED'!F14</f>
        <v>0</v>
      </c>
      <c r="M27" s="37">
        <f>'CED - DEDS'!R26</f>
        <v>0</v>
      </c>
      <c r="N27" s="37">
        <f>'CED - DEDS'!X26</f>
        <v>0</v>
      </c>
      <c r="O27" s="37">
        <f>'CED - DEDS'!Y26</f>
        <v>0</v>
      </c>
      <c r="P27" s="37">
        <f>'CED - DEDS'!AE26</f>
        <v>0</v>
      </c>
      <c r="Q27" s="38">
        <f t="shared" si="3"/>
        <v>0</v>
      </c>
      <c r="R27" s="49">
        <f t="shared" si="4"/>
        <v>0</v>
      </c>
      <c r="S27" s="76">
        <f t="shared" si="5"/>
        <v>0</v>
      </c>
      <c r="T27" s="77">
        <f t="shared" si="7"/>
        <v>0</v>
      </c>
      <c r="U27" s="33">
        <f t="shared" si="0"/>
        <v>7</v>
      </c>
      <c r="V27" s="36">
        <f>ROUND('CED - PAY'!I27*0.12,2)</f>
        <v>0</v>
      </c>
      <c r="W27" s="37">
        <f t="shared" si="8"/>
        <v>100</v>
      </c>
      <c r="X27" s="37">
        <f>MIN((I27*0.05)-'CED - DEDS'!Y26,2500)</f>
        <v>0</v>
      </c>
      <c r="Y27" s="41">
        <f t="shared" si="9"/>
        <v>200</v>
      </c>
    </row>
    <row r="28" spans="1:26" ht="18.75" customHeight="1" x14ac:dyDescent="0.25">
      <c r="A28" s="98"/>
      <c r="B28" s="33">
        <f t="shared" si="6"/>
        <v>8</v>
      </c>
      <c r="C28" s="72">
        <f>VLOOKUP(B28,'WTAX-CED'!B:N,2,0)</f>
        <v>0</v>
      </c>
      <c r="D28" s="72" t="e">
        <f>VLOOKUP(C28,'WTAX-CED'!C:O,2,0)</f>
        <v>#N/A</v>
      </c>
      <c r="E28" s="306">
        <f>VLOOKUP(B28,'WTAX-CED'!B:N,4,0)</f>
        <v>0</v>
      </c>
      <c r="F28" s="86"/>
      <c r="G28" s="88"/>
      <c r="H28" s="88"/>
      <c r="I28" s="37">
        <f t="shared" si="1"/>
        <v>0</v>
      </c>
      <c r="J28" s="332">
        <f>'WTAX-CED'!N15</f>
        <v>0</v>
      </c>
      <c r="K28" s="211">
        <f t="shared" si="2"/>
        <v>0</v>
      </c>
      <c r="L28" s="40">
        <f>'WTAX-CED'!F15</f>
        <v>0</v>
      </c>
      <c r="M28" s="37">
        <f>'CED - DEDS'!R27</f>
        <v>0</v>
      </c>
      <c r="N28" s="37">
        <f>'CED - DEDS'!X27</f>
        <v>0</v>
      </c>
      <c r="O28" s="37">
        <f>'CED - DEDS'!Y27</f>
        <v>0</v>
      </c>
      <c r="P28" s="37">
        <f>'CED - DEDS'!AE27</f>
        <v>0</v>
      </c>
      <c r="Q28" s="38">
        <f t="shared" si="3"/>
        <v>0</v>
      </c>
      <c r="R28" s="49">
        <f t="shared" si="4"/>
        <v>0</v>
      </c>
      <c r="S28" s="76">
        <f t="shared" si="5"/>
        <v>0</v>
      </c>
      <c r="T28" s="77">
        <f t="shared" si="7"/>
        <v>0</v>
      </c>
      <c r="U28" s="33">
        <f t="shared" si="0"/>
        <v>8</v>
      </c>
      <c r="V28" s="36">
        <f>ROUND('CED - PAY'!I28*0.12,2)</f>
        <v>0</v>
      </c>
      <c r="W28" s="37">
        <f t="shared" si="8"/>
        <v>100</v>
      </c>
      <c r="X28" s="37">
        <f>MIN((I28*0.05)-'CED - DEDS'!Y27,2500)</f>
        <v>0</v>
      </c>
      <c r="Y28" s="41">
        <f t="shared" si="9"/>
        <v>200</v>
      </c>
    </row>
    <row r="29" spans="1:26" ht="18.75" customHeight="1" x14ac:dyDescent="0.25">
      <c r="A29" s="98"/>
      <c r="B29" s="33">
        <f t="shared" si="6"/>
        <v>9</v>
      </c>
      <c r="C29" s="72">
        <f>VLOOKUP(B29,'WTAX-CED'!B:N,2,0)</f>
        <v>0</v>
      </c>
      <c r="D29" s="72" t="e">
        <f>VLOOKUP(C29,'WTAX-CED'!C:O,2,0)</f>
        <v>#N/A</v>
      </c>
      <c r="E29" s="306">
        <f>VLOOKUP(B29,'WTAX-CED'!B:N,4,0)</f>
        <v>0</v>
      </c>
      <c r="F29" s="86"/>
      <c r="G29" s="88"/>
      <c r="H29" s="88"/>
      <c r="I29" s="37">
        <f t="shared" si="1"/>
        <v>0</v>
      </c>
      <c r="J29" s="332">
        <f>'WTAX-CED'!N16</f>
        <v>0</v>
      </c>
      <c r="K29" s="211">
        <f t="shared" si="2"/>
        <v>0</v>
      </c>
      <c r="L29" s="40">
        <f>'WTAX-CED'!F16</f>
        <v>0</v>
      </c>
      <c r="M29" s="37">
        <f>'CED - DEDS'!R28</f>
        <v>0</v>
      </c>
      <c r="N29" s="37">
        <f>'CED - DEDS'!X28</f>
        <v>0</v>
      </c>
      <c r="O29" s="37">
        <f>'CED - DEDS'!Y28</f>
        <v>0</v>
      </c>
      <c r="P29" s="37">
        <f>'CED - DEDS'!AE28</f>
        <v>0</v>
      </c>
      <c r="Q29" s="38">
        <f t="shared" si="3"/>
        <v>0</v>
      </c>
      <c r="R29" s="49">
        <f t="shared" si="4"/>
        <v>0</v>
      </c>
      <c r="S29" s="76">
        <f t="shared" si="5"/>
        <v>0</v>
      </c>
      <c r="T29" s="77">
        <f t="shared" si="7"/>
        <v>0</v>
      </c>
      <c r="U29" s="33">
        <f t="shared" si="0"/>
        <v>9</v>
      </c>
      <c r="V29" s="36">
        <f>ROUND('CED - PAY'!I29*0.12,2)</f>
        <v>0</v>
      </c>
      <c r="W29" s="37">
        <f t="shared" si="8"/>
        <v>100</v>
      </c>
      <c r="X29" s="37">
        <f>MIN((I29*0.05)-'CED - DEDS'!Y28,2500)</f>
        <v>0</v>
      </c>
      <c r="Y29" s="41">
        <f t="shared" si="9"/>
        <v>200</v>
      </c>
    </row>
    <row r="30" spans="1:26" ht="18.75" customHeight="1" x14ac:dyDescent="0.25">
      <c r="A30" s="98"/>
      <c r="B30" s="33">
        <f t="shared" si="6"/>
        <v>10</v>
      </c>
      <c r="C30" s="72">
        <f>VLOOKUP(B30,'WTAX-CED'!B:N,2,0)</f>
        <v>0</v>
      </c>
      <c r="D30" s="72" t="e">
        <f>VLOOKUP(C30,'WTAX-CED'!C:O,2,0)</f>
        <v>#N/A</v>
      </c>
      <c r="E30" s="306">
        <f>VLOOKUP(B30,'WTAX-CED'!B:N,4,0)</f>
        <v>0</v>
      </c>
      <c r="F30" s="89"/>
      <c r="G30" s="91"/>
      <c r="H30" s="91"/>
      <c r="I30" s="37">
        <f t="shared" si="1"/>
        <v>0</v>
      </c>
      <c r="J30" s="332">
        <f>'WTAX-CED'!N17</f>
        <v>0</v>
      </c>
      <c r="K30" s="211">
        <f t="shared" si="2"/>
        <v>0</v>
      </c>
      <c r="L30" s="40">
        <f>'WTAX-CED'!F17</f>
        <v>0</v>
      </c>
      <c r="M30" s="37">
        <f>'CED - DEDS'!R29</f>
        <v>0</v>
      </c>
      <c r="N30" s="37">
        <f>'CED - DEDS'!X29</f>
        <v>0</v>
      </c>
      <c r="O30" s="37">
        <f>'CED - DEDS'!Y29</f>
        <v>0</v>
      </c>
      <c r="P30" s="37">
        <f>'CED - DEDS'!AE29</f>
        <v>0</v>
      </c>
      <c r="Q30" s="38">
        <f t="shared" si="3"/>
        <v>0</v>
      </c>
      <c r="R30" s="49">
        <f t="shared" si="4"/>
        <v>0</v>
      </c>
      <c r="S30" s="76">
        <f t="shared" si="5"/>
        <v>0</v>
      </c>
      <c r="T30" s="77">
        <f t="shared" si="7"/>
        <v>0</v>
      </c>
      <c r="U30" s="33">
        <f t="shared" si="0"/>
        <v>10</v>
      </c>
      <c r="V30" s="36">
        <f>ROUND('CED - PAY'!I30*0.12,2)</f>
        <v>0</v>
      </c>
      <c r="W30" s="37">
        <f t="shared" si="8"/>
        <v>100</v>
      </c>
      <c r="X30" s="37">
        <f>MIN((I30*0.05)-'CED - DEDS'!Y29,2500)</f>
        <v>0</v>
      </c>
      <c r="Y30" s="41">
        <f t="shared" si="9"/>
        <v>200</v>
      </c>
    </row>
    <row r="31" spans="1:26" ht="18.75" customHeight="1" x14ac:dyDescent="0.25">
      <c r="A31" s="98"/>
      <c r="B31" s="33">
        <f t="shared" si="6"/>
        <v>11</v>
      </c>
      <c r="C31" s="72">
        <f>VLOOKUP(B31,'WTAX-CED'!B:N,2,0)</f>
        <v>0</v>
      </c>
      <c r="D31" s="72" t="e">
        <f>VLOOKUP(C31,'WTAX-CED'!C:O,2,0)</f>
        <v>#N/A</v>
      </c>
      <c r="E31" s="306">
        <f>VLOOKUP(B31,'WTAX-CED'!B:N,4,0)</f>
        <v>0</v>
      </c>
      <c r="F31" s="89"/>
      <c r="G31" s="91"/>
      <c r="H31" s="91"/>
      <c r="I31" s="37">
        <f t="shared" ref="I31:I41" si="10">SUM(F31:H31)</f>
        <v>0</v>
      </c>
      <c r="J31" s="332">
        <f>'WTAX-CED'!N18</f>
        <v>0</v>
      </c>
      <c r="K31" s="211">
        <f t="shared" ref="K31:K41" si="11">ROUND(I31-J31,2)</f>
        <v>0</v>
      </c>
      <c r="L31" s="40">
        <f>'WTAX-CED'!F18</f>
        <v>0</v>
      </c>
      <c r="M31" s="37">
        <f>'CED - DEDS'!R30</f>
        <v>0</v>
      </c>
      <c r="N31" s="37">
        <f>'CED - DEDS'!X30</f>
        <v>0</v>
      </c>
      <c r="O31" s="37">
        <f>'CED - DEDS'!Y30</f>
        <v>0</v>
      </c>
      <c r="P31" s="37">
        <f>'CED - DEDS'!AE30</f>
        <v>0</v>
      </c>
      <c r="Q31" s="38">
        <f t="shared" ref="Q31:Q41" si="12">ROUND(SUM(L31:P31),2)</f>
        <v>0</v>
      </c>
      <c r="R31" s="49">
        <f t="shared" ref="R31:R41" si="13">K31-Q31</f>
        <v>0</v>
      </c>
      <c r="S31" s="76">
        <f t="shared" ref="S31:S41" si="14">ROUND(R31/2,0)</f>
        <v>0</v>
      </c>
      <c r="T31" s="77">
        <f t="shared" ref="T31:T41" si="15">R31-S31</f>
        <v>0</v>
      </c>
      <c r="U31" s="33">
        <f t="shared" ref="U31:U41" si="16">B31</f>
        <v>11</v>
      </c>
      <c r="V31" s="36">
        <f>ROUND('CED - PAY'!I31*0.12,2)</f>
        <v>0</v>
      </c>
      <c r="W31" s="37">
        <f t="shared" si="8"/>
        <v>100</v>
      </c>
      <c r="X31" s="37">
        <f>MIN((I31*0.05)-'CED - DEDS'!Y30,2500)</f>
        <v>0</v>
      </c>
      <c r="Y31" s="41">
        <f t="shared" si="9"/>
        <v>200</v>
      </c>
    </row>
    <row r="32" spans="1:26" ht="18.75" customHeight="1" x14ac:dyDescent="0.25">
      <c r="A32" s="98"/>
      <c r="B32" s="33">
        <f t="shared" si="6"/>
        <v>12</v>
      </c>
      <c r="C32" s="72">
        <f>VLOOKUP(B32,'WTAX-CED'!B:N,2,0)</f>
        <v>0</v>
      </c>
      <c r="D32" s="72" t="e">
        <f>VLOOKUP(C32,'WTAX-CED'!C:O,2,0)</f>
        <v>#N/A</v>
      </c>
      <c r="E32" s="306">
        <f>VLOOKUP(B32,'WTAX-CED'!B:N,4,0)</f>
        <v>0</v>
      </c>
      <c r="F32" s="89"/>
      <c r="G32" s="91"/>
      <c r="H32" s="91"/>
      <c r="I32" s="37">
        <f t="shared" si="10"/>
        <v>0</v>
      </c>
      <c r="J32" s="332">
        <f>'WTAX-CED'!N19</f>
        <v>0</v>
      </c>
      <c r="K32" s="211">
        <f t="shared" si="11"/>
        <v>0</v>
      </c>
      <c r="L32" s="40">
        <f>'WTAX-CED'!F19</f>
        <v>0</v>
      </c>
      <c r="M32" s="37">
        <f>'CED - DEDS'!R31</f>
        <v>0</v>
      </c>
      <c r="N32" s="37">
        <f>'CED - DEDS'!X31</f>
        <v>0</v>
      </c>
      <c r="O32" s="37">
        <f>'CED - DEDS'!Y31</f>
        <v>0</v>
      </c>
      <c r="P32" s="37">
        <f>'CED - DEDS'!AE31</f>
        <v>0</v>
      </c>
      <c r="Q32" s="38">
        <f t="shared" si="12"/>
        <v>0</v>
      </c>
      <c r="R32" s="49">
        <f t="shared" si="13"/>
        <v>0</v>
      </c>
      <c r="S32" s="76">
        <f t="shared" si="14"/>
        <v>0</v>
      </c>
      <c r="T32" s="77">
        <f t="shared" si="15"/>
        <v>0</v>
      </c>
      <c r="U32" s="33">
        <f t="shared" si="16"/>
        <v>12</v>
      </c>
      <c r="V32" s="36">
        <f>ROUND('CED - PAY'!I32*0.12,2)</f>
        <v>0</v>
      </c>
      <c r="W32" s="37">
        <f t="shared" si="8"/>
        <v>100</v>
      </c>
      <c r="X32" s="37">
        <f>MIN((I32*0.05)-'CED - DEDS'!Y31,2500)</f>
        <v>0</v>
      </c>
      <c r="Y32" s="41">
        <f t="shared" si="9"/>
        <v>200</v>
      </c>
    </row>
    <row r="33" spans="1:25" ht="18.75" customHeight="1" x14ac:dyDescent="0.25">
      <c r="A33" s="98"/>
      <c r="B33" s="33">
        <f t="shared" si="6"/>
        <v>13</v>
      </c>
      <c r="C33" s="72">
        <f>VLOOKUP(B33,'WTAX-CED'!B:N,2,0)</f>
        <v>0</v>
      </c>
      <c r="D33" s="72" t="e">
        <f>VLOOKUP(C33,'WTAX-CED'!C:O,2,0)</f>
        <v>#N/A</v>
      </c>
      <c r="E33" s="306">
        <f>VLOOKUP(B33,'WTAX-CED'!B:N,4,0)</f>
        <v>0</v>
      </c>
      <c r="F33" s="89"/>
      <c r="G33" s="91"/>
      <c r="H33" s="91"/>
      <c r="I33" s="37">
        <f t="shared" si="10"/>
        <v>0</v>
      </c>
      <c r="J33" s="332">
        <f>'WTAX-CED'!N20</f>
        <v>0</v>
      </c>
      <c r="K33" s="211">
        <f t="shared" si="11"/>
        <v>0</v>
      </c>
      <c r="L33" s="40">
        <f>'WTAX-CED'!F20</f>
        <v>0</v>
      </c>
      <c r="M33" s="37">
        <f>'CED - DEDS'!R32</f>
        <v>0</v>
      </c>
      <c r="N33" s="37">
        <f>'CED - DEDS'!X32</f>
        <v>0</v>
      </c>
      <c r="O33" s="37">
        <f>'CED - DEDS'!Y32</f>
        <v>0</v>
      </c>
      <c r="P33" s="37">
        <f>'CED - DEDS'!AE32</f>
        <v>0</v>
      </c>
      <c r="Q33" s="38">
        <f t="shared" si="12"/>
        <v>0</v>
      </c>
      <c r="R33" s="49">
        <f t="shared" si="13"/>
        <v>0</v>
      </c>
      <c r="S33" s="76">
        <f t="shared" si="14"/>
        <v>0</v>
      </c>
      <c r="T33" s="77">
        <f t="shared" si="15"/>
        <v>0</v>
      </c>
      <c r="U33" s="33">
        <f t="shared" si="16"/>
        <v>13</v>
      </c>
      <c r="V33" s="36">
        <f>ROUND('CED - PAY'!I33*0.12,2)</f>
        <v>0</v>
      </c>
      <c r="W33" s="37">
        <f t="shared" si="8"/>
        <v>100</v>
      </c>
      <c r="X33" s="37">
        <f>MIN((I33*0.05)-'CED - DEDS'!Y32,2500)</f>
        <v>0</v>
      </c>
      <c r="Y33" s="41">
        <f t="shared" si="9"/>
        <v>200</v>
      </c>
    </row>
    <row r="34" spans="1:25" ht="18.75" customHeight="1" x14ac:dyDescent="0.25">
      <c r="A34" s="98"/>
      <c r="B34" s="33">
        <f t="shared" si="6"/>
        <v>14</v>
      </c>
      <c r="C34" s="72">
        <f>VLOOKUP(B34,'WTAX-CED'!B:N,2,0)</f>
        <v>0</v>
      </c>
      <c r="D34" s="72" t="e">
        <f>VLOOKUP(C34,'WTAX-CED'!C:O,2,0)</f>
        <v>#N/A</v>
      </c>
      <c r="E34" s="306">
        <f>VLOOKUP(B34,'WTAX-CED'!B:N,4,0)</f>
        <v>0</v>
      </c>
      <c r="F34" s="89"/>
      <c r="G34" s="91"/>
      <c r="H34" s="91"/>
      <c r="I34" s="37">
        <f t="shared" si="10"/>
        <v>0</v>
      </c>
      <c r="J34" s="332">
        <f>'WTAX-CED'!N21</f>
        <v>0</v>
      </c>
      <c r="K34" s="211">
        <f t="shared" si="11"/>
        <v>0</v>
      </c>
      <c r="L34" s="40">
        <f>'WTAX-CED'!F21</f>
        <v>0</v>
      </c>
      <c r="M34" s="37">
        <f>'CED - DEDS'!R33</f>
        <v>0</v>
      </c>
      <c r="N34" s="37">
        <f>'CED - DEDS'!X33</f>
        <v>0</v>
      </c>
      <c r="O34" s="37">
        <f>'CED - DEDS'!Y33</f>
        <v>0</v>
      </c>
      <c r="P34" s="37">
        <f>'CED - DEDS'!AE33</f>
        <v>0</v>
      </c>
      <c r="Q34" s="38">
        <f t="shared" si="12"/>
        <v>0</v>
      </c>
      <c r="R34" s="49">
        <f t="shared" si="13"/>
        <v>0</v>
      </c>
      <c r="S34" s="76">
        <f t="shared" si="14"/>
        <v>0</v>
      </c>
      <c r="T34" s="77">
        <f t="shared" si="15"/>
        <v>0</v>
      </c>
      <c r="U34" s="33">
        <f t="shared" si="16"/>
        <v>14</v>
      </c>
      <c r="V34" s="36">
        <f>ROUND('CED - PAY'!I34*0.12,2)</f>
        <v>0</v>
      </c>
      <c r="W34" s="37">
        <f t="shared" si="8"/>
        <v>100</v>
      </c>
      <c r="X34" s="37">
        <f>MIN((I34*0.05)-'CED - DEDS'!Y33,2500)</f>
        <v>0</v>
      </c>
      <c r="Y34" s="41">
        <f t="shared" si="9"/>
        <v>200</v>
      </c>
    </row>
    <row r="35" spans="1:25" ht="18.75" customHeight="1" x14ac:dyDescent="0.25">
      <c r="A35" s="98"/>
      <c r="B35" s="33">
        <f t="shared" si="6"/>
        <v>15</v>
      </c>
      <c r="C35" s="72">
        <f>VLOOKUP(B35,'WTAX-CED'!B:N,2,0)</f>
        <v>0</v>
      </c>
      <c r="D35" s="72" t="e">
        <f>VLOOKUP(C35,'WTAX-CED'!C:O,2,0)</f>
        <v>#N/A</v>
      </c>
      <c r="E35" s="306">
        <f>VLOOKUP(B35,'WTAX-CED'!B:N,4,0)</f>
        <v>0</v>
      </c>
      <c r="F35" s="86"/>
      <c r="G35" s="91"/>
      <c r="H35" s="91"/>
      <c r="I35" s="37">
        <f t="shared" si="10"/>
        <v>0</v>
      </c>
      <c r="J35" s="332">
        <f>'WTAX-CED'!N22</f>
        <v>0</v>
      </c>
      <c r="K35" s="211">
        <f t="shared" si="11"/>
        <v>0</v>
      </c>
      <c r="L35" s="40">
        <f>'WTAX-CED'!F22</f>
        <v>0</v>
      </c>
      <c r="M35" s="37">
        <f>'CED - DEDS'!R34</f>
        <v>0</v>
      </c>
      <c r="N35" s="37">
        <f>'CED - DEDS'!X34</f>
        <v>0</v>
      </c>
      <c r="O35" s="37">
        <f>'CED - DEDS'!Y34</f>
        <v>0</v>
      </c>
      <c r="P35" s="37">
        <f>'CED - DEDS'!AE34</f>
        <v>0</v>
      </c>
      <c r="Q35" s="38">
        <f t="shared" si="12"/>
        <v>0</v>
      </c>
      <c r="R35" s="49">
        <f t="shared" si="13"/>
        <v>0</v>
      </c>
      <c r="S35" s="76">
        <f t="shared" si="14"/>
        <v>0</v>
      </c>
      <c r="T35" s="77">
        <f t="shared" si="15"/>
        <v>0</v>
      </c>
      <c r="U35" s="33">
        <f t="shared" si="16"/>
        <v>15</v>
      </c>
      <c r="V35" s="36">
        <f>ROUND('CED - PAY'!I35*0.12,2)</f>
        <v>0</v>
      </c>
      <c r="W35" s="37">
        <f t="shared" si="8"/>
        <v>100</v>
      </c>
      <c r="X35" s="37">
        <f>MIN((I35*0.05)-'CED - DEDS'!Y34,2500)</f>
        <v>0</v>
      </c>
      <c r="Y35" s="41">
        <f t="shared" si="9"/>
        <v>200</v>
      </c>
    </row>
    <row r="36" spans="1:25" ht="18.75" customHeight="1" x14ac:dyDescent="0.25">
      <c r="A36" s="98"/>
      <c r="B36" s="33">
        <f t="shared" si="6"/>
        <v>16</v>
      </c>
      <c r="C36" s="72">
        <f>VLOOKUP(B36,'WTAX-CED'!B:N,2,0)</f>
        <v>0</v>
      </c>
      <c r="D36" s="72" t="e">
        <f>VLOOKUP(C36,'WTAX-CED'!C:O,2,0)</f>
        <v>#N/A</v>
      </c>
      <c r="E36" s="306">
        <f>VLOOKUP(B36,'WTAX-CED'!B:N,4,0)</f>
        <v>0</v>
      </c>
      <c r="F36" s="89"/>
      <c r="G36" s="91"/>
      <c r="H36" s="91"/>
      <c r="I36" s="37">
        <f t="shared" si="10"/>
        <v>0</v>
      </c>
      <c r="J36" s="332">
        <f>'WTAX-CED'!N23</f>
        <v>0</v>
      </c>
      <c r="K36" s="211">
        <f t="shared" si="11"/>
        <v>0</v>
      </c>
      <c r="L36" s="40">
        <f>'WTAX-CED'!F23</f>
        <v>0</v>
      </c>
      <c r="M36" s="37">
        <f>'CED - DEDS'!R35</f>
        <v>0</v>
      </c>
      <c r="N36" s="37">
        <f>'CED - DEDS'!X35</f>
        <v>0</v>
      </c>
      <c r="O36" s="37">
        <f>'CED - DEDS'!Y35</f>
        <v>0</v>
      </c>
      <c r="P36" s="37">
        <f>'CED - DEDS'!AE35</f>
        <v>0</v>
      </c>
      <c r="Q36" s="38">
        <f t="shared" si="12"/>
        <v>0</v>
      </c>
      <c r="R36" s="49">
        <f t="shared" si="13"/>
        <v>0</v>
      </c>
      <c r="S36" s="76">
        <f t="shared" si="14"/>
        <v>0</v>
      </c>
      <c r="T36" s="77">
        <f t="shared" si="15"/>
        <v>0</v>
      </c>
      <c r="U36" s="33">
        <f t="shared" si="16"/>
        <v>16</v>
      </c>
      <c r="V36" s="36">
        <f>ROUND('CED - PAY'!I36*0.12,2)</f>
        <v>0</v>
      </c>
      <c r="W36" s="37">
        <f t="shared" si="8"/>
        <v>100</v>
      </c>
      <c r="X36" s="37">
        <f>MIN((I36*0.05)-'CED - DEDS'!Y35,2500)</f>
        <v>0</v>
      </c>
      <c r="Y36" s="41">
        <f t="shared" si="9"/>
        <v>200</v>
      </c>
    </row>
    <row r="37" spans="1:25" ht="18.75" customHeight="1" x14ac:dyDescent="0.25">
      <c r="A37" s="98"/>
      <c r="B37" s="33">
        <f t="shared" si="6"/>
        <v>17</v>
      </c>
      <c r="C37" s="72">
        <f>VLOOKUP(B37,'WTAX-CED'!B:N,2,0)</f>
        <v>0</v>
      </c>
      <c r="D37" s="72" t="e">
        <f>VLOOKUP(C37,'WTAX-CED'!C:O,2,0)</f>
        <v>#N/A</v>
      </c>
      <c r="E37" s="306">
        <f>VLOOKUP(B37,'WTAX-CED'!B:N,4,0)</f>
        <v>0</v>
      </c>
      <c r="F37" s="86"/>
      <c r="G37" s="91"/>
      <c r="H37" s="91"/>
      <c r="I37" s="37">
        <f t="shared" si="10"/>
        <v>0</v>
      </c>
      <c r="J37" s="332">
        <f>'WTAX-CED'!N24</f>
        <v>0</v>
      </c>
      <c r="K37" s="211">
        <f t="shared" si="11"/>
        <v>0</v>
      </c>
      <c r="L37" s="40">
        <f>'WTAX-CED'!F24</f>
        <v>0</v>
      </c>
      <c r="M37" s="37">
        <f>'CED - DEDS'!R36</f>
        <v>0</v>
      </c>
      <c r="N37" s="37">
        <f>'CED - DEDS'!X36</f>
        <v>0</v>
      </c>
      <c r="O37" s="37">
        <f>'CED - DEDS'!Y36</f>
        <v>0</v>
      </c>
      <c r="P37" s="37">
        <f>'CED - DEDS'!AE36</f>
        <v>0</v>
      </c>
      <c r="Q37" s="38">
        <f t="shared" si="12"/>
        <v>0</v>
      </c>
      <c r="R37" s="49">
        <f t="shared" si="13"/>
        <v>0</v>
      </c>
      <c r="S37" s="76">
        <f t="shared" si="14"/>
        <v>0</v>
      </c>
      <c r="T37" s="77">
        <f t="shared" si="15"/>
        <v>0</v>
      </c>
      <c r="U37" s="33">
        <f t="shared" si="16"/>
        <v>17</v>
      </c>
      <c r="V37" s="36">
        <f>ROUND('CED - PAY'!I37*0.12,2)</f>
        <v>0</v>
      </c>
      <c r="W37" s="37">
        <f t="shared" si="8"/>
        <v>100</v>
      </c>
      <c r="X37" s="37">
        <f>MIN((I37*0.05)-'CED - DEDS'!Y36,2500)</f>
        <v>0</v>
      </c>
      <c r="Y37" s="41">
        <f t="shared" si="9"/>
        <v>200</v>
      </c>
    </row>
    <row r="38" spans="1:25" ht="18.75" customHeight="1" x14ac:dyDescent="0.25">
      <c r="A38" s="98"/>
      <c r="B38" s="33">
        <f t="shared" si="6"/>
        <v>18</v>
      </c>
      <c r="C38" s="72">
        <f>VLOOKUP(B38,'WTAX-CED'!B:N,2,0)</f>
        <v>0</v>
      </c>
      <c r="D38" s="72" t="e">
        <f>VLOOKUP(C38,'WTAX-CED'!C:O,2,0)</f>
        <v>#N/A</v>
      </c>
      <c r="E38" s="306">
        <f>VLOOKUP(B38,'WTAX-CED'!B:N,4,0)</f>
        <v>0</v>
      </c>
      <c r="F38" s="89"/>
      <c r="G38" s="91"/>
      <c r="H38" s="91"/>
      <c r="I38" s="37">
        <f t="shared" si="10"/>
        <v>0</v>
      </c>
      <c r="J38" s="332">
        <f>'WTAX-CED'!N25</f>
        <v>0</v>
      </c>
      <c r="K38" s="211">
        <f t="shared" si="11"/>
        <v>0</v>
      </c>
      <c r="L38" s="40">
        <f>'WTAX-CED'!F25</f>
        <v>0</v>
      </c>
      <c r="M38" s="37">
        <f>'CED - DEDS'!R37</f>
        <v>0</v>
      </c>
      <c r="N38" s="37">
        <f>'CED - DEDS'!X37</f>
        <v>0</v>
      </c>
      <c r="O38" s="37">
        <f>'CED - DEDS'!Y37</f>
        <v>0</v>
      </c>
      <c r="P38" s="37">
        <f>'CED - DEDS'!AE37</f>
        <v>0</v>
      </c>
      <c r="Q38" s="38">
        <f t="shared" si="12"/>
        <v>0</v>
      </c>
      <c r="R38" s="49">
        <f t="shared" si="13"/>
        <v>0</v>
      </c>
      <c r="S38" s="76">
        <f t="shared" si="14"/>
        <v>0</v>
      </c>
      <c r="T38" s="77">
        <f t="shared" si="15"/>
        <v>0</v>
      </c>
      <c r="U38" s="33">
        <f t="shared" si="16"/>
        <v>18</v>
      </c>
      <c r="V38" s="36">
        <f>ROUND('CED - PAY'!I38*0.12,2)</f>
        <v>0</v>
      </c>
      <c r="W38" s="37">
        <f t="shared" si="8"/>
        <v>100</v>
      </c>
      <c r="X38" s="37">
        <f>MIN((I38*0.05)-'CED - DEDS'!Y37,2500)</f>
        <v>0</v>
      </c>
      <c r="Y38" s="41">
        <f t="shared" si="9"/>
        <v>200</v>
      </c>
    </row>
    <row r="39" spans="1:25" ht="18.75" customHeight="1" x14ac:dyDescent="0.25">
      <c r="A39" s="98"/>
      <c r="B39" s="33">
        <f t="shared" si="6"/>
        <v>19</v>
      </c>
      <c r="C39" s="72">
        <f>VLOOKUP(B39,'WTAX-CED'!B:N,2,0)</f>
        <v>0</v>
      </c>
      <c r="D39" s="72" t="e">
        <f>VLOOKUP(C39,'WTAX-CED'!C:O,2,0)</f>
        <v>#N/A</v>
      </c>
      <c r="E39" s="306">
        <f>VLOOKUP(B39,'WTAX-CED'!B:N,4,0)</f>
        <v>0</v>
      </c>
      <c r="F39" s="89"/>
      <c r="G39" s="91"/>
      <c r="H39" s="91"/>
      <c r="I39" s="37">
        <f t="shared" si="10"/>
        <v>0</v>
      </c>
      <c r="J39" s="332">
        <f>'WTAX-CED'!N26</f>
        <v>0</v>
      </c>
      <c r="K39" s="211">
        <f t="shared" si="11"/>
        <v>0</v>
      </c>
      <c r="L39" s="40">
        <f>'WTAX-CED'!F26</f>
        <v>0</v>
      </c>
      <c r="M39" s="37">
        <f>'CED - DEDS'!R38</f>
        <v>0</v>
      </c>
      <c r="N39" s="37">
        <f>'CED - DEDS'!X38</f>
        <v>0</v>
      </c>
      <c r="O39" s="37">
        <f>'CED - DEDS'!Y38</f>
        <v>0</v>
      </c>
      <c r="P39" s="37">
        <f>'CED - DEDS'!AE38</f>
        <v>0</v>
      </c>
      <c r="Q39" s="38">
        <f t="shared" si="12"/>
        <v>0</v>
      </c>
      <c r="R39" s="49">
        <f t="shared" si="13"/>
        <v>0</v>
      </c>
      <c r="S39" s="76">
        <f t="shared" si="14"/>
        <v>0</v>
      </c>
      <c r="T39" s="77">
        <f t="shared" si="15"/>
        <v>0</v>
      </c>
      <c r="U39" s="33">
        <f t="shared" si="16"/>
        <v>19</v>
      </c>
      <c r="V39" s="36">
        <f>ROUND('CED - PAY'!I39*0.12,2)</f>
        <v>0</v>
      </c>
      <c r="W39" s="37">
        <f t="shared" si="8"/>
        <v>100</v>
      </c>
      <c r="X39" s="37">
        <f>MIN((I39*0.05)-'CED - DEDS'!Y38,2500)</f>
        <v>0</v>
      </c>
      <c r="Y39" s="41">
        <f t="shared" si="9"/>
        <v>200</v>
      </c>
    </row>
    <row r="40" spans="1:25" ht="18.75" customHeight="1" x14ac:dyDescent="0.25">
      <c r="A40" s="98"/>
      <c r="B40" s="33">
        <f t="shared" si="6"/>
        <v>20</v>
      </c>
      <c r="C40" s="72">
        <f>VLOOKUP(B40,'WTAX-CED'!B:N,2,0)</f>
        <v>0</v>
      </c>
      <c r="D40" s="72" t="e">
        <f>VLOOKUP(C40,'WTAX-CED'!C:O,2,0)</f>
        <v>#N/A</v>
      </c>
      <c r="E40" s="306">
        <f>VLOOKUP(B40,'WTAX-CED'!B:N,4,0)</f>
        <v>0</v>
      </c>
      <c r="F40" s="89"/>
      <c r="G40" s="91"/>
      <c r="H40" s="91"/>
      <c r="I40" s="37">
        <f t="shared" si="10"/>
        <v>0</v>
      </c>
      <c r="J40" s="332">
        <f>'WTAX-CED'!N27</f>
        <v>0</v>
      </c>
      <c r="K40" s="211">
        <f t="shared" si="11"/>
        <v>0</v>
      </c>
      <c r="L40" s="40">
        <f>'WTAX-CED'!F27</f>
        <v>0</v>
      </c>
      <c r="M40" s="37">
        <f>'CED - DEDS'!R39</f>
        <v>0</v>
      </c>
      <c r="N40" s="37">
        <f>'CED - DEDS'!X39</f>
        <v>0</v>
      </c>
      <c r="O40" s="37">
        <f>'CED - DEDS'!Y39</f>
        <v>0</v>
      </c>
      <c r="P40" s="37">
        <f>'CED - DEDS'!AE39</f>
        <v>0</v>
      </c>
      <c r="Q40" s="38">
        <f t="shared" si="12"/>
        <v>0</v>
      </c>
      <c r="R40" s="49">
        <f t="shared" si="13"/>
        <v>0</v>
      </c>
      <c r="S40" s="76">
        <f t="shared" si="14"/>
        <v>0</v>
      </c>
      <c r="T40" s="77">
        <f t="shared" si="15"/>
        <v>0</v>
      </c>
      <c r="U40" s="33">
        <f t="shared" si="16"/>
        <v>20</v>
      </c>
      <c r="V40" s="36">
        <f>ROUND('CED - PAY'!I40*0.12,2)</f>
        <v>0</v>
      </c>
      <c r="W40" s="37">
        <f t="shared" si="8"/>
        <v>100</v>
      </c>
      <c r="X40" s="37">
        <f>MIN((I40*0.05)-'CED - DEDS'!Y39,2500)</f>
        <v>0</v>
      </c>
      <c r="Y40" s="41">
        <f t="shared" si="9"/>
        <v>200</v>
      </c>
    </row>
    <row r="41" spans="1:25" ht="18.75" customHeight="1" x14ac:dyDescent="0.25">
      <c r="A41" s="98"/>
      <c r="B41" s="33">
        <f t="shared" si="6"/>
        <v>21</v>
      </c>
      <c r="C41" s="72">
        <f>VLOOKUP(B41,'WTAX-CED'!B:N,2,0)</f>
        <v>0</v>
      </c>
      <c r="D41" s="72" t="e">
        <f>VLOOKUP(C41,'WTAX-CED'!C:O,2,0)</f>
        <v>#N/A</v>
      </c>
      <c r="E41" s="306">
        <f>VLOOKUP(B41,'WTAX-CED'!B:N,4,0)</f>
        <v>0</v>
      </c>
      <c r="F41" s="89"/>
      <c r="G41" s="91"/>
      <c r="H41" s="91"/>
      <c r="I41" s="37">
        <f t="shared" si="10"/>
        <v>0</v>
      </c>
      <c r="J41" s="332">
        <f>'WTAX-CED'!N28</f>
        <v>0</v>
      </c>
      <c r="K41" s="211">
        <f t="shared" si="11"/>
        <v>0</v>
      </c>
      <c r="L41" s="40">
        <f>'WTAX-CED'!F28</f>
        <v>0</v>
      </c>
      <c r="M41" s="37">
        <f>'CED - DEDS'!R40</f>
        <v>0</v>
      </c>
      <c r="N41" s="37">
        <f>'CED - DEDS'!X40</f>
        <v>0</v>
      </c>
      <c r="O41" s="37">
        <f>'CED - DEDS'!Y40</f>
        <v>0</v>
      </c>
      <c r="P41" s="37">
        <f>'CED - DEDS'!AE40</f>
        <v>0</v>
      </c>
      <c r="Q41" s="38">
        <f t="shared" si="12"/>
        <v>0</v>
      </c>
      <c r="R41" s="49">
        <f t="shared" si="13"/>
        <v>0</v>
      </c>
      <c r="S41" s="76">
        <f t="shared" si="14"/>
        <v>0</v>
      </c>
      <c r="T41" s="77">
        <f t="shared" si="15"/>
        <v>0</v>
      </c>
      <c r="U41" s="33">
        <f t="shared" si="16"/>
        <v>21</v>
      </c>
      <c r="V41" s="36">
        <f>ROUND('CED - PAY'!I41*0.12,2)</f>
        <v>0</v>
      </c>
      <c r="W41" s="37">
        <f t="shared" si="8"/>
        <v>100</v>
      </c>
      <c r="X41" s="37">
        <f>MIN((I41*0.05)-'CED - DEDS'!Y40,2500)</f>
        <v>0</v>
      </c>
      <c r="Y41" s="41">
        <f t="shared" si="9"/>
        <v>200</v>
      </c>
    </row>
    <row r="42" spans="1:25" ht="18.75" customHeight="1" x14ac:dyDescent="0.25">
      <c r="A42" s="98"/>
      <c r="B42" s="33">
        <f t="shared" si="6"/>
        <v>22</v>
      </c>
      <c r="C42" s="72">
        <f>VLOOKUP(B42,'WTAX-CED'!B:N,2,0)</f>
        <v>0</v>
      </c>
      <c r="D42" s="72" t="e">
        <f>VLOOKUP(C42,'WTAX-CED'!C:O,2,0)</f>
        <v>#N/A</v>
      </c>
      <c r="E42" s="306">
        <f>VLOOKUP(B42,'WTAX-CED'!B:N,4,0)</f>
        <v>0</v>
      </c>
      <c r="F42" s="89"/>
      <c r="G42" s="91"/>
      <c r="H42" s="91"/>
      <c r="I42" s="37">
        <f t="shared" ref="I42:I70" si="17">SUM(F42:H42)</f>
        <v>0</v>
      </c>
      <c r="J42" s="332">
        <f>'WTAX-CED'!N29</f>
        <v>0</v>
      </c>
      <c r="K42" s="211">
        <f t="shared" ref="K42:K70" si="18">ROUND(I42-J42,2)</f>
        <v>0</v>
      </c>
      <c r="L42" s="40">
        <f>'WTAX-CED'!F29</f>
        <v>0</v>
      </c>
      <c r="M42" s="37">
        <f>'CED - DEDS'!R41</f>
        <v>0</v>
      </c>
      <c r="N42" s="37">
        <f>'CED - DEDS'!X41</f>
        <v>0</v>
      </c>
      <c r="O42" s="37">
        <f>'CED - DEDS'!Y41</f>
        <v>0</v>
      </c>
      <c r="P42" s="37">
        <f>'CED - DEDS'!AE41</f>
        <v>0</v>
      </c>
      <c r="Q42" s="38">
        <f t="shared" ref="Q42:Q70" si="19">ROUND(SUM(L42:P42),2)</f>
        <v>0</v>
      </c>
      <c r="R42" s="49">
        <f t="shared" ref="R42:R70" si="20">K42-Q42</f>
        <v>0</v>
      </c>
      <c r="S42" s="76">
        <f t="shared" ref="S42:S70" si="21">ROUND(R42/2,0)</f>
        <v>0</v>
      </c>
      <c r="T42" s="77">
        <f t="shared" ref="T42:T70" si="22">R42-S42</f>
        <v>0</v>
      </c>
      <c r="U42" s="33">
        <f t="shared" ref="U42:U70" si="23">B42</f>
        <v>22</v>
      </c>
      <c r="V42" s="36">
        <f>ROUND('CED - PAY'!I42*0.12,2)</f>
        <v>0</v>
      </c>
      <c r="W42" s="37">
        <f t="shared" si="8"/>
        <v>100</v>
      </c>
      <c r="X42" s="37">
        <f>MIN((I42*0.05)-'CED - DEDS'!Y41,2500)</f>
        <v>0</v>
      </c>
      <c r="Y42" s="41">
        <f t="shared" si="9"/>
        <v>200</v>
      </c>
    </row>
    <row r="43" spans="1:25" ht="18.75" customHeight="1" x14ac:dyDescent="0.25">
      <c r="A43" s="98"/>
      <c r="B43" s="33">
        <f t="shared" si="6"/>
        <v>23</v>
      </c>
      <c r="C43" s="72">
        <f>VLOOKUP(B43,'WTAX-CED'!B:N,2,0)</f>
        <v>0</v>
      </c>
      <c r="D43" s="72" t="e">
        <f>VLOOKUP(C43,'WTAX-CED'!C:O,2,0)</f>
        <v>#N/A</v>
      </c>
      <c r="E43" s="306">
        <f>VLOOKUP(B43,'WTAX-CED'!B:N,4,0)</f>
        <v>0</v>
      </c>
      <c r="F43" s="89"/>
      <c r="G43" s="91"/>
      <c r="H43" s="91"/>
      <c r="I43" s="37">
        <f t="shared" si="17"/>
        <v>0</v>
      </c>
      <c r="J43" s="332">
        <f>'WTAX-CED'!N30</f>
        <v>0</v>
      </c>
      <c r="K43" s="211">
        <f t="shared" si="18"/>
        <v>0</v>
      </c>
      <c r="L43" s="40">
        <f>'WTAX-CED'!F30</f>
        <v>0</v>
      </c>
      <c r="M43" s="37">
        <f>'CED - DEDS'!R42</f>
        <v>0</v>
      </c>
      <c r="N43" s="37">
        <f>'CED - DEDS'!X42</f>
        <v>0</v>
      </c>
      <c r="O43" s="37">
        <f>'CED - DEDS'!Y42</f>
        <v>0</v>
      </c>
      <c r="P43" s="37">
        <f>'CED - DEDS'!AE42</f>
        <v>0</v>
      </c>
      <c r="Q43" s="38">
        <f t="shared" si="19"/>
        <v>0</v>
      </c>
      <c r="R43" s="49">
        <f t="shared" si="20"/>
        <v>0</v>
      </c>
      <c r="S43" s="76">
        <f t="shared" si="21"/>
        <v>0</v>
      </c>
      <c r="T43" s="77">
        <f t="shared" si="22"/>
        <v>0</v>
      </c>
      <c r="U43" s="33">
        <f t="shared" si="23"/>
        <v>23</v>
      </c>
      <c r="V43" s="36">
        <f>ROUND('CED - PAY'!I43*0.12,2)</f>
        <v>0</v>
      </c>
      <c r="W43" s="37">
        <f t="shared" si="8"/>
        <v>100</v>
      </c>
      <c r="X43" s="37">
        <f>MIN((I43*0.05)-'CED - DEDS'!Y42,2500)</f>
        <v>0</v>
      </c>
      <c r="Y43" s="41">
        <f t="shared" si="9"/>
        <v>200</v>
      </c>
    </row>
    <row r="44" spans="1:25" ht="18.75" customHeight="1" x14ac:dyDescent="0.25">
      <c r="A44" s="98"/>
      <c r="B44" s="33">
        <f t="shared" si="6"/>
        <v>24</v>
      </c>
      <c r="C44" s="72">
        <f>VLOOKUP(B44,'WTAX-CED'!B:N,2,0)</f>
        <v>0</v>
      </c>
      <c r="D44" s="72" t="e">
        <f>VLOOKUP(C44,'WTAX-CED'!C:O,2,0)</f>
        <v>#N/A</v>
      </c>
      <c r="E44" s="306">
        <f>VLOOKUP(B44,'WTAX-CED'!B:N,4,0)</f>
        <v>0</v>
      </c>
      <c r="F44" s="86"/>
      <c r="G44" s="91"/>
      <c r="H44" s="91"/>
      <c r="I44" s="37">
        <f t="shared" si="17"/>
        <v>0</v>
      </c>
      <c r="J44" s="332">
        <f>'WTAX-CED'!N31</f>
        <v>0</v>
      </c>
      <c r="K44" s="211">
        <f t="shared" si="18"/>
        <v>0</v>
      </c>
      <c r="L44" s="40">
        <f>'WTAX-CED'!F31</f>
        <v>0</v>
      </c>
      <c r="M44" s="37">
        <f>'CED - DEDS'!R43</f>
        <v>0</v>
      </c>
      <c r="N44" s="37">
        <f>'CED - DEDS'!X43</f>
        <v>0</v>
      </c>
      <c r="O44" s="37">
        <f>'CED - DEDS'!Y43</f>
        <v>0</v>
      </c>
      <c r="P44" s="37">
        <f>'CED - DEDS'!AE43</f>
        <v>0</v>
      </c>
      <c r="Q44" s="38">
        <f t="shared" si="19"/>
        <v>0</v>
      </c>
      <c r="R44" s="49">
        <f t="shared" si="20"/>
        <v>0</v>
      </c>
      <c r="S44" s="76">
        <f t="shared" si="21"/>
        <v>0</v>
      </c>
      <c r="T44" s="77">
        <f t="shared" si="22"/>
        <v>0</v>
      </c>
      <c r="U44" s="33">
        <f t="shared" si="23"/>
        <v>24</v>
      </c>
      <c r="V44" s="36">
        <f>ROUND('CED - PAY'!I44*0.12,2)</f>
        <v>0</v>
      </c>
      <c r="W44" s="37">
        <f t="shared" si="8"/>
        <v>100</v>
      </c>
      <c r="X44" s="37">
        <f>MIN((I44*0.05)-'CED - DEDS'!Y43,2500)</f>
        <v>0</v>
      </c>
      <c r="Y44" s="41">
        <f t="shared" si="9"/>
        <v>200</v>
      </c>
    </row>
    <row r="45" spans="1:25" ht="18.75" customHeight="1" x14ac:dyDescent="0.25">
      <c r="A45" s="98"/>
      <c r="B45" s="33">
        <f t="shared" si="6"/>
        <v>25</v>
      </c>
      <c r="C45" s="72">
        <f>VLOOKUP(B45,'WTAX-CED'!B:N,2,0)</f>
        <v>0</v>
      </c>
      <c r="D45" s="72" t="e">
        <f>VLOOKUP(C45,'WTAX-CED'!C:O,2,0)</f>
        <v>#N/A</v>
      </c>
      <c r="E45" s="306">
        <f>VLOOKUP(B45,'WTAX-CED'!B:N,4,0)</f>
        <v>0</v>
      </c>
      <c r="F45" s="89"/>
      <c r="G45" s="91"/>
      <c r="H45" s="91"/>
      <c r="I45" s="37">
        <f t="shared" si="17"/>
        <v>0</v>
      </c>
      <c r="J45" s="332">
        <f>'WTAX-CED'!N32</f>
        <v>0</v>
      </c>
      <c r="K45" s="211">
        <f t="shared" si="18"/>
        <v>0</v>
      </c>
      <c r="L45" s="40">
        <f>'WTAX-CED'!F32</f>
        <v>0</v>
      </c>
      <c r="M45" s="37">
        <f>'CED - DEDS'!R44</f>
        <v>0</v>
      </c>
      <c r="N45" s="37">
        <f>'CED - DEDS'!X44</f>
        <v>0</v>
      </c>
      <c r="O45" s="37">
        <f>'CED - DEDS'!Y44</f>
        <v>0</v>
      </c>
      <c r="P45" s="37">
        <f>'CED - DEDS'!AE44</f>
        <v>0</v>
      </c>
      <c r="Q45" s="38">
        <f t="shared" si="19"/>
        <v>0</v>
      </c>
      <c r="R45" s="49">
        <f t="shared" si="20"/>
        <v>0</v>
      </c>
      <c r="S45" s="76">
        <f t="shared" si="21"/>
        <v>0</v>
      </c>
      <c r="T45" s="77">
        <f t="shared" si="22"/>
        <v>0</v>
      </c>
      <c r="U45" s="33">
        <f t="shared" si="23"/>
        <v>25</v>
      </c>
      <c r="V45" s="36">
        <f>ROUND('CED - PAY'!I45*0.12,2)</f>
        <v>0</v>
      </c>
      <c r="W45" s="37">
        <f t="shared" si="8"/>
        <v>100</v>
      </c>
      <c r="X45" s="37">
        <f>MIN((I45*0.05)-'CED - DEDS'!Y44,2500)</f>
        <v>0</v>
      </c>
      <c r="Y45" s="41">
        <f t="shared" si="9"/>
        <v>200</v>
      </c>
    </row>
    <row r="46" spans="1:25" s="622" customFormat="1" ht="18.75" customHeight="1" x14ac:dyDescent="0.25">
      <c r="A46" s="608"/>
      <c r="B46" s="609">
        <f t="shared" si="6"/>
        <v>26</v>
      </c>
      <c r="C46" s="610">
        <f>VLOOKUP(B46,'WTAX-CED'!B:N,2,0)</f>
        <v>0</v>
      </c>
      <c r="D46" s="610" t="e">
        <f>VLOOKUP(C46,'WTAX-CED'!C:O,2,0)</f>
        <v>#N/A</v>
      </c>
      <c r="E46" s="611">
        <f>VLOOKUP(B46,'WTAX-CED'!B:N,4,0)</f>
        <v>0</v>
      </c>
      <c r="F46" s="612"/>
      <c r="G46" s="613"/>
      <c r="H46" s="613"/>
      <c r="I46" s="614">
        <f t="shared" si="17"/>
        <v>0</v>
      </c>
      <c r="J46" s="614">
        <f>'WTAX-CED'!N33</f>
        <v>0</v>
      </c>
      <c r="K46" s="615">
        <f t="shared" si="18"/>
        <v>0</v>
      </c>
      <c r="L46" s="616">
        <f>'WTAX-CED'!F33</f>
        <v>0</v>
      </c>
      <c r="M46" s="614">
        <f>'CED - DEDS'!R45</f>
        <v>0</v>
      </c>
      <c r="N46" s="614">
        <f>'CED - DEDS'!X45</f>
        <v>0</v>
      </c>
      <c r="O46" s="614">
        <f>'CED - DEDS'!Y45</f>
        <v>0</v>
      </c>
      <c r="P46" s="614">
        <f>'CED - DEDS'!AE45</f>
        <v>0</v>
      </c>
      <c r="Q46" s="617">
        <f t="shared" si="19"/>
        <v>0</v>
      </c>
      <c r="R46" s="618">
        <f t="shared" si="20"/>
        <v>0</v>
      </c>
      <c r="S46" s="619">
        <f t="shared" si="21"/>
        <v>0</v>
      </c>
      <c r="T46" s="620">
        <f t="shared" si="22"/>
        <v>0</v>
      </c>
      <c r="U46" s="609">
        <f t="shared" si="23"/>
        <v>26</v>
      </c>
      <c r="V46" s="621">
        <f>ROUND('CED - PAY'!I46*0.12,2)</f>
        <v>0</v>
      </c>
      <c r="W46" s="614">
        <f t="shared" si="8"/>
        <v>100</v>
      </c>
      <c r="X46" s="614">
        <f>MIN((I46*0.05)-'CED - DEDS'!Y45,2500)</f>
        <v>0</v>
      </c>
      <c r="Y46" s="615">
        <f t="shared" si="9"/>
        <v>200</v>
      </c>
    </row>
    <row r="47" spans="1:25" ht="18.75" customHeight="1" x14ac:dyDescent="0.25">
      <c r="A47" s="98"/>
      <c r="B47" s="33">
        <f t="shared" si="6"/>
        <v>27</v>
      </c>
      <c r="C47" s="72">
        <f>VLOOKUP(B47,'WTAX-CED'!B:N,2,0)</f>
        <v>0</v>
      </c>
      <c r="D47" s="72" t="e">
        <f>VLOOKUP(C47,'WTAX-CED'!C:O,2,0)</f>
        <v>#N/A</v>
      </c>
      <c r="E47" s="306">
        <f>VLOOKUP(B47,'WTAX-CED'!B:N,4,0)</f>
        <v>0</v>
      </c>
      <c r="F47" s="89"/>
      <c r="G47" s="91"/>
      <c r="H47" s="91"/>
      <c r="I47" s="37">
        <f t="shared" si="17"/>
        <v>0</v>
      </c>
      <c r="J47" s="332">
        <f>'WTAX-CED'!N34</f>
        <v>0</v>
      </c>
      <c r="K47" s="211">
        <f t="shared" si="18"/>
        <v>0</v>
      </c>
      <c r="L47" s="40">
        <f>'WTAX-CED'!F34</f>
        <v>0</v>
      </c>
      <c r="M47" s="37">
        <f>'CED - DEDS'!R46</f>
        <v>0</v>
      </c>
      <c r="N47" s="37">
        <f>'CED - DEDS'!X46</f>
        <v>0</v>
      </c>
      <c r="O47" s="37">
        <f>'CED - DEDS'!Y46</f>
        <v>0</v>
      </c>
      <c r="P47" s="37">
        <f>'CED - DEDS'!AE46</f>
        <v>0</v>
      </c>
      <c r="Q47" s="38">
        <f t="shared" si="19"/>
        <v>0</v>
      </c>
      <c r="R47" s="49">
        <f t="shared" si="20"/>
        <v>0</v>
      </c>
      <c r="S47" s="76">
        <f t="shared" si="21"/>
        <v>0</v>
      </c>
      <c r="T47" s="77">
        <f t="shared" si="22"/>
        <v>0</v>
      </c>
      <c r="U47" s="33">
        <f t="shared" si="23"/>
        <v>27</v>
      </c>
      <c r="V47" s="36">
        <f>ROUND('CED - PAY'!I47*0.12,2)</f>
        <v>0</v>
      </c>
      <c r="W47" s="37">
        <f t="shared" si="8"/>
        <v>100</v>
      </c>
      <c r="X47" s="37">
        <f>MIN((I47*0.05)-'CED - DEDS'!Y46,2500)</f>
        <v>0</v>
      </c>
      <c r="Y47" s="41">
        <f t="shared" si="9"/>
        <v>200</v>
      </c>
    </row>
    <row r="48" spans="1:25" ht="18.75" customHeight="1" x14ac:dyDescent="0.25">
      <c r="A48" s="98"/>
      <c r="B48" s="33">
        <f t="shared" si="6"/>
        <v>28</v>
      </c>
      <c r="C48" s="72">
        <f>VLOOKUP(B48,'WTAX-CED'!B:N,2,0)</f>
        <v>0</v>
      </c>
      <c r="D48" s="72" t="e">
        <f>VLOOKUP(C48,'WTAX-CED'!C:O,2,0)</f>
        <v>#N/A</v>
      </c>
      <c r="E48" s="306">
        <f>VLOOKUP(B48,'WTAX-CED'!B:N,4,0)</f>
        <v>0</v>
      </c>
      <c r="F48" s="86"/>
      <c r="G48" s="88"/>
      <c r="H48" s="88"/>
      <c r="I48" s="37">
        <f t="shared" si="17"/>
        <v>0</v>
      </c>
      <c r="J48" s="332">
        <f>'WTAX-CED'!N35</f>
        <v>0</v>
      </c>
      <c r="K48" s="211">
        <f t="shared" si="18"/>
        <v>0</v>
      </c>
      <c r="L48" s="40">
        <f>'WTAX-CED'!F35</f>
        <v>0</v>
      </c>
      <c r="M48" s="37">
        <f>'CED - DEDS'!R47</f>
        <v>0</v>
      </c>
      <c r="N48" s="37">
        <f>'CED - DEDS'!X47</f>
        <v>0</v>
      </c>
      <c r="O48" s="37">
        <f>'CED - DEDS'!Y47</f>
        <v>0</v>
      </c>
      <c r="P48" s="37">
        <f>'CED - DEDS'!AE47</f>
        <v>0</v>
      </c>
      <c r="Q48" s="38">
        <f t="shared" si="19"/>
        <v>0</v>
      </c>
      <c r="R48" s="49">
        <f t="shared" si="20"/>
        <v>0</v>
      </c>
      <c r="S48" s="76">
        <f t="shared" si="21"/>
        <v>0</v>
      </c>
      <c r="T48" s="77">
        <f t="shared" si="22"/>
        <v>0</v>
      </c>
      <c r="U48" s="33">
        <f t="shared" si="23"/>
        <v>28</v>
      </c>
      <c r="V48" s="36">
        <f>ROUND('CED - PAY'!I48*0.12,2)</f>
        <v>0</v>
      </c>
      <c r="W48" s="37">
        <f t="shared" si="8"/>
        <v>100</v>
      </c>
      <c r="X48" s="37">
        <f>MIN((I48*0.05)-'CED - DEDS'!Y47,2500)</f>
        <v>0</v>
      </c>
      <c r="Y48" s="41">
        <f t="shared" si="9"/>
        <v>200</v>
      </c>
    </row>
    <row r="49" spans="1:25" s="622" customFormat="1" ht="18.75" customHeight="1" x14ac:dyDescent="0.25">
      <c r="A49" s="608"/>
      <c r="B49" s="609">
        <f t="shared" si="6"/>
        <v>29</v>
      </c>
      <c r="C49" s="610">
        <f>VLOOKUP(B49,'WTAX-CED'!B:N,2,0)</f>
        <v>0</v>
      </c>
      <c r="D49" s="610" t="e">
        <f>VLOOKUP(C49,'WTAX-CED'!C:O,2,0)</f>
        <v>#N/A</v>
      </c>
      <c r="E49" s="611">
        <f>VLOOKUP(B49,'WTAX-CED'!B:N,4,0)</f>
        <v>0</v>
      </c>
      <c r="F49" s="612"/>
      <c r="G49" s="613"/>
      <c r="H49" s="613"/>
      <c r="I49" s="614">
        <f t="shared" si="17"/>
        <v>0</v>
      </c>
      <c r="J49" s="614">
        <f>'WTAX-CED'!N36</f>
        <v>0</v>
      </c>
      <c r="K49" s="615">
        <f t="shared" si="18"/>
        <v>0</v>
      </c>
      <c r="L49" s="616">
        <f>'WTAX-CED'!F36</f>
        <v>0</v>
      </c>
      <c r="M49" s="614">
        <f>'CED - DEDS'!R48</f>
        <v>0</v>
      </c>
      <c r="N49" s="614">
        <f>'CED - DEDS'!X48</f>
        <v>0</v>
      </c>
      <c r="O49" s="614">
        <f>'CED - DEDS'!Y48</f>
        <v>0</v>
      </c>
      <c r="P49" s="614">
        <f>'CED - DEDS'!AE48</f>
        <v>0</v>
      </c>
      <c r="Q49" s="617">
        <f t="shared" si="19"/>
        <v>0</v>
      </c>
      <c r="R49" s="618">
        <f t="shared" si="20"/>
        <v>0</v>
      </c>
      <c r="S49" s="619">
        <f t="shared" si="21"/>
        <v>0</v>
      </c>
      <c r="T49" s="620">
        <f t="shared" si="22"/>
        <v>0</v>
      </c>
      <c r="U49" s="609">
        <f t="shared" si="23"/>
        <v>29</v>
      </c>
      <c r="V49" s="621">
        <f>ROUND('CED - PAY'!I49*0.12,2)</f>
        <v>0</v>
      </c>
      <c r="W49" s="614">
        <f t="shared" si="8"/>
        <v>100</v>
      </c>
      <c r="X49" s="614">
        <f>MIN((I49*0.05)-'CED - DEDS'!Y48,2500)</f>
        <v>0</v>
      </c>
      <c r="Y49" s="615">
        <f t="shared" si="9"/>
        <v>200</v>
      </c>
    </row>
    <row r="50" spans="1:25" ht="18.75" customHeight="1" x14ac:dyDescent="0.25">
      <c r="A50" s="98"/>
      <c r="B50" s="33">
        <f t="shared" si="6"/>
        <v>30</v>
      </c>
      <c r="C50" s="72">
        <f>VLOOKUP(B50,'WTAX-CED'!B:N,2,0)</f>
        <v>0</v>
      </c>
      <c r="D50" s="72" t="e">
        <f>VLOOKUP(C50,'WTAX-CED'!C:O,2,0)</f>
        <v>#N/A</v>
      </c>
      <c r="E50" s="306">
        <f>VLOOKUP(B50,'WTAX-CED'!B:N,4,0)</f>
        <v>0</v>
      </c>
      <c r="F50" s="89"/>
      <c r="G50" s="91"/>
      <c r="H50" s="91"/>
      <c r="I50" s="37">
        <f t="shared" si="17"/>
        <v>0</v>
      </c>
      <c r="J50" s="332">
        <f>'WTAX-CED'!N37</f>
        <v>0</v>
      </c>
      <c r="K50" s="211">
        <f t="shared" si="18"/>
        <v>0</v>
      </c>
      <c r="L50" s="40">
        <f>'WTAX-CED'!F37</f>
        <v>0</v>
      </c>
      <c r="M50" s="37">
        <f>'CED - DEDS'!R49</f>
        <v>0</v>
      </c>
      <c r="N50" s="37">
        <f>'CED - DEDS'!X49</f>
        <v>0</v>
      </c>
      <c r="O50" s="37">
        <f>'CED - DEDS'!Y49</f>
        <v>0</v>
      </c>
      <c r="P50" s="37">
        <f>'CED - DEDS'!AE49</f>
        <v>0</v>
      </c>
      <c r="Q50" s="38">
        <f t="shared" si="19"/>
        <v>0</v>
      </c>
      <c r="R50" s="49">
        <f t="shared" si="20"/>
        <v>0</v>
      </c>
      <c r="S50" s="76">
        <f t="shared" si="21"/>
        <v>0</v>
      </c>
      <c r="T50" s="77">
        <f t="shared" si="22"/>
        <v>0</v>
      </c>
      <c r="U50" s="33">
        <f t="shared" si="23"/>
        <v>30</v>
      </c>
      <c r="V50" s="36">
        <f>ROUND('CED - PAY'!I50*0.12,2)</f>
        <v>0</v>
      </c>
      <c r="W50" s="37">
        <f t="shared" si="8"/>
        <v>100</v>
      </c>
      <c r="X50" s="37">
        <f>MIN((I50*0.05)-'CED - DEDS'!Y49,2500)</f>
        <v>0</v>
      </c>
      <c r="Y50" s="41">
        <f t="shared" si="9"/>
        <v>200</v>
      </c>
    </row>
    <row r="51" spans="1:25" s="622" customFormat="1" ht="18.75" customHeight="1" x14ac:dyDescent="0.25">
      <c r="A51" s="608"/>
      <c r="B51" s="609">
        <f t="shared" si="6"/>
        <v>31</v>
      </c>
      <c r="C51" s="610">
        <f>VLOOKUP(B51,'WTAX-CED'!B:N,2,0)</f>
        <v>0</v>
      </c>
      <c r="D51" s="610" t="e">
        <f>VLOOKUP(C51,'WTAX-CED'!C:O,2,0)</f>
        <v>#N/A</v>
      </c>
      <c r="E51" s="611">
        <f>VLOOKUP(B51,'WTAX-CED'!B:N,4,0)</f>
        <v>0</v>
      </c>
      <c r="F51" s="612"/>
      <c r="G51" s="613"/>
      <c r="H51" s="613"/>
      <c r="I51" s="614">
        <f t="shared" si="17"/>
        <v>0</v>
      </c>
      <c r="J51" s="614">
        <f>'WTAX-CED'!N38</f>
        <v>0</v>
      </c>
      <c r="K51" s="615">
        <f t="shared" si="18"/>
        <v>0</v>
      </c>
      <c r="L51" s="616">
        <f>'WTAX-CED'!F38</f>
        <v>0</v>
      </c>
      <c r="M51" s="614">
        <f>'CED - DEDS'!R50</f>
        <v>0</v>
      </c>
      <c r="N51" s="614">
        <f>'CED - DEDS'!X50</f>
        <v>0</v>
      </c>
      <c r="O51" s="614">
        <f>'CED - DEDS'!Y50</f>
        <v>0</v>
      </c>
      <c r="P51" s="614">
        <f>'CED - DEDS'!AE50</f>
        <v>0</v>
      </c>
      <c r="Q51" s="617">
        <f t="shared" si="19"/>
        <v>0</v>
      </c>
      <c r="R51" s="618">
        <f t="shared" si="20"/>
        <v>0</v>
      </c>
      <c r="S51" s="619">
        <f t="shared" si="21"/>
        <v>0</v>
      </c>
      <c r="T51" s="620">
        <f t="shared" si="22"/>
        <v>0</v>
      </c>
      <c r="U51" s="609">
        <f t="shared" si="23"/>
        <v>31</v>
      </c>
      <c r="V51" s="621">
        <f>ROUND('CED - PAY'!I51*0.12,2)</f>
        <v>0</v>
      </c>
      <c r="W51" s="614">
        <f t="shared" si="8"/>
        <v>100</v>
      </c>
      <c r="X51" s="614">
        <f>MIN((I51*0.05)-'CED - DEDS'!Y50,2500)</f>
        <v>0</v>
      </c>
      <c r="Y51" s="615">
        <f t="shared" si="9"/>
        <v>200</v>
      </c>
    </row>
    <row r="52" spans="1:25" ht="18.75" customHeight="1" x14ac:dyDescent="0.25">
      <c r="A52" s="98"/>
      <c r="B52" s="33">
        <f t="shared" si="6"/>
        <v>32</v>
      </c>
      <c r="C52" s="72">
        <f>VLOOKUP(B52,'WTAX-CED'!B:N,2,0)</f>
        <v>0</v>
      </c>
      <c r="D52" s="72" t="e">
        <f>VLOOKUP(C52,'WTAX-CED'!C:O,2,0)</f>
        <v>#N/A</v>
      </c>
      <c r="E52" s="306">
        <f>VLOOKUP(B52,'WTAX-CED'!B:N,4,0)</f>
        <v>0</v>
      </c>
      <c r="F52" s="89"/>
      <c r="G52" s="91"/>
      <c r="H52" s="91"/>
      <c r="I52" s="37">
        <f t="shared" si="17"/>
        <v>0</v>
      </c>
      <c r="J52" s="332">
        <f>'WTAX-CED'!N39</f>
        <v>0</v>
      </c>
      <c r="K52" s="211">
        <f t="shared" si="18"/>
        <v>0</v>
      </c>
      <c r="L52" s="40">
        <f>'WTAX-CED'!F39</f>
        <v>0</v>
      </c>
      <c r="M52" s="37">
        <f>'CED - DEDS'!R51</f>
        <v>0</v>
      </c>
      <c r="N52" s="37">
        <f>'CED - DEDS'!X51</f>
        <v>0</v>
      </c>
      <c r="O52" s="37">
        <f>'CED - DEDS'!Y51</f>
        <v>0</v>
      </c>
      <c r="P52" s="37">
        <f>'CED - DEDS'!AE51</f>
        <v>0</v>
      </c>
      <c r="Q52" s="38">
        <f t="shared" si="19"/>
        <v>0</v>
      </c>
      <c r="R52" s="49">
        <f t="shared" si="20"/>
        <v>0</v>
      </c>
      <c r="S52" s="76">
        <f t="shared" si="21"/>
        <v>0</v>
      </c>
      <c r="T52" s="77">
        <f t="shared" si="22"/>
        <v>0</v>
      </c>
      <c r="U52" s="33">
        <f t="shared" si="23"/>
        <v>32</v>
      </c>
      <c r="V52" s="36">
        <f>ROUND('CED - PAY'!I52*0.12,2)</f>
        <v>0</v>
      </c>
      <c r="W52" s="37">
        <f t="shared" si="8"/>
        <v>100</v>
      </c>
      <c r="X52" s="37">
        <f>MIN((I52*0.05)-'CED - DEDS'!Y51,2500)</f>
        <v>0</v>
      </c>
      <c r="Y52" s="41">
        <f t="shared" si="9"/>
        <v>200</v>
      </c>
    </row>
    <row r="53" spans="1:25" ht="18.75" customHeight="1" x14ac:dyDescent="0.25">
      <c r="A53" s="98"/>
      <c r="B53" s="33">
        <f t="shared" ref="B53:B69" si="24">+B35+1</f>
        <v>16</v>
      </c>
      <c r="C53" s="72">
        <f>VLOOKUP(B53,'WTAX-CED'!B:N,2,0)</f>
        <v>0</v>
      </c>
      <c r="D53" s="72" t="e">
        <f>VLOOKUP(C53,'WTAX-CED'!C:O,2,0)</f>
        <v>#N/A</v>
      </c>
      <c r="E53" s="306">
        <f>VLOOKUP(B53,'WTAX-CED'!B:N,4,0)</f>
        <v>0</v>
      </c>
      <c r="F53" s="89"/>
      <c r="G53" s="91"/>
      <c r="H53" s="91"/>
      <c r="I53" s="37">
        <f t="shared" ref="I53:I69" si="25">SUM(F53:H53)</f>
        <v>0</v>
      </c>
      <c r="J53" s="332">
        <f>'WTAX-CED'!N40</f>
        <v>0</v>
      </c>
      <c r="K53" s="211">
        <f t="shared" ref="K53:K69" si="26">ROUND(I53-J53,2)</f>
        <v>0</v>
      </c>
      <c r="L53" s="40">
        <f>'WTAX-CED'!F40</f>
        <v>0</v>
      </c>
      <c r="M53" s="37">
        <f>'CED - DEDS'!R35</f>
        <v>0</v>
      </c>
      <c r="N53" s="37">
        <f>'CED - DEDS'!X35</f>
        <v>0</v>
      </c>
      <c r="O53" s="37">
        <f>'CED - DEDS'!Y35</f>
        <v>0</v>
      </c>
      <c r="P53" s="37">
        <f>'CED - DEDS'!AE35</f>
        <v>0</v>
      </c>
      <c r="Q53" s="38">
        <f t="shared" ref="Q53:Q69" si="27">ROUND(SUM(L53:P53),2)</f>
        <v>0</v>
      </c>
      <c r="R53" s="49">
        <f t="shared" ref="R53:R69" si="28">K53-Q53</f>
        <v>0</v>
      </c>
      <c r="S53" s="76">
        <f t="shared" ref="S53:S69" si="29">ROUND(R53/2,0)</f>
        <v>0</v>
      </c>
      <c r="T53" s="77">
        <f t="shared" ref="T53:T69" si="30">R53-S53</f>
        <v>0</v>
      </c>
      <c r="U53" s="33">
        <f t="shared" ref="U53:U69" si="31">B53</f>
        <v>16</v>
      </c>
      <c r="V53" s="36">
        <f>ROUND('CED - PAY'!I53*0.12,2)</f>
        <v>0</v>
      </c>
      <c r="W53" s="37">
        <f t="shared" ref="W53:W69" si="32">W35</f>
        <v>100</v>
      </c>
      <c r="X53" s="37">
        <f>MIN((I53*0.05)-'CED - DEDS'!Y35,2500)</f>
        <v>0</v>
      </c>
      <c r="Y53" s="41">
        <f t="shared" ref="Y53:Y69" si="33">Y35</f>
        <v>200</v>
      </c>
    </row>
    <row r="54" spans="1:25" ht="18.75" customHeight="1" x14ac:dyDescent="0.25">
      <c r="A54" s="98"/>
      <c r="B54" s="33">
        <f t="shared" si="24"/>
        <v>17</v>
      </c>
      <c r="C54" s="72">
        <f>VLOOKUP(B54,'WTAX-CED'!B:N,2,0)</f>
        <v>0</v>
      </c>
      <c r="D54" s="72" t="e">
        <f>VLOOKUP(C54,'WTAX-CED'!C:O,2,0)</f>
        <v>#N/A</v>
      </c>
      <c r="E54" s="306">
        <f>VLOOKUP(B54,'WTAX-CED'!B:N,4,0)</f>
        <v>0</v>
      </c>
      <c r="F54" s="89"/>
      <c r="G54" s="91"/>
      <c r="H54" s="91"/>
      <c r="I54" s="37">
        <f t="shared" si="25"/>
        <v>0</v>
      </c>
      <c r="J54" s="332">
        <f>'WTAX-CED'!N41</f>
        <v>0</v>
      </c>
      <c r="K54" s="211">
        <f t="shared" si="26"/>
        <v>0</v>
      </c>
      <c r="L54" s="40">
        <f>'WTAX-CED'!F41</f>
        <v>0</v>
      </c>
      <c r="M54" s="37">
        <f>'CED - DEDS'!R36</f>
        <v>0</v>
      </c>
      <c r="N54" s="37">
        <f>'CED - DEDS'!X36</f>
        <v>0</v>
      </c>
      <c r="O54" s="37">
        <f>'CED - DEDS'!Y36</f>
        <v>0</v>
      </c>
      <c r="P54" s="37">
        <f>'CED - DEDS'!AE36</f>
        <v>0</v>
      </c>
      <c r="Q54" s="38">
        <f t="shared" si="27"/>
        <v>0</v>
      </c>
      <c r="R54" s="49">
        <f t="shared" si="28"/>
        <v>0</v>
      </c>
      <c r="S54" s="76">
        <f t="shared" si="29"/>
        <v>0</v>
      </c>
      <c r="T54" s="77">
        <f t="shared" si="30"/>
        <v>0</v>
      </c>
      <c r="U54" s="33">
        <f t="shared" si="31"/>
        <v>17</v>
      </c>
      <c r="V54" s="36">
        <f>ROUND('CED - PAY'!I54*0.12,2)</f>
        <v>0</v>
      </c>
      <c r="W54" s="37">
        <f t="shared" si="32"/>
        <v>100</v>
      </c>
      <c r="X54" s="37">
        <f>MIN((I54*0.05)-'CED - DEDS'!Y36,2500)</f>
        <v>0</v>
      </c>
      <c r="Y54" s="41">
        <f t="shared" si="33"/>
        <v>200</v>
      </c>
    </row>
    <row r="55" spans="1:25" ht="18.75" customHeight="1" x14ac:dyDescent="0.25">
      <c r="A55" s="98"/>
      <c r="B55" s="33">
        <f t="shared" si="24"/>
        <v>18</v>
      </c>
      <c r="C55" s="72">
        <f>VLOOKUP(B55,'WTAX-CED'!B:N,2,0)</f>
        <v>0</v>
      </c>
      <c r="D55" s="72" t="e">
        <f>VLOOKUP(C55,'WTAX-CED'!C:O,2,0)</f>
        <v>#N/A</v>
      </c>
      <c r="E55" s="306">
        <f>VLOOKUP(B55,'WTAX-CED'!B:N,4,0)</f>
        <v>0</v>
      </c>
      <c r="F55" s="89"/>
      <c r="G55" s="91"/>
      <c r="H55" s="91"/>
      <c r="I55" s="37">
        <f t="shared" si="25"/>
        <v>0</v>
      </c>
      <c r="J55" s="332">
        <f>'WTAX-CED'!N42</f>
        <v>0</v>
      </c>
      <c r="K55" s="211">
        <f t="shared" si="26"/>
        <v>0</v>
      </c>
      <c r="L55" s="40">
        <f>'WTAX-CED'!F42</f>
        <v>0</v>
      </c>
      <c r="M55" s="37">
        <f>'CED - DEDS'!R37</f>
        <v>0</v>
      </c>
      <c r="N55" s="37">
        <f>'CED - DEDS'!X37</f>
        <v>0</v>
      </c>
      <c r="O55" s="37">
        <f>'CED - DEDS'!Y37</f>
        <v>0</v>
      </c>
      <c r="P55" s="37">
        <f>'CED - DEDS'!AE37</f>
        <v>0</v>
      </c>
      <c r="Q55" s="38">
        <f t="shared" si="27"/>
        <v>0</v>
      </c>
      <c r="R55" s="49">
        <f t="shared" si="28"/>
        <v>0</v>
      </c>
      <c r="S55" s="76">
        <f t="shared" si="29"/>
        <v>0</v>
      </c>
      <c r="T55" s="77">
        <f t="shared" si="30"/>
        <v>0</v>
      </c>
      <c r="U55" s="33">
        <f t="shared" si="31"/>
        <v>18</v>
      </c>
      <c r="V55" s="36">
        <f>ROUND('CED - PAY'!I55*0.12,2)</f>
        <v>0</v>
      </c>
      <c r="W55" s="37">
        <f t="shared" si="32"/>
        <v>100</v>
      </c>
      <c r="X55" s="37">
        <f>MIN((I55*0.05)-'CED - DEDS'!Y37,2500)</f>
        <v>0</v>
      </c>
      <c r="Y55" s="41">
        <f t="shared" si="33"/>
        <v>200</v>
      </c>
    </row>
    <row r="56" spans="1:25" ht="18.75" customHeight="1" x14ac:dyDescent="0.25">
      <c r="A56" s="98"/>
      <c r="B56" s="33">
        <f t="shared" si="24"/>
        <v>19</v>
      </c>
      <c r="C56" s="72">
        <f>VLOOKUP(B56,'WTAX-CED'!B:N,2,0)</f>
        <v>0</v>
      </c>
      <c r="D56" s="72" t="e">
        <f>VLOOKUP(C56,'WTAX-CED'!C:O,2,0)</f>
        <v>#N/A</v>
      </c>
      <c r="E56" s="306">
        <f>VLOOKUP(B56,'WTAX-CED'!B:N,4,0)</f>
        <v>0</v>
      </c>
      <c r="F56" s="89"/>
      <c r="G56" s="91"/>
      <c r="H56" s="91"/>
      <c r="I56" s="37">
        <f t="shared" si="25"/>
        <v>0</v>
      </c>
      <c r="J56" s="332">
        <f>'WTAX-CED'!N43</f>
        <v>0</v>
      </c>
      <c r="K56" s="211">
        <f t="shared" si="26"/>
        <v>0</v>
      </c>
      <c r="L56" s="40">
        <f>'WTAX-CED'!F43</f>
        <v>0</v>
      </c>
      <c r="M56" s="37">
        <f>'CED - DEDS'!R38</f>
        <v>0</v>
      </c>
      <c r="N56" s="37">
        <f>'CED - DEDS'!X38</f>
        <v>0</v>
      </c>
      <c r="O56" s="37">
        <f>'CED - DEDS'!Y38</f>
        <v>0</v>
      </c>
      <c r="P56" s="37">
        <f>'CED - DEDS'!AE38</f>
        <v>0</v>
      </c>
      <c r="Q56" s="38">
        <f t="shared" si="27"/>
        <v>0</v>
      </c>
      <c r="R56" s="49">
        <f t="shared" si="28"/>
        <v>0</v>
      </c>
      <c r="S56" s="76">
        <f t="shared" si="29"/>
        <v>0</v>
      </c>
      <c r="T56" s="77">
        <f t="shared" si="30"/>
        <v>0</v>
      </c>
      <c r="U56" s="33">
        <f t="shared" si="31"/>
        <v>19</v>
      </c>
      <c r="V56" s="36">
        <f>ROUND('CED - PAY'!I56*0.12,2)</f>
        <v>0</v>
      </c>
      <c r="W56" s="37">
        <f t="shared" si="32"/>
        <v>100</v>
      </c>
      <c r="X56" s="37">
        <f>MIN((I56*0.05)-'CED - DEDS'!Y38,2500)</f>
        <v>0</v>
      </c>
      <c r="Y56" s="41">
        <f t="shared" si="33"/>
        <v>200</v>
      </c>
    </row>
    <row r="57" spans="1:25" ht="18.75" customHeight="1" x14ac:dyDescent="0.25">
      <c r="A57" s="98"/>
      <c r="B57" s="33">
        <f t="shared" si="24"/>
        <v>20</v>
      </c>
      <c r="C57" s="72">
        <f>VLOOKUP(B57,'WTAX-CED'!B:N,2,0)</f>
        <v>0</v>
      </c>
      <c r="D57" s="72" t="e">
        <f>VLOOKUP(C57,'WTAX-CED'!C:O,2,0)</f>
        <v>#N/A</v>
      </c>
      <c r="E57" s="306">
        <f>VLOOKUP(B57,'WTAX-CED'!B:N,4,0)</f>
        <v>0</v>
      </c>
      <c r="F57" s="89"/>
      <c r="G57" s="91"/>
      <c r="H57" s="91"/>
      <c r="I57" s="37">
        <f t="shared" si="25"/>
        <v>0</v>
      </c>
      <c r="J57" s="332">
        <f>'WTAX-CED'!N44</f>
        <v>0</v>
      </c>
      <c r="K57" s="211">
        <f t="shared" si="26"/>
        <v>0</v>
      </c>
      <c r="L57" s="40">
        <f>'WTAX-CED'!F44</f>
        <v>0</v>
      </c>
      <c r="M57" s="37">
        <f>'CED - DEDS'!R39</f>
        <v>0</v>
      </c>
      <c r="N57" s="37">
        <f>'CED - DEDS'!X39</f>
        <v>0</v>
      </c>
      <c r="O57" s="37">
        <f>'CED - DEDS'!Y39</f>
        <v>0</v>
      </c>
      <c r="P57" s="37">
        <f>'CED - DEDS'!AE39</f>
        <v>0</v>
      </c>
      <c r="Q57" s="38">
        <f t="shared" si="27"/>
        <v>0</v>
      </c>
      <c r="R57" s="49">
        <f t="shared" si="28"/>
        <v>0</v>
      </c>
      <c r="S57" s="76">
        <f t="shared" si="29"/>
        <v>0</v>
      </c>
      <c r="T57" s="77">
        <f t="shared" si="30"/>
        <v>0</v>
      </c>
      <c r="U57" s="33">
        <f t="shared" si="31"/>
        <v>20</v>
      </c>
      <c r="V57" s="36">
        <f>ROUND('CED - PAY'!I57*0.12,2)</f>
        <v>0</v>
      </c>
      <c r="W57" s="37">
        <f t="shared" si="32"/>
        <v>100</v>
      </c>
      <c r="X57" s="37">
        <f>MIN((I57*0.05)-'CED - DEDS'!Y39,2500)</f>
        <v>0</v>
      </c>
      <c r="Y57" s="41">
        <f t="shared" si="33"/>
        <v>200</v>
      </c>
    </row>
    <row r="58" spans="1:25" ht="18.75" customHeight="1" x14ac:dyDescent="0.25">
      <c r="A58" s="98"/>
      <c r="B58" s="33">
        <f t="shared" si="24"/>
        <v>21</v>
      </c>
      <c r="C58" s="72">
        <f>VLOOKUP(B58,'WTAX-CED'!B:N,2,0)</f>
        <v>0</v>
      </c>
      <c r="D58" s="72" t="e">
        <f>VLOOKUP(C58,'WTAX-CED'!C:O,2,0)</f>
        <v>#N/A</v>
      </c>
      <c r="E58" s="306">
        <f>VLOOKUP(B58,'WTAX-CED'!B:N,4,0)</f>
        <v>0</v>
      </c>
      <c r="F58" s="89"/>
      <c r="G58" s="91"/>
      <c r="H58" s="91"/>
      <c r="I58" s="37">
        <f t="shared" si="25"/>
        <v>0</v>
      </c>
      <c r="J58" s="332">
        <f>'WTAX-CED'!N45</f>
        <v>0</v>
      </c>
      <c r="K58" s="211">
        <f t="shared" si="26"/>
        <v>0</v>
      </c>
      <c r="L58" s="40">
        <f>'WTAX-CED'!F45</f>
        <v>0</v>
      </c>
      <c r="M58" s="37">
        <f>'CED - DEDS'!R40</f>
        <v>0</v>
      </c>
      <c r="N58" s="37">
        <f>'CED - DEDS'!X40</f>
        <v>0</v>
      </c>
      <c r="O58" s="37">
        <f>'CED - DEDS'!Y40</f>
        <v>0</v>
      </c>
      <c r="P58" s="37">
        <f>'CED - DEDS'!AE40</f>
        <v>0</v>
      </c>
      <c r="Q58" s="38">
        <f t="shared" si="27"/>
        <v>0</v>
      </c>
      <c r="R58" s="49">
        <f t="shared" si="28"/>
        <v>0</v>
      </c>
      <c r="S58" s="76">
        <f t="shared" si="29"/>
        <v>0</v>
      </c>
      <c r="T58" s="77">
        <f t="shared" si="30"/>
        <v>0</v>
      </c>
      <c r="U58" s="33">
        <f t="shared" si="31"/>
        <v>21</v>
      </c>
      <c r="V58" s="36">
        <f>ROUND('CED - PAY'!I58*0.12,2)</f>
        <v>0</v>
      </c>
      <c r="W58" s="37">
        <f t="shared" si="32"/>
        <v>100</v>
      </c>
      <c r="X58" s="37">
        <f>MIN((I58*0.05)-'CED - DEDS'!Y40,2500)</f>
        <v>0</v>
      </c>
      <c r="Y58" s="41">
        <f t="shared" si="33"/>
        <v>200</v>
      </c>
    </row>
    <row r="59" spans="1:25" ht="18.75" customHeight="1" x14ac:dyDescent="0.25">
      <c r="A59" s="98"/>
      <c r="B59" s="33">
        <f t="shared" si="24"/>
        <v>22</v>
      </c>
      <c r="C59" s="72">
        <f>VLOOKUP(B59,'WTAX-CED'!B:N,2,0)</f>
        <v>0</v>
      </c>
      <c r="D59" s="72" t="e">
        <f>VLOOKUP(C59,'WTAX-CED'!C:O,2,0)</f>
        <v>#N/A</v>
      </c>
      <c r="E59" s="306">
        <f>VLOOKUP(B59,'WTAX-CED'!B:N,4,0)</f>
        <v>0</v>
      </c>
      <c r="F59" s="89"/>
      <c r="G59" s="91"/>
      <c r="H59" s="91"/>
      <c r="I59" s="37">
        <f t="shared" si="25"/>
        <v>0</v>
      </c>
      <c r="J59" s="332">
        <f>'WTAX-CED'!N46</f>
        <v>0</v>
      </c>
      <c r="K59" s="211">
        <f t="shared" si="26"/>
        <v>0</v>
      </c>
      <c r="L59" s="40">
        <f>'WTAX-CED'!F46</f>
        <v>0</v>
      </c>
      <c r="M59" s="37">
        <f>'CED - DEDS'!R41</f>
        <v>0</v>
      </c>
      <c r="N59" s="37">
        <f>'CED - DEDS'!X41</f>
        <v>0</v>
      </c>
      <c r="O59" s="37">
        <f>'CED - DEDS'!Y41</f>
        <v>0</v>
      </c>
      <c r="P59" s="37">
        <f>'CED - DEDS'!AE41</f>
        <v>0</v>
      </c>
      <c r="Q59" s="38">
        <f t="shared" si="27"/>
        <v>0</v>
      </c>
      <c r="R59" s="49">
        <f t="shared" si="28"/>
        <v>0</v>
      </c>
      <c r="S59" s="76">
        <f t="shared" si="29"/>
        <v>0</v>
      </c>
      <c r="T59" s="77">
        <f t="shared" si="30"/>
        <v>0</v>
      </c>
      <c r="U59" s="33">
        <f t="shared" si="31"/>
        <v>22</v>
      </c>
      <c r="V59" s="36">
        <f>ROUND('CED - PAY'!I59*0.12,2)</f>
        <v>0</v>
      </c>
      <c r="W59" s="37">
        <f t="shared" si="32"/>
        <v>100</v>
      </c>
      <c r="X59" s="37">
        <f>MIN((I59*0.05)-'CED - DEDS'!Y41,2500)</f>
        <v>0</v>
      </c>
      <c r="Y59" s="41">
        <f t="shared" si="33"/>
        <v>200</v>
      </c>
    </row>
    <row r="60" spans="1:25" ht="18.75" customHeight="1" x14ac:dyDescent="0.25">
      <c r="A60" s="98"/>
      <c r="B60" s="33">
        <f t="shared" si="24"/>
        <v>23</v>
      </c>
      <c r="C60" s="72">
        <f>VLOOKUP(B60,'WTAX-CED'!B:N,2,0)</f>
        <v>0</v>
      </c>
      <c r="D60" s="72" t="e">
        <f>VLOOKUP(C60,'WTAX-CED'!C:O,2,0)</f>
        <v>#N/A</v>
      </c>
      <c r="E60" s="306">
        <f>VLOOKUP(B60,'WTAX-CED'!B:N,4,0)</f>
        <v>0</v>
      </c>
      <c r="F60" s="89"/>
      <c r="G60" s="91"/>
      <c r="H60" s="91"/>
      <c r="I60" s="37">
        <f t="shared" si="25"/>
        <v>0</v>
      </c>
      <c r="J60" s="332">
        <f>'WTAX-CED'!N47</f>
        <v>0</v>
      </c>
      <c r="K60" s="211">
        <f t="shared" si="26"/>
        <v>0</v>
      </c>
      <c r="L60" s="40">
        <f>'WTAX-CED'!F47</f>
        <v>0</v>
      </c>
      <c r="M60" s="37">
        <f>'CED - DEDS'!R42</f>
        <v>0</v>
      </c>
      <c r="N60" s="37">
        <f>'CED - DEDS'!X42</f>
        <v>0</v>
      </c>
      <c r="O60" s="37">
        <f>'CED - DEDS'!Y42</f>
        <v>0</v>
      </c>
      <c r="P60" s="37">
        <f>'CED - DEDS'!AE42</f>
        <v>0</v>
      </c>
      <c r="Q60" s="38">
        <f t="shared" si="27"/>
        <v>0</v>
      </c>
      <c r="R60" s="49">
        <f t="shared" si="28"/>
        <v>0</v>
      </c>
      <c r="S60" s="76">
        <f t="shared" si="29"/>
        <v>0</v>
      </c>
      <c r="T60" s="77">
        <f t="shared" si="30"/>
        <v>0</v>
      </c>
      <c r="U60" s="33">
        <f t="shared" si="31"/>
        <v>23</v>
      </c>
      <c r="V60" s="36">
        <f>ROUND('CED - PAY'!I60*0.12,2)</f>
        <v>0</v>
      </c>
      <c r="W60" s="37">
        <f t="shared" si="32"/>
        <v>100</v>
      </c>
      <c r="X60" s="37">
        <f>MIN((I60*0.05)-'CED - DEDS'!Y42,2500)</f>
        <v>0</v>
      </c>
      <c r="Y60" s="41">
        <f t="shared" si="33"/>
        <v>200</v>
      </c>
    </row>
    <row r="61" spans="1:25" ht="18.75" customHeight="1" x14ac:dyDescent="0.25">
      <c r="A61" s="98"/>
      <c r="B61" s="33">
        <f t="shared" si="24"/>
        <v>24</v>
      </c>
      <c r="C61" s="72">
        <f>VLOOKUP(B61,'WTAX-CED'!B:N,2,0)</f>
        <v>0</v>
      </c>
      <c r="D61" s="72" t="e">
        <f>VLOOKUP(C61,'WTAX-CED'!C:O,2,0)</f>
        <v>#N/A</v>
      </c>
      <c r="E61" s="306">
        <f>VLOOKUP(B61,'WTAX-CED'!B:N,4,0)</f>
        <v>0</v>
      </c>
      <c r="F61" s="89"/>
      <c r="G61" s="91"/>
      <c r="H61" s="91"/>
      <c r="I61" s="37">
        <f t="shared" si="25"/>
        <v>0</v>
      </c>
      <c r="J61" s="332">
        <f>'WTAX-CED'!N48</f>
        <v>0</v>
      </c>
      <c r="K61" s="211">
        <f t="shared" si="26"/>
        <v>0</v>
      </c>
      <c r="L61" s="40">
        <f>'WTAX-CED'!F48</f>
        <v>0</v>
      </c>
      <c r="M61" s="37">
        <f>'CED - DEDS'!R43</f>
        <v>0</v>
      </c>
      <c r="N61" s="37">
        <f>'CED - DEDS'!X43</f>
        <v>0</v>
      </c>
      <c r="O61" s="37">
        <f>'CED - DEDS'!Y43</f>
        <v>0</v>
      </c>
      <c r="P61" s="37">
        <f>'CED - DEDS'!AE43</f>
        <v>0</v>
      </c>
      <c r="Q61" s="38">
        <f t="shared" si="27"/>
        <v>0</v>
      </c>
      <c r="R61" s="49">
        <f t="shared" si="28"/>
        <v>0</v>
      </c>
      <c r="S61" s="76">
        <f t="shared" si="29"/>
        <v>0</v>
      </c>
      <c r="T61" s="77">
        <f t="shared" si="30"/>
        <v>0</v>
      </c>
      <c r="U61" s="33">
        <f t="shared" si="31"/>
        <v>24</v>
      </c>
      <c r="V61" s="36">
        <f>ROUND('CED - PAY'!I61*0.12,2)</f>
        <v>0</v>
      </c>
      <c r="W61" s="37">
        <f t="shared" si="32"/>
        <v>100</v>
      </c>
      <c r="X61" s="37">
        <f>MIN((I61*0.05)-'CED - DEDS'!Y43,2500)</f>
        <v>0</v>
      </c>
      <c r="Y61" s="41">
        <f t="shared" si="33"/>
        <v>200</v>
      </c>
    </row>
    <row r="62" spans="1:25" ht="18.75" customHeight="1" x14ac:dyDescent="0.25">
      <c r="A62" s="98"/>
      <c r="B62" s="33">
        <f t="shared" si="24"/>
        <v>25</v>
      </c>
      <c r="C62" s="72">
        <f>VLOOKUP(B62,'WTAX-CED'!B:N,2,0)</f>
        <v>0</v>
      </c>
      <c r="D62" s="72" t="e">
        <f>VLOOKUP(C62,'WTAX-CED'!C:O,2,0)</f>
        <v>#N/A</v>
      </c>
      <c r="E62" s="306">
        <f>VLOOKUP(B62,'WTAX-CED'!B:N,4,0)</f>
        <v>0</v>
      </c>
      <c r="F62" s="89"/>
      <c r="G62" s="91"/>
      <c r="H62" s="91"/>
      <c r="I62" s="37">
        <f t="shared" si="25"/>
        <v>0</v>
      </c>
      <c r="J62" s="332">
        <f>'WTAX-CED'!N49</f>
        <v>0</v>
      </c>
      <c r="K62" s="211">
        <f t="shared" si="26"/>
        <v>0</v>
      </c>
      <c r="L62" s="40">
        <f>'WTAX-CED'!F49</f>
        <v>0</v>
      </c>
      <c r="M62" s="37">
        <f>'CED - DEDS'!R44</f>
        <v>0</v>
      </c>
      <c r="N62" s="37">
        <f>'CED - DEDS'!X44</f>
        <v>0</v>
      </c>
      <c r="O62" s="37">
        <f>'CED - DEDS'!Y44</f>
        <v>0</v>
      </c>
      <c r="P62" s="37">
        <f>'CED - DEDS'!AE44</f>
        <v>0</v>
      </c>
      <c r="Q62" s="38">
        <f t="shared" si="27"/>
        <v>0</v>
      </c>
      <c r="R62" s="49">
        <f t="shared" si="28"/>
        <v>0</v>
      </c>
      <c r="S62" s="76">
        <f t="shared" si="29"/>
        <v>0</v>
      </c>
      <c r="T62" s="77">
        <f t="shared" si="30"/>
        <v>0</v>
      </c>
      <c r="U62" s="33">
        <f t="shared" si="31"/>
        <v>25</v>
      </c>
      <c r="V62" s="36">
        <f>ROUND('CED - PAY'!I62*0.12,2)</f>
        <v>0</v>
      </c>
      <c r="W62" s="37">
        <f t="shared" si="32"/>
        <v>100</v>
      </c>
      <c r="X62" s="37">
        <f>MIN((I62*0.05)-'CED - DEDS'!Y44,2500)</f>
        <v>0</v>
      </c>
      <c r="Y62" s="41">
        <f t="shared" si="33"/>
        <v>200</v>
      </c>
    </row>
    <row r="63" spans="1:25" ht="18.75" customHeight="1" x14ac:dyDescent="0.25">
      <c r="A63" s="98"/>
      <c r="B63" s="33">
        <f t="shared" si="24"/>
        <v>26</v>
      </c>
      <c r="C63" s="72">
        <f>VLOOKUP(B63,'WTAX-CED'!B:N,2,0)</f>
        <v>0</v>
      </c>
      <c r="D63" s="72" t="e">
        <f>VLOOKUP(C63,'WTAX-CED'!C:O,2,0)</f>
        <v>#N/A</v>
      </c>
      <c r="E63" s="306">
        <f>VLOOKUP(B63,'WTAX-CED'!B:N,4,0)</f>
        <v>0</v>
      </c>
      <c r="F63" s="89"/>
      <c r="G63" s="91"/>
      <c r="H63" s="91"/>
      <c r="I63" s="37">
        <f t="shared" si="25"/>
        <v>0</v>
      </c>
      <c r="J63" s="332">
        <f>'WTAX-CED'!N50</f>
        <v>0</v>
      </c>
      <c r="K63" s="211">
        <f t="shared" si="26"/>
        <v>0</v>
      </c>
      <c r="L63" s="40">
        <f>'WTAX-CED'!F50</f>
        <v>0</v>
      </c>
      <c r="M63" s="37">
        <f>'CED - DEDS'!R45</f>
        <v>0</v>
      </c>
      <c r="N63" s="37">
        <f>'CED - DEDS'!X45</f>
        <v>0</v>
      </c>
      <c r="O63" s="37">
        <f>'CED - DEDS'!Y45</f>
        <v>0</v>
      </c>
      <c r="P63" s="37">
        <f>'CED - DEDS'!AE45</f>
        <v>0</v>
      </c>
      <c r="Q63" s="38">
        <f t="shared" si="27"/>
        <v>0</v>
      </c>
      <c r="R63" s="49">
        <f t="shared" si="28"/>
        <v>0</v>
      </c>
      <c r="S63" s="76">
        <f t="shared" si="29"/>
        <v>0</v>
      </c>
      <c r="T63" s="77">
        <f t="shared" si="30"/>
        <v>0</v>
      </c>
      <c r="U63" s="33">
        <f t="shared" si="31"/>
        <v>26</v>
      </c>
      <c r="V63" s="36">
        <f>ROUND('CED - PAY'!I63*0.12,2)</f>
        <v>0</v>
      </c>
      <c r="W63" s="37">
        <f t="shared" si="32"/>
        <v>100</v>
      </c>
      <c r="X63" s="37">
        <f>MIN((I63*0.05)-'CED - DEDS'!Y45,2500)</f>
        <v>0</v>
      </c>
      <c r="Y63" s="41">
        <f t="shared" si="33"/>
        <v>200</v>
      </c>
    </row>
    <row r="64" spans="1:25" ht="18.75" customHeight="1" x14ac:dyDescent="0.25">
      <c r="A64" s="98"/>
      <c r="B64" s="33">
        <f t="shared" si="24"/>
        <v>27</v>
      </c>
      <c r="C64" s="72">
        <f>VLOOKUP(B64,'WTAX-CED'!B:N,2,0)</f>
        <v>0</v>
      </c>
      <c r="D64" s="72" t="e">
        <f>VLOOKUP(C64,'WTAX-CED'!C:O,2,0)</f>
        <v>#N/A</v>
      </c>
      <c r="E64" s="306">
        <f>VLOOKUP(B64,'WTAX-CED'!B:N,4,0)</f>
        <v>0</v>
      </c>
      <c r="F64" s="89"/>
      <c r="G64" s="91"/>
      <c r="H64" s="91"/>
      <c r="I64" s="37">
        <f t="shared" si="25"/>
        <v>0</v>
      </c>
      <c r="J64" s="332">
        <f>'WTAX-CED'!N51</f>
        <v>0</v>
      </c>
      <c r="K64" s="211">
        <f t="shared" si="26"/>
        <v>0</v>
      </c>
      <c r="L64" s="40">
        <f>'WTAX-CED'!F51</f>
        <v>0</v>
      </c>
      <c r="M64" s="37">
        <f>'CED - DEDS'!R46</f>
        <v>0</v>
      </c>
      <c r="N64" s="37">
        <f>'CED - DEDS'!X46</f>
        <v>0</v>
      </c>
      <c r="O64" s="37">
        <f>'CED - DEDS'!Y46</f>
        <v>0</v>
      </c>
      <c r="P64" s="37">
        <f>'CED - DEDS'!AE46</f>
        <v>0</v>
      </c>
      <c r="Q64" s="38">
        <f t="shared" si="27"/>
        <v>0</v>
      </c>
      <c r="R64" s="49">
        <f t="shared" si="28"/>
        <v>0</v>
      </c>
      <c r="S64" s="76">
        <f t="shared" si="29"/>
        <v>0</v>
      </c>
      <c r="T64" s="77">
        <f t="shared" si="30"/>
        <v>0</v>
      </c>
      <c r="U64" s="33">
        <f t="shared" si="31"/>
        <v>27</v>
      </c>
      <c r="V64" s="36">
        <f>ROUND('CED - PAY'!I64*0.12,2)</f>
        <v>0</v>
      </c>
      <c r="W64" s="37">
        <f t="shared" si="32"/>
        <v>100</v>
      </c>
      <c r="X64" s="37">
        <f>MIN((I64*0.05)-'CED - DEDS'!Y46,2500)</f>
        <v>0</v>
      </c>
      <c r="Y64" s="41">
        <f t="shared" si="33"/>
        <v>200</v>
      </c>
    </row>
    <row r="65" spans="1:26" ht="18.75" customHeight="1" x14ac:dyDescent="0.25">
      <c r="A65" s="98"/>
      <c r="B65" s="33">
        <f t="shared" si="24"/>
        <v>28</v>
      </c>
      <c r="C65" s="72">
        <f>VLOOKUP(B65,'WTAX-CED'!B:N,2,0)</f>
        <v>0</v>
      </c>
      <c r="D65" s="72" t="e">
        <f>VLOOKUP(C65,'WTAX-CED'!C:O,2,0)</f>
        <v>#N/A</v>
      </c>
      <c r="E65" s="306">
        <f>VLOOKUP(B65,'WTAX-CED'!B:N,4,0)</f>
        <v>0</v>
      </c>
      <c r="F65" s="89"/>
      <c r="G65" s="91"/>
      <c r="H65" s="91"/>
      <c r="I65" s="37">
        <f t="shared" si="25"/>
        <v>0</v>
      </c>
      <c r="J65" s="332">
        <f>'WTAX-CED'!N52</f>
        <v>0</v>
      </c>
      <c r="K65" s="211">
        <f t="shared" si="26"/>
        <v>0</v>
      </c>
      <c r="L65" s="40">
        <f>'WTAX-CED'!F52</f>
        <v>0</v>
      </c>
      <c r="M65" s="37">
        <f>'CED - DEDS'!R47</f>
        <v>0</v>
      </c>
      <c r="N65" s="37">
        <f>'CED - DEDS'!X47</f>
        <v>0</v>
      </c>
      <c r="O65" s="37">
        <f>'CED - DEDS'!Y47</f>
        <v>0</v>
      </c>
      <c r="P65" s="37">
        <f>'CED - DEDS'!AE47</f>
        <v>0</v>
      </c>
      <c r="Q65" s="38">
        <f t="shared" si="27"/>
        <v>0</v>
      </c>
      <c r="R65" s="49">
        <f t="shared" si="28"/>
        <v>0</v>
      </c>
      <c r="S65" s="76">
        <f t="shared" si="29"/>
        <v>0</v>
      </c>
      <c r="T65" s="77">
        <f t="shared" si="30"/>
        <v>0</v>
      </c>
      <c r="U65" s="33">
        <f t="shared" si="31"/>
        <v>28</v>
      </c>
      <c r="V65" s="36">
        <f>ROUND('CED - PAY'!I65*0.12,2)</f>
        <v>0</v>
      </c>
      <c r="W65" s="37">
        <f t="shared" si="32"/>
        <v>100</v>
      </c>
      <c r="X65" s="37">
        <f>MIN((I65*0.05)-'CED - DEDS'!Y47,2500)</f>
        <v>0</v>
      </c>
      <c r="Y65" s="41">
        <f t="shared" si="33"/>
        <v>200</v>
      </c>
    </row>
    <row r="66" spans="1:26" ht="18.75" customHeight="1" x14ac:dyDescent="0.25">
      <c r="A66" s="98"/>
      <c r="B66" s="33">
        <f t="shared" si="24"/>
        <v>29</v>
      </c>
      <c r="C66" s="72">
        <f>VLOOKUP(B66,'WTAX-CED'!B:N,2,0)</f>
        <v>0</v>
      </c>
      <c r="D66" s="72" t="e">
        <f>VLOOKUP(C66,'WTAX-CED'!C:O,2,0)</f>
        <v>#N/A</v>
      </c>
      <c r="E66" s="306">
        <f>VLOOKUP(B66,'WTAX-CED'!B:N,4,0)</f>
        <v>0</v>
      </c>
      <c r="F66" s="89"/>
      <c r="G66" s="91"/>
      <c r="H66" s="91"/>
      <c r="I66" s="37">
        <f t="shared" si="25"/>
        <v>0</v>
      </c>
      <c r="J66" s="332">
        <f>'WTAX-CED'!N53</f>
        <v>0</v>
      </c>
      <c r="K66" s="211">
        <f t="shared" si="26"/>
        <v>0</v>
      </c>
      <c r="L66" s="40">
        <f>'WTAX-CED'!F53</f>
        <v>0</v>
      </c>
      <c r="M66" s="37">
        <f>'CED - DEDS'!R48</f>
        <v>0</v>
      </c>
      <c r="N66" s="37">
        <f>'CED - DEDS'!X48</f>
        <v>0</v>
      </c>
      <c r="O66" s="37">
        <f>'CED - DEDS'!Y48</f>
        <v>0</v>
      </c>
      <c r="P66" s="37">
        <f>'CED - DEDS'!AE48</f>
        <v>0</v>
      </c>
      <c r="Q66" s="38">
        <f t="shared" si="27"/>
        <v>0</v>
      </c>
      <c r="R66" s="49">
        <f t="shared" si="28"/>
        <v>0</v>
      </c>
      <c r="S66" s="76">
        <f t="shared" si="29"/>
        <v>0</v>
      </c>
      <c r="T66" s="77">
        <f t="shared" si="30"/>
        <v>0</v>
      </c>
      <c r="U66" s="33">
        <f t="shared" si="31"/>
        <v>29</v>
      </c>
      <c r="V66" s="36">
        <f>ROUND('CED - PAY'!I66*0.12,2)</f>
        <v>0</v>
      </c>
      <c r="W66" s="37">
        <f t="shared" si="32"/>
        <v>100</v>
      </c>
      <c r="X66" s="37">
        <f>MIN((I66*0.05)-'CED - DEDS'!Y48,2500)</f>
        <v>0</v>
      </c>
      <c r="Y66" s="41">
        <f t="shared" si="33"/>
        <v>200</v>
      </c>
    </row>
    <row r="67" spans="1:26" ht="18.75" customHeight="1" x14ac:dyDescent="0.25">
      <c r="A67" s="98"/>
      <c r="B67" s="33">
        <f t="shared" si="24"/>
        <v>30</v>
      </c>
      <c r="C67" s="72">
        <f>VLOOKUP(B67,'WTAX-CED'!B:N,2,0)</f>
        <v>0</v>
      </c>
      <c r="D67" s="72" t="e">
        <f>VLOOKUP(C67,'WTAX-CED'!C:O,2,0)</f>
        <v>#N/A</v>
      </c>
      <c r="E67" s="306">
        <f>VLOOKUP(B67,'WTAX-CED'!B:N,4,0)</f>
        <v>0</v>
      </c>
      <c r="F67" s="89"/>
      <c r="G67" s="91"/>
      <c r="H67" s="91"/>
      <c r="I67" s="37">
        <f t="shared" si="25"/>
        <v>0</v>
      </c>
      <c r="J67" s="332">
        <f>'WTAX-CED'!N54</f>
        <v>0</v>
      </c>
      <c r="K67" s="211">
        <f t="shared" si="26"/>
        <v>0</v>
      </c>
      <c r="L67" s="40">
        <f>'WTAX-CED'!F54</f>
        <v>0</v>
      </c>
      <c r="M67" s="37">
        <f>'CED - DEDS'!R49</f>
        <v>0</v>
      </c>
      <c r="N67" s="37">
        <f>'CED - DEDS'!X49</f>
        <v>0</v>
      </c>
      <c r="O67" s="37">
        <f>'CED - DEDS'!Y49</f>
        <v>0</v>
      </c>
      <c r="P67" s="37">
        <f>'CED - DEDS'!AE49</f>
        <v>0</v>
      </c>
      <c r="Q67" s="38">
        <f t="shared" si="27"/>
        <v>0</v>
      </c>
      <c r="R67" s="49">
        <f t="shared" si="28"/>
        <v>0</v>
      </c>
      <c r="S67" s="76">
        <f t="shared" si="29"/>
        <v>0</v>
      </c>
      <c r="T67" s="77">
        <f t="shared" si="30"/>
        <v>0</v>
      </c>
      <c r="U67" s="33">
        <f t="shared" si="31"/>
        <v>30</v>
      </c>
      <c r="V67" s="36">
        <f>ROUND('CED - PAY'!I67*0.12,2)</f>
        <v>0</v>
      </c>
      <c r="W67" s="37">
        <f t="shared" si="32"/>
        <v>100</v>
      </c>
      <c r="X67" s="37">
        <f>MIN((I67*0.05)-'CED - DEDS'!Y49,2500)</f>
        <v>0</v>
      </c>
      <c r="Y67" s="41">
        <f t="shared" si="33"/>
        <v>200</v>
      </c>
    </row>
    <row r="68" spans="1:26" ht="18.75" customHeight="1" x14ac:dyDescent="0.25">
      <c r="A68" s="98"/>
      <c r="B68" s="33">
        <f t="shared" si="24"/>
        <v>31</v>
      </c>
      <c r="C68" s="72">
        <f>VLOOKUP(B68,'WTAX-CED'!B:N,2,0)</f>
        <v>0</v>
      </c>
      <c r="D68" s="72" t="e">
        <f>VLOOKUP(C68,'WTAX-CED'!C:O,2,0)</f>
        <v>#N/A</v>
      </c>
      <c r="E68" s="306">
        <f>VLOOKUP(B68,'WTAX-CED'!B:N,4,0)</f>
        <v>0</v>
      </c>
      <c r="F68" s="89"/>
      <c r="G68" s="91"/>
      <c r="H68" s="91"/>
      <c r="I68" s="37">
        <f t="shared" si="25"/>
        <v>0</v>
      </c>
      <c r="J68" s="332">
        <f>'WTAX-CED'!N55</f>
        <v>0</v>
      </c>
      <c r="K68" s="211">
        <f t="shared" si="26"/>
        <v>0</v>
      </c>
      <c r="L68" s="40">
        <f>'WTAX-CED'!F55</f>
        <v>0</v>
      </c>
      <c r="M68" s="37">
        <f>'CED - DEDS'!R50</f>
        <v>0</v>
      </c>
      <c r="N68" s="37">
        <f>'CED - DEDS'!X50</f>
        <v>0</v>
      </c>
      <c r="O68" s="37">
        <f>'CED - DEDS'!Y50</f>
        <v>0</v>
      </c>
      <c r="P68" s="37">
        <f>'CED - DEDS'!AE50</f>
        <v>0</v>
      </c>
      <c r="Q68" s="38">
        <f t="shared" si="27"/>
        <v>0</v>
      </c>
      <c r="R68" s="49">
        <f t="shared" si="28"/>
        <v>0</v>
      </c>
      <c r="S68" s="76">
        <f t="shared" si="29"/>
        <v>0</v>
      </c>
      <c r="T68" s="77">
        <f t="shared" si="30"/>
        <v>0</v>
      </c>
      <c r="U68" s="33">
        <f t="shared" si="31"/>
        <v>31</v>
      </c>
      <c r="V68" s="36">
        <f>ROUND('CED - PAY'!I68*0.12,2)</f>
        <v>0</v>
      </c>
      <c r="W68" s="37">
        <f t="shared" si="32"/>
        <v>100</v>
      </c>
      <c r="X68" s="37">
        <f>MIN((I68*0.05)-'CED - DEDS'!Y50,2500)</f>
        <v>0</v>
      </c>
      <c r="Y68" s="41">
        <f t="shared" si="33"/>
        <v>200</v>
      </c>
    </row>
    <row r="69" spans="1:26" ht="18.75" customHeight="1" x14ac:dyDescent="0.25">
      <c r="A69" s="98"/>
      <c r="B69" s="33">
        <f t="shared" si="24"/>
        <v>32</v>
      </c>
      <c r="C69" s="72">
        <f>VLOOKUP(B69,'WTAX-CED'!B:N,2,0)</f>
        <v>0</v>
      </c>
      <c r="D69" s="72" t="e">
        <f>VLOOKUP(C69,'WTAX-CED'!C:O,2,0)</f>
        <v>#N/A</v>
      </c>
      <c r="E69" s="306">
        <f>VLOOKUP(B69,'WTAX-CED'!B:N,4,0)</f>
        <v>0</v>
      </c>
      <c r="F69" s="89"/>
      <c r="G69" s="91"/>
      <c r="H69" s="91"/>
      <c r="I69" s="37">
        <f t="shared" si="25"/>
        <v>0</v>
      </c>
      <c r="J69" s="332">
        <f>'WTAX-CED'!N56</f>
        <v>0</v>
      </c>
      <c r="K69" s="211">
        <f t="shared" si="26"/>
        <v>0</v>
      </c>
      <c r="L69" s="40">
        <f>'WTAX-CED'!F56</f>
        <v>0</v>
      </c>
      <c r="M69" s="37">
        <f>'CED - DEDS'!R51</f>
        <v>0</v>
      </c>
      <c r="N69" s="37">
        <f>'CED - DEDS'!X51</f>
        <v>0</v>
      </c>
      <c r="O69" s="37">
        <f>'CED - DEDS'!Y51</f>
        <v>0</v>
      </c>
      <c r="P69" s="37">
        <f>'CED - DEDS'!AE51</f>
        <v>0</v>
      </c>
      <c r="Q69" s="38">
        <f t="shared" si="27"/>
        <v>0</v>
      </c>
      <c r="R69" s="49">
        <f t="shared" si="28"/>
        <v>0</v>
      </c>
      <c r="S69" s="76">
        <f t="shared" si="29"/>
        <v>0</v>
      </c>
      <c r="T69" s="77">
        <f t="shared" si="30"/>
        <v>0</v>
      </c>
      <c r="U69" s="33">
        <f t="shared" si="31"/>
        <v>32</v>
      </c>
      <c r="V69" s="36">
        <f>ROUND('CED - PAY'!I69*0.12,2)</f>
        <v>0</v>
      </c>
      <c r="W69" s="37">
        <f t="shared" si="32"/>
        <v>100</v>
      </c>
      <c r="X69" s="37">
        <f>MIN((I69*0.05)-'CED - DEDS'!Y51,2500)</f>
        <v>0</v>
      </c>
      <c r="Y69" s="41">
        <f t="shared" si="33"/>
        <v>200</v>
      </c>
    </row>
    <row r="70" spans="1:26" ht="18.75" customHeight="1" x14ac:dyDescent="0.25">
      <c r="A70" s="98"/>
      <c r="B70" s="33">
        <f>+B52+1</f>
        <v>33</v>
      </c>
      <c r="C70" s="72">
        <f>VLOOKUP(B70,'WTAX-CED'!B:N,2,0)</f>
        <v>0</v>
      </c>
      <c r="D70" s="72" t="e">
        <f>VLOOKUP(C70,'WTAX-CED'!C:O,2,0)</f>
        <v>#N/A</v>
      </c>
      <c r="E70" s="306">
        <f>VLOOKUP(B70,'WTAX-CED'!B:N,4,0)</f>
        <v>0</v>
      </c>
      <c r="F70" s="89"/>
      <c r="G70" s="91"/>
      <c r="H70" s="91"/>
      <c r="I70" s="37">
        <f t="shared" si="17"/>
        <v>0</v>
      </c>
      <c r="J70" s="332">
        <f>'WTAX-CED'!N57</f>
        <v>0</v>
      </c>
      <c r="K70" s="211">
        <f t="shared" si="18"/>
        <v>0</v>
      </c>
      <c r="L70" s="40">
        <f>'WTAX-CED'!F57</f>
        <v>0</v>
      </c>
      <c r="M70" s="37">
        <f>'CED - DEDS'!R69</f>
        <v>0</v>
      </c>
      <c r="N70" s="37">
        <f>'CED - DEDS'!X69</f>
        <v>0</v>
      </c>
      <c r="O70" s="37">
        <f>'CED - DEDS'!Y69</f>
        <v>0</v>
      </c>
      <c r="P70" s="37">
        <f>'CED - DEDS'!AE69</f>
        <v>0</v>
      </c>
      <c r="Q70" s="38">
        <f t="shared" si="19"/>
        <v>0</v>
      </c>
      <c r="R70" s="49">
        <f t="shared" si="20"/>
        <v>0</v>
      </c>
      <c r="S70" s="76">
        <f t="shared" si="21"/>
        <v>0</v>
      </c>
      <c r="T70" s="77">
        <f t="shared" si="22"/>
        <v>0</v>
      </c>
      <c r="U70" s="33">
        <f t="shared" si="23"/>
        <v>33</v>
      </c>
      <c r="V70" s="36">
        <f>ROUND('CED - PAY'!I70*0.12,2)</f>
        <v>0</v>
      </c>
      <c r="W70" s="37">
        <f>W52</f>
        <v>100</v>
      </c>
      <c r="X70" s="37">
        <f>MIN((I70*0.05)-'CED - DEDS'!Y69,2500)</f>
        <v>0</v>
      </c>
      <c r="Y70" s="41">
        <f>Y52</f>
        <v>200</v>
      </c>
    </row>
    <row r="71" spans="1:26" ht="18.75" customHeight="1" x14ac:dyDescent="0.25">
      <c r="A71" s="98"/>
      <c r="B71" s="63"/>
      <c r="C71" s="64"/>
      <c r="D71" s="64"/>
      <c r="E71" s="63"/>
      <c r="F71" s="89"/>
      <c r="G71" s="91"/>
      <c r="H71" s="91"/>
      <c r="I71" s="66"/>
      <c r="J71" s="333"/>
      <c r="K71" s="212"/>
      <c r="L71" s="68"/>
      <c r="M71" s="66"/>
      <c r="N71" s="66"/>
      <c r="O71" s="66"/>
      <c r="P71" s="66"/>
      <c r="Q71" s="69"/>
      <c r="R71" s="70"/>
      <c r="S71" s="68"/>
      <c r="T71" s="71"/>
      <c r="U71" s="63"/>
      <c r="V71" s="65"/>
      <c r="W71" s="66"/>
      <c r="X71" s="66"/>
      <c r="Y71" s="71"/>
    </row>
    <row r="72" spans="1:26" ht="18.75" customHeight="1" thickBot="1" x14ac:dyDescent="0.3">
      <c r="A72" s="98"/>
      <c r="B72" s="64"/>
      <c r="C72" s="64"/>
      <c r="D72" s="64"/>
      <c r="E72" s="63"/>
      <c r="F72" s="92">
        <f>SUM(F21:F71)</f>
        <v>0</v>
      </c>
      <c r="G72" s="93"/>
      <c r="H72" s="93">
        <f t="shared" ref="H72:T72" si="34">SUM(H21:H71)</f>
        <v>0</v>
      </c>
      <c r="I72" s="79">
        <f t="shared" si="34"/>
        <v>0</v>
      </c>
      <c r="J72" s="334">
        <f t="shared" si="34"/>
        <v>0</v>
      </c>
      <c r="K72" s="213">
        <f t="shared" si="34"/>
        <v>0</v>
      </c>
      <c r="L72" s="155">
        <f t="shared" si="34"/>
        <v>0</v>
      </c>
      <c r="M72" s="152">
        <f t="shared" si="34"/>
        <v>0</v>
      </c>
      <c r="N72" s="152">
        <f t="shared" si="34"/>
        <v>0</v>
      </c>
      <c r="O72" s="152">
        <f t="shared" si="34"/>
        <v>0</v>
      </c>
      <c r="P72" s="152">
        <f t="shared" si="34"/>
        <v>0</v>
      </c>
      <c r="Q72" s="153">
        <f t="shared" si="34"/>
        <v>0</v>
      </c>
      <c r="R72" s="154">
        <f t="shared" si="34"/>
        <v>0</v>
      </c>
      <c r="S72" s="155">
        <f t="shared" si="34"/>
        <v>0</v>
      </c>
      <c r="T72" s="156">
        <f t="shared" si="34"/>
        <v>0</v>
      </c>
      <c r="U72" s="63"/>
      <c r="V72" s="157">
        <f>SUM(V21:V71)</f>
        <v>0</v>
      </c>
      <c r="W72" s="152">
        <f>SUM(W21:W71)</f>
        <v>5000</v>
      </c>
      <c r="X72" s="152">
        <f>SUM(X21:X71)</f>
        <v>0</v>
      </c>
      <c r="Y72" s="156">
        <f>SUM(Y21:Y71)</f>
        <v>10000</v>
      </c>
    </row>
    <row r="73" spans="1:26" ht="21" customHeight="1" thickBot="1" x14ac:dyDescent="0.3">
      <c r="A73" s="98"/>
      <c r="B73" s="1" t="s">
        <v>21</v>
      </c>
      <c r="C73" s="854" t="s">
        <v>104</v>
      </c>
      <c r="D73" s="855"/>
      <c r="E73" s="855"/>
      <c r="F73" s="855"/>
      <c r="G73" s="855"/>
      <c r="H73" s="167"/>
      <c r="I73" s="167"/>
      <c r="J73" s="167"/>
      <c r="K73" s="158"/>
      <c r="L73" s="158"/>
      <c r="M73" s="158"/>
      <c r="N73" s="159"/>
      <c r="O73" s="1" t="s">
        <v>23</v>
      </c>
      <c r="P73" s="170" t="s">
        <v>89</v>
      </c>
      <c r="Q73" s="158"/>
      <c r="R73" s="158"/>
      <c r="S73" s="875"/>
      <c r="T73" s="875"/>
      <c r="U73" s="875"/>
      <c r="V73" s="875"/>
      <c r="W73" s="875"/>
      <c r="X73" s="875"/>
      <c r="Y73" s="876"/>
    </row>
    <row r="74" spans="1:26" ht="30.75" customHeight="1" x14ac:dyDescent="0.25">
      <c r="A74" s="98"/>
      <c r="B74" s="17" t="s">
        <v>22</v>
      </c>
      <c r="D74" s="8"/>
      <c r="E74" s="50"/>
      <c r="F74" s="8"/>
      <c r="G74" s="8"/>
      <c r="H74" s="8"/>
      <c r="I74" s="160"/>
      <c r="J74" s="160"/>
      <c r="K74" s="160"/>
      <c r="L74" s="160"/>
      <c r="M74" s="160"/>
      <c r="N74" s="147"/>
      <c r="O74" s="870" t="e" cm="1">
        <f t="array" aca="1" ref="O74" ca="1">PesosInWords2Caps(W74)</f>
        <v>#NAME?</v>
      </c>
      <c r="P74" s="871"/>
      <c r="Q74" s="871"/>
      <c r="R74" s="871"/>
      <c r="S74" s="871"/>
      <c r="T74" s="871"/>
      <c r="U74" s="871"/>
      <c r="V74" s="871"/>
      <c r="W74" s="868">
        <f>S72</f>
        <v>0</v>
      </c>
      <c r="X74" s="868"/>
      <c r="Y74" s="869"/>
    </row>
    <row r="75" spans="1:26" ht="21.75" customHeight="1" x14ac:dyDescent="0.25">
      <c r="A75" s="98"/>
      <c r="B75" s="17"/>
      <c r="C75" s="8"/>
      <c r="D75" s="8"/>
      <c r="E75" s="50"/>
      <c r="F75" s="8"/>
      <c r="G75" s="8"/>
      <c r="H75" s="8"/>
      <c r="I75" s="8"/>
      <c r="J75" s="8"/>
      <c r="K75" s="8"/>
      <c r="L75" s="8"/>
      <c r="M75" s="8"/>
      <c r="N75" s="18"/>
      <c r="O75" s="25"/>
      <c r="P75" s="8"/>
      <c r="Q75" s="8"/>
      <c r="R75" s="8"/>
      <c r="S75" s="9"/>
      <c r="T75" s="9"/>
      <c r="U75" s="6"/>
      <c r="V75" s="9"/>
      <c r="W75" s="9"/>
      <c r="X75" s="9"/>
      <c r="Y75" s="19"/>
    </row>
    <row r="76" spans="1:26" ht="21.75" customHeight="1" x14ac:dyDescent="0.25">
      <c r="A76" s="98"/>
      <c r="B76" s="17"/>
      <c r="N76" s="56"/>
      <c r="O76" s="149"/>
      <c r="P76" s="50"/>
      <c r="U76" s="6"/>
      <c r="Y76" s="19"/>
    </row>
    <row r="77" spans="1:26" ht="16.5" customHeight="1" x14ac:dyDescent="0.25">
      <c r="A77" s="98"/>
      <c r="B77" s="17"/>
      <c r="C77" s="820" t="s">
        <v>47</v>
      </c>
      <c r="D77" s="820"/>
      <c r="E77" s="325"/>
      <c r="F77" s="342">
        <f ca="1">NOW()</f>
        <v>46275.505203009256</v>
      </c>
      <c r="G77" s="164"/>
      <c r="H77" s="820" t="s">
        <v>95</v>
      </c>
      <c r="I77" s="820"/>
      <c r="J77" s="820"/>
      <c r="K77" s="820"/>
      <c r="L77" s="8"/>
      <c r="M77" s="342">
        <f ca="1">NOW()</f>
        <v>46275.505203009256</v>
      </c>
      <c r="N77" s="165"/>
      <c r="O77" s="161"/>
      <c r="P77" s="51"/>
      <c r="Q77" s="820" t="s">
        <v>97</v>
      </c>
      <c r="R77" s="820"/>
      <c r="S77" s="820"/>
      <c r="U77" s="6"/>
      <c r="V77" s="839"/>
      <c r="W77" s="839"/>
      <c r="X77" s="839"/>
      <c r="Y77" s="19"/>
    </row>
    <row r="78" spans="1:26" ht="15.75" x14ac:dyDescent="0.25">
      <c r="A78" s="98"/>
      <c r="B78" s="17"/>
      <c r="C78" s="827" t="s">
        <v>93</v>
      </c>
      <c r="D78" s="827"/>
      <c r="E78" s="6"/>
      <c r="F78" s="171" t="s">
        <v>29</v>
      </c>
      <c r="G78" s="9"/>
      <c r="H78" s="827" t="s">
        <v>94</v>
      </c>
      <c r="I78" s="827"/>
      <c r="J78" s="827"/>
      <c r="K78" s="827"/>
      <c r="L78" s="9"/>
      <c r="M78" s="171" t="s">
        <v>29</v>
      </c>
      <c r="N78" s="172"/>
      <c r="O78" s="161"/>
      <c r="P78" s="51"/>
      <c r="Q78" s="827" t="s">
        <v>96</v>
      </c>
      <c r="R78" s="827"/>
      <c r="S78" s="827"/>
      <c r="T78" s="9"/>
      <c r="U78" s="6"/>
      <c r="V78" s="840" t="s">
        <v>29</v>
      </c>
      <c r="W78" s="840"/>
      <c r="X78" s="840"/>
      <c r="Y78" s="19"/>
    </row>
    <row r="79" spans="1:26" ht="16.5" thickBot="1" x14ac:dyDescent="0.3">
      <c r="A79" s="98"/>
      <c r="B79" s="20"/>
      <c r="C79" s="21"/>
      <c r="D79" s="21"/>
      <c r="E79" s="326"/>
      <c r="F79" s="21"/>
      <c r="G79" s="21"/>
      <c r="H79" s="21"/>
      <c r="I79" s="21"/>
      <c r="J79" s="21"/>
      <c r="K79" s="29"/>
      <c r="L79" s="29"/>
      <c r="M79" s="29"/>
      <c r="N79" s="168"/>
      <c r="O79" s="162"/>
      <c r="P79" s="22"/>
      <c r="Q79" s="30"/>
      <c r="R79" s="30"/>
      <c r="S79" s="30"/>
      <c r="T79" s="10"/>
      <c r="U79" s="54"/>
      <c r="V79" s="10"/>
      <c r="W79" s="10"/>
      <c r="X79" s="10"/>
      <c r="Y79" s="23"/>
      <c r="Z79" s="842"/>
    </row>
    <row r="80" spans="1:26" ht="21" customHeight="1" thickBot="1" x14ac:dyDescent="0.3">
      <c r="A80" s="98"/>
      <c r="B80" s="1" t="s">
        <v>24</v>
      </c>
      <c r="C80" s="818" t="s">
        <v>105</v>
      </c>
      <c r="D80" s="818" t="s">
        <v>100</v>
      </c>
      <c r="E80" s="818"/>
      <c r="F80" s="818"/>
      <c r="G80" s="818"/>
      <c r="H80" s="818"/>
      <c r="I80" s="818"/>
      <c r="J80" s="818"/>
      <c r="K80" s="818"/>
      <c r="L80" s="828">
        <f>S72</f>
        <v>0</v>
      </c>
      <c r="M80" s="828"/>
      <c r="N80" s="829"/>
      <c r="O80" s="1" t="s">
        <v>25</v>
      </c>
      <c r="P80" s="835" t="s">
        <v>35</v>
      </c>
      <c r="Q80" s="835"/>
      <c r="R80" s="835"/>
      <c r="S80" s="835"/>
      <c r="T80" s="836"/>
      <c r="U80" s="1" t="s">
        <v>27</v>
      </c>
      <c r="V80" s="148"/>
      <c r="W80" s="148"/>
      <c r="X80" s="148"/>
      <c r="Y80" s="24"/>
      <c r="Z80" s="843"/>
    </row>
    <row r="81" spans="1:26" ht="30.75" customHeight="1" x14ac:dyDescent="0.25">
      <c r="A81" s="98"/>
      <c r="B81" s="17" t="s">
        <v>26</v>
      </c>
      <c r="C81" s="819"/>
      <c r="D81" s="819"/>
      <c r="E81" s="819"/>
      <c r="F81" s="819"/>
      <c r="G81" s="819"/>
      <c r="H81" s="819"/>
      <c r="I81" s="819"/>
      <c r="J81" s="819"/>
      <c r="K81" s="819"/>
      <c r="L81" s="830"/>
      <c r="M81" s="830"/>
      <c r="N81" s="831"/>
      <c r="O81" s="25"/>
      <c r="P81" s="837"/>
      <c r="Q81" s="837"/>
      <c r="R81" s="837"/>
      <c r="S81" s="837"/>
      <c r="T81" s="838"/>
      <c r="U81" s="149"/>
      <c r="V81" s="61" t="s">
        <v>90</v>
      </c>
      <c r="W81" s="820" t="str">
        <f>'GEN.AD - PAY'!$W$172</f>
        <v>01-101101-2026-01-0003</v>
      </c>
      <c r="X81" s="820"/>
      <c r="Y81" s="822"/>
      <c r="Z81" s="843"/>
    </row>
    <row r="82" spans="1:26" ht="24.95" customHeight="1" x14ac:dyDescent="0.25">
      <c r="A82" s="98"/>
      <c r="B82" s="17"/>
      <c r="C82" s="8" t="s">
        <v>28</v>
      </c>
      <c r="D82" s="8"/>
      <c r="E82" s="50"/>
      <c r="F82" s="8"/>
      <c r="G82" s="8"/>
      <c r="H82" s="8"/>
      <c r="I82" s="8"/>
      <c r="J82" s="8"/>
      <c r="K82" s="8"/>
      <c r="L82" s="8"/>
      <c r="M82" s="8"/>
      <c r="N82" s="18"/>
      <c r="O82" s="25"/>
      <c r="P82" s="8"/>
      <c r="T82" s="26"/>
      <c r="U82" s="150"/>
      <c r="V82" s="61" t="s">
        <v>91</v>
      </c>
      <c r="W82" s="918">
        <f>'GEN.AD - PAY'!$W$173</f>
        <v>46038</v>
      </c>
      <c r="X82" s="918"/>
      <c r="Y82" s="919"/>
      <c r="Z82" s="843"/>
    </row>
    <row r="83" spans="1:26" ht="24.95" customHeight="1" x14ac:dyDescent="0.25">
      <c r="A83" s="98"/>
      <c r="B83" s="17"/>
      <c r="E83" s="820" t="s">
        <v>102</v>
      </c>
      <c r="F83" s="820"/>
      <c r="G83" s="820"/>
      <c r="H83" s="820"/>
      <c r="I83" s="820"/>
      <c r="K83" s="821"/>
      <c r="L83" s="821"/>
      <c r="M83" s="8"/>
      <c r="N83" s="18"/>
      <c r="O83" s="25"/>
      <c r="P83" s="820" t="s">
        <v>99</v>
      </c>
      <c r="Q83" s="820"/>
      <c r="R83" s="820"/>
      <c r="S83" s="820"/>
      <c r="T83" s="26"/>
      <c r="U83" s="149"/>
      <c r="V83" s="61" t="s">
        <v>92</v>
      </c>
      <c r="W83" s="820" t="str">
        <f>'GEN.AD - PAY'!$W$174</f>
        <v>01-2026-01-0019</v>
      </c>
      <c r="X83" s="820"/>
      <c r="Y83" s="822"/>
      <c r="Z83" s="843"/>
    </row>
    <row r="84" spans="1:26" ht="24.95" customHeight="1" x14ac:dyDescent="0.25">
      <c r="A84" s="98"/>
      <c r="B84" s="17"/>
      <c r="E84" s="881" t="s">
        <v>101</v>
      </c>
      <c r="F84" s="881"/>
      <c r="G84" s="881"/>
      <c r="H84" s="881"/>
      <c r="I84" s="881"/>
      <c r="J84" s="9"/>
      <c r="K84" s="889" t="s">
        <v>29</v>
      </c>
      <c r="L84" s="889"/>
      <c r="M84" s="27"/>
      <c r="N84" s="165"/>
      <c r="O84" s="161"/>
      <c r="P84" s="827" t="s">
        <v>98</v>
      </c>
      <c r="Q84" s="827"/>
      <c r="R84" s="827"/>
      <c r="S84" s="827"/>
      <c r="T84" s="26"/>
      <c r="U84" s="150"/>
      <c r="V84" s="61" t="s">
        <v>91</v>
      </c>
      <c r="W84" s="918">
        <f>'GEN.AD - PAY'!$W$175</f>
        <v>46038</v>
      </c>
      <c r="X84" s="918"/>
      <c r="Y84" s="919"/>
      <c r="Z84" s="28"/>
    </row>
    <row r="85" spans="1:26" ht="16.5" thickBot="1" x14ac:dyDescent="0.3">
      <c r="A85" s="98"/>
      <c r="B85" s="20"/>
      <c r="C85" s="29"/>
      <c r="D85" s="29"/>
      <c r="E85" s="880"/>
      <c r="F85" s="880"/>
      <c r="G85" s="880"/>
      <c r="H85" s="880"/>
      <c r="I85" s="29"/>
      <c r="J85" s="29"/>
      <c r="K85" s="30"/>
      <c r="L85" s="30"/>
      <c r="M85" s="30"/>
      <c r="N85" s="168"/>
      <c r="O85" s="162"/>
      <c r="P85" s="30"/>
      <c r="Q85" s="30"/>
      <c r="R85" s="30"/>
      <c r="S85" s="30"/>
      <c r="T85" s="23"/>
      <c r="U85" s="151"/>
      <c r="V85" s="10"/>
      <c r="W85" s="10"/>
      <c r="X85" s="10"/>
      <c r="Y85" s="23"/>
    </row>
    <row r="87" spans="1:26" x14ac:dyDescent="0.25">
      <c r="C87" s="32"/>
    </row>
    <row r="88" spans="1:26" x14ac:dyDescent="0.25">
      <c r="C88" s="32"/>
    </row>
    <row r="89" spans="1:26" x14ac:dyDescent="0.25">
      <c r="C89" s="32"/>
    </row>
    <row r="90" spans="1:26" x14ac:dyDescent="0.25">
      <c r="C90" s="32"/>
    </row>
    <row r="91" spans="1:26" x14ac:dyDescent="0.25">
      <c r="C91" s="32"/>
    </row>
  </sheetData>
  <mergeCells count="68">
    <mergeCell ref="B8:Y8"/>
    <mergeCell ref="V18:V19"/>
    <mergeCell ref="W18:W19"/>
    <mergeCell ref="X2:Y2"/>
    <mergeCell ref="B3:Y3"/>
    <mergeCell ref="B4:Y4"/>
    <mergeCell ref="B5:Y5"/>
    <mergeCell ref="B6:Y6"/>
    <mergeCell ref="B9:Y9"/>
    <mergeCell ref="B10:Y10"/>
    <mergeCell ref="B11:Y11"/>
    <mergeCell ref="D12:D14"/>
    <mergeCell ref="B13:C13"/>
    <mergeCell ref="W13:Y13"/>
    <mergeCell ref="B15:Y15"/>
    <mergeCell ref="B17:B19"/>
    <mergeCell ref="S17:S19"/>
    <mergeCell ref="T17:T19"/>
    <mergeCell ref="C17:C19"/>
    <mergeCell ref="D17:D19"/>
    <mergeCell ref="E17:E19"/>
    <mergeCell ref="F17:K17"/>
    <mergeCell ref="L17:Q17"/>
    <mergeCell ref="J18:J19"/>
    <mergeCell ref="K18:K19"/>
    <mergeCell ref="R17:R19"/>
    <mergeCell ref="F18:F19"/>
    <mergeCell ref="G18:G19"/>
    <mergeCell ref="C73:G73"/>
    <mergeCell ref="O74:V74"/>
    <mergeCell ref="W74:Y74"/>
    <mergeCell ref="N18:N19"/>
    <mergeCell ref="O18:O19"/>
    <mergeCell ref="P18:P19"/>
    <mergeCell ref="Q18:Q19"/>
    <mergeCell ref="U17:U19"/>
    <mergeCell ref="V17:Y17"/>
    <mergeCell ref="S73:Y73"/>
    <mergeCell ref="X18:X19"/>
    <mergeCell ref="Y18:Y19"/>
    <mergeCell ref="L18:L19"/>
    <mergeCell ref="M18:M19"/>
    <mergeCell ref="H18:H19"/>
    <mergeCell ref="I18:I19"/>
    <mergeCell ref="C77:D77"/>
    <mergeCell ref="H77:K77"/>
    <mergeCell ref="Q77:S77"/>
    <mergeCell ref="V77:X77"/>
    <mergeCell ref="C78:D78"/>
    <mergeCell ref="H78:K78"/>
    <mergeCell ref="Q78:S78"/>
    <mergeCell ref="V78:X78"/>
    <mergeCell ref="E85:H85"/>
    <mergeCell ref="Z79:Z83"/>
    <mergeCell ref="C80:C81"/>
    <mergeCell ref="D80:K81"/>
    <mergeCell ref="L80:N81"/>
    <mergeCell ref="P80:T81"/>
    <mergeCell ref="W81:Y81"/>
    <mergeCell ref="W82:Y82"/>
    <mergeCell ref="E83:I83"/>
    <mergeCell ref="K83:L83"/>
    <mergeCell ref="P83:S83"/>
    <mergeCell ref="W83:Y83"/>
    <mergeCell ref="E84:I84"/>
    <mergeCell ref="K84:L84"/>
    <mergeCell ref="P84:S84"/>
    <mergeCell ref="W84:Y84"/>
  </mergeCells>
  <conditionalFormatting sqref="S21:T70">
    <cfRule type="cellIs" dxfId="6" priority="1" stopIfTrue="1" operator="equal">
      <formula>2500</formula>
    </cfRule>
  </conditionalFormatting>
  <printOptions horizontalCentered="1"/>
  <pageMargins left="0.39370078740157483" right="0.39370078740157483" top="0.39370078740157483" bottom="0.19685039370078741" header="0" footer="0"/>
  <pageSetup paperSize="14" scale="51" fitToHeight="0" orientation="landscape" r:id="rId1"/>
  <headerFooter alignWithMargins="0">
    <oddHeader>&amp;R
&amp;16Sheet &amp;"Times New Roman,Bold"&amp;U&amp;P&amp;"Times New Roman,Regular"&amp;U of &amp;"Times New Roman,Bold"&amp;U&amp;N&amp;"Times New Roman,Regular"&amp;U Sheet/s</oddHeader>
  </headerFooter>
  <rowBreaks count="1" manualBreakCount="1">
    <brk id="48" min="1" max="24" man="1"/>
  </rowBreak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6">
    <tabColor theme="9" tint="-0.249977111117893"/>
    <pageSetUpPr fitToPage="1"/>
  </sheetPr>
  <dimension ref="A1:AG77"/>
  <sheetViews>
    <sheetView showWhiteSpace="0" topLeftCell="A14" zoomScaleNormal="100" zoomScaleSheetLayoutView="100" workbookViewId="0">
      <pane xSplit="7" ySplit="5" topLeftCell="X46" activePane="bottomRight" state="frozen"/>
      <selection activeCell="W34" sqref="W34:Y37"/>
      <selection pane="topRight" activeCell="W34" sqref="W34:Y37"/>
      <selection pane="bottomLeft" activeCell="W34" sqref="W34:Y37"/>
      <selection pane="bottomRight" activeCell="W34" sqref="W34:Y37"/>
    </sheetView>
  </sheetViews>
  <sheetFormatPr defaultRowHeight="30.75" x14ac:dyDescent="0.25"/>
  <cols>
    <col min="1" max="1" width="9.375" style="31" customWidth="1"/>
    <col min="2" max="2" width="6.75" style="4" customWidth="1"/>
    <col min="3" max="3" width="24.625" style="4" customWidth="1"/>
    <col min="4" max="4" width="12.875" style="4" customWidth="1"/>
    <col min="5" max="5" width="9.625" style="57" customWidth="1"/>
    <col min="6" max="6" width="11.875" style="4" customWidth="1"/>
    <col min="7" max="7" width="12" style="4" customWidth="1"/>
    <col min="8" max="12" width="10.625" style="4" customWidth="1"/>
    <col min="13" max="13" width="12.25" style="4" customWidth="1"/>
    <col min="14" max="17" width="10.625" style="4" customWidth="1"/>
    <col min="18" max="18" width="11.75" style="4" customWidth="1"/>
    <col min="19" max="19" width="11.25" style="4" customWidth="1"/>
    <col min="20" max="20" width="10.625" style="4" customWidth="1"/>
    <col min="21" max="21" width="10.75" style="4" customWidth="1"/>
    <col min="22" max="23" width="9.875" style="4" customWidth="1"/>
    <col min="24" max="24" width="11.125" style="4" customWidth="1"/>
    <col min="25" max="25" width="10.875" style="4" customWidth="1"/>
    <col min="26" max="26" width="12.375" style="4" customWidth="1"/>
    <col min="27" max="27" width="11.125" style="4" customWidth="1"/>
    <col min="28" max="28" width="11.25" style="4" customWidth="1"/>
    <col min="29" max="29" width="9.875" style="4" customWidth="1"/>
    <col min="30" max="30" width="11.125" style="4" customWidth="1"/>
    <col min="31" max="31" width="11.5" style="4" customWidth="1"/>
    <col min="32" max="32" width="13.875" style="4" customWidth="1"/>
    <col min="33" max="33" width="10.375" style="4" bestFit="1" customWidth="1"/>
    <col min="34" max="16384" width="9" style="4"/>
  </cols>
  <sheetData>
    <row r="1" spans="1:33" ht="23.25" customHeight="1" x14ac:dyDescent="0.25">
      <c r="A1" s="98">
        <v>94</v>
      </c>
      <c r="F1" s="5"/>
      <c r="X1" s="5"/>
      <c r="Y1" s="5"/>
      <c r="AE1" s="5"/>
      <c r="AF1" s="3"/>
    </row>
    <row r="2" spans="1:33" ht="23.25" x14ac:dyDescent="0.25">
      <c r="A2" s="98"/>
      <c r="F2" s="5"/>
      <c r="X2" s="5"/>
      <c r="Y2" s="5"/>
      <c r="AE2" s="864" t="s">
        <v>40</v>
      </c>
      <c r="AF2" s="864"/>
    </row>
    <row r="3" spans="1:33" ht="15.75" customHeight="1" x14ac:dyDescent="0.25">
      <c r="A3" s="98"/>
      <c r="B3" s="877" t="s">
        <v>42</v>
      </c>
      <c r="C3" s="877"/>
      <c r="D3" s="877"/>
      <c r="E3" s="877"/>
      <c r="F3" s="877"/>
      <c r="G3" s="877"/>
      <c r="H3" s="877"/>
      <c r="I3" s="877"/>
      <c r="J3" s="877"/>
      <c r="K3" s="877"/>
      <c r="L3" s="877"/>
      <c r="M3" s="877"/>
      <c r="N3" s="877"/>
      <c r="O3" s="877"/>
      <c r="P3" s="877"/>
      <c r="Q3" s="877"/>
      <c r="R3" s="877"/>
      <c r="S3" s="877"/>
      <c r="T3" s="877"/>
      <c r="U3" s="877"/>
      <c r="V3" s="877"/>
      <c r="W3" s="877"/>
      <c r="X3" s="877"/>
      <c r="Y3" s="877"/>
      <c r="Z3" s="877"/>
      <c r="AA3" s="877"/>
      <c r="AB3" s="877"/>
      <c r="AC3" s="877"/>
      <c r="AD3" s="877"/>
      <c r="AE3" s="877"/>
      <c r="AF3" s="877"/>
    </row>
    <row r="4" spans="1:33" ht="15.75" customHeight="1" x14ac:dyDescent="0.25">
      <c r="A4" s="98"/>
      <c r="B4" s="878" t="s">
        <v>43</v>
      </c>
      <c r="C4" s="878"/>
      <c r="D4" s="878"/>
      <c r="E4" s="878"/>
      <c r="F4" s="878"/>
      <c r="G4" s="878"/>
      <c r="H4" s="878"/>
      <c r="I4" s="878"/>
      <c r="J4" s="878"/>
      <c r="K4" s="878"/>
      <c r="L4" s="878"/>
      <c r="M4" s="878"/>
      <c r="N4" s="878"/>
      <c r="O4" s="878"/>
      <c r="P4" s="878"/>
      <c r="Q4" s="878"/>
      <c r="R4" s="878"/>
      <c r="S4" s="878"/>
      <c r="T4" s="878"/>
      <c r="U4" s="878"/>
      <c r="V4" s="878"/>
      <c r="W4" s="878"/>
      <c r="X4" s="878"/>
      <c r="Y4" s="878"/>
      <c r="Z4" s="878"/>
      <c r="AA4" s="878"/>
      <c r="AB4" s="878"/>
      <c r="AC4" s="878"/>
      <c r="AD4" s="878"/>
      <c r="AE4" s="878"/>
      <c r="AF4" s="878"/>
    </row>
    <row r="5" spans="1:33" ht="15.75" customHeight="1" x14ac:dyDescent="0.25">
      <c r="A5" s="98"/>
      <c r="B5" s="878" t="s">
        <v>44</v>
      </c>
      <c r="C5" s="878"/>
      <c r="D5" s="878"/>
      <c r="E5" s="878"/>
      <c r="F5" s="878"/>
      <c r="G5" s="878"/>
      <c r="H5" s="878"/>
      <c r="I5" s="878"/>
      <c r="J5" s="878"/>
      <c r="K5" s="878"/>
      <c r="L5" s="878"/>
      <c r="M5" s="878"/>
      <c r="N5" s="878"/>
      <c r="O5" s="878"/>
      <c r="P5" s="878"/>
      <c r="Q5" s="878"/>
      <c r="R5" s="878"/>
      <c r="S5" s="878"/>
      <c r="T5" s="878"/>
      <c r="U5" s="878"/>
      <c r="V5" s="878"/>
      <c r="W5" s="878"/>
      <c r="X5" s="878"/>
      <c r="Y5" s="878"/>
      <c r="Z5" s="878"/>
      <c r="AA5" s="878"/>
      <c r="AB5" s="878"/>
      <c r="AC5" s="878"/>
      <c r="AD5" s="878"/>
      <c r="AE5" s="878"/>
      <c r="AF5" s="878"/>
    </row>
    <row r="6" spans="1:33" ht="15.75" customHeight="1" x14ac:dyDescent="0.25">
      <c r="A6" s="98"/>
      <c r="B6" s="877" t="s">
        <v>45</v>
      </c>
      <c r="C6" s="877"/>
      <c r="D6" s="877"/>
      <c r="E6" s="877"/>
      <c r="F6" s="877"/>
      <c r="G6" s="877"/>
      <c r="H6" s="877"/>
      <c r="I6" s="877"/>
      <c r="J6" s="877"/>
      <c r="K6" s="877"/>
      <c r="L6" s="877"/>
      <c r="M6" s="877"/>
      <c r="N6" s="877"/>
      <c r="O6" s="877"/>
      <c r="P6" s="877"/>
      <c r="Q6" s="877"/>
      <c r="R6" s="877"/>
      <c r="S6" s="877"/>
      <c r="T6" s="877"/>
      <c r="U6" s="877"/>
      <c r="V6" s="877"/>
      <c r="W6" s="877"/>
      <c r="X6" s="877"/>
      <c r="Y6" s="877"/>
      <c r="Z6" s="877"/>
      <c r="AA6" s="877"/>
      <c r="AB6" s="877"/>
      <c r="AC6" s="877"/>
      <c r="AD6" s="877"/>
      <c r="AE6" s="877"/>
      <c r="AF6" s="877"/>
    </row>
    <row r="7" spans="1:33" ht="15.75" customHeight="1" x14ac:dyDescent="0.25">
      <c r="A7" s="98"/>
      <c r="F7" s="2"/>
      <c r="X7" s="2"/>
      <c r="Y7" s="2"/>
      <c r="AE7" s="2"/>
      <c r="AF7" s="2"/>
    </row>
    <row r="8" spans="1:33" ht="22.5" x14ac:dyDescent="0.25">
      <c r="A8" s="98"/>
      <c r="B8" s="882" t="s">
        <v>64</v>
      </c>
      <c r="C8" s="882"/>
      <c r="D8" s="882"/>
      <c r="E8" s="882"/>
      <c r="F8" s="882"/>
      <c r="G8" s="882"/>
      <c r="H8" s="882"/>
      <c r="I8" s="882"/>
      <c r="J8" s="882"/>
      <c r="K8" s="882"/>
      <c r="L8" s="882"/>
      <c r="M8" s="882"/>
      <c r="N8" s="882"/>
      <c r="O8" s="882"/>
      <c r="P8" s="882"/>
      <c r="Q8" s="882"/>
      <c r="R8" s="882"/>
      <c r="S8" s="882"/>
      <c r="T8" s="882"/>
      <c r="U8" s="882"/>
      <c r="V8" s="882"/>
      <c r="W8" s="882"/>
      <c r="X8" s="882"/>
      <c r="Y8" s="882"/>
      <c r="Z8" s="882"/>
      <c r="AA8" s="882"/>
      <c r="AB8" s="882"/>
      <c r="AC8" s="882"/>
      <c r="AD8" s="882"/>
      <c r="AE8" s="882"/>
      <c r="AF8" s="882"/>
    </row>
    <row r="9" spans="1:33" ht="20.25" x14ac:dyDescent="0.25">
      <c r="A9" s="98"/>
      <c r="B9" s="867" t="str">
        <f>'CED - PAY'!B9</f>
        <v>Regular Employees - COLLEGE OF EDUCATION</v>
      </c>
      <c r="C9" s="867"/>
      <c r="D9" s="867"/>
      <c r="E9" s="867"/>
      <c r="F9" s="867"/>
      <c r="G9" s="867"/>
      <c r="H9" s="867"/>
      <c r="I9" s="867"/>
      <c r="J9" s="867"/>
      <c r="K9" s="867"/>
      <c r="L9" s="867"/>
      <c r="M9" s="867"/>
      <c r="N9" s="867"/>
      <c r="O9" s="867"/>
      <c r="P9" s="867"/>
      <c r="Q9" s="867"/>
      <c r="R9" s="867"/>
      <c r="S9" s="867"/>
      <c r="T9" s="867"/>
      <c r="U9" s="867"/>
      <c r="V9" s="867"/>
      <c r="W9" s="867"/>
      <c r="X9" s="867"/>
      <c r="Y9" s="867"/>
      <c r="Z9" s="867"/>
      <c r="AA9" s="867"/>
      <c r="AB9" s="867"/>
      <c r="AC9" s="867"/>
      <c r="AD9" s="867"/>
      <c r="AE9" s="867"/>
      <c r="AF9" s="867"/>
    </row>
    <row r="10" spans="1:33" ht="20.25" x14ac:dyDescent="0.25">
      <c r="A10" s="98"/>
      <c r="B10" s="879" t="str">
        <f>'CED - PAY'!B10</f>
        <v>For the period JANUARY 1-31, 2026</v>
      </c>
      <c r="C10" s="879"/>
      <c r="D10" s="879"/>
      <c r="E10" s="879"/>
      <c r="F10" s="879"/>
      <c r="G10" s="879"/>
      <c r="H10" s="879"/>
      <c r="I10" s="879"/>
      <c r="J10" s="879"/>
      <c r="K10" s="879"/>
      <c r="L10" s="879"/>
      <c r="M10" s="879"/>
      <c r="N10" s="879"/>
      <c r="O10" s="879"/>
      <c r="P10" s="879"/>
      <c r="Q10" s="879"/>
      <c r="R10" s="879"/>
      <c r="S10" s="879"/>
      <c r="T10" s="879"/>
      <c r="U10" s="879"/>
      <c r="V10" s="879"/>
      <c r="W10" s="879"/>
      <c r="X10" s="879"/>
      <c r="Y10" s="879"/>
      <c r="Z10" s="879"/>
      <c r="AA10" s="879"/>
      <c r="AB10" s="879"/>
      <c r="AC10" s="879"/>
      <c r="AD10" s="879"/>
      <c r="AE10" s="879"/>
      <c r="AF10" s="879"/>
    </row>
    <row r="11" spans="1:33" ht="15.75" x14ac:dyDescent="0.25">
      <c r="A11" s="98"/>
      <c r="B11" s="9"/>
      <c r="C11" s="6"/>
      <c r="D11" s="866" t="str">
        <f>+'CED - PAY'!D12</f>
        <v>01</v>
      </c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</row>
    <row r="12" spans="1:33" s="8" customFormat="1" ht="24.95" customHeight="1" x14ac:dyDescent="0.25">
      <c r="A12" s="98"/>
      <c r="B12" s="865" t="s">
        <v>88</v>
      </c>
      <c r="C12" s="865"/>
      <c r="D12" s="867"/>
      <c r="E12" s="178"/>
      <c r="F12" s="169"/>
      <c r="G12" s="169"/>
      <c r="H12" s="169"/>
      <c r="I12" s="169"/>
      <c r="J12" s="169"/>
      <c r="K12" s="169"/>
      <c r="L12" s="169"/>
      <c r="M12" s="169"/>
      <c r="N12" s="169"/>
      <c r="O12" s="169"/>
      <c r="P12" s="169"/>
      <c r="Q12" s="169"/>
      <c r="R12" s="9"/>
      <c r="S12" s="9"/>
      <c r="T12" s="9"/>
      <c r="U12" s="9"/>
      <c r="AA12" s="7"/>
      <c r="AB12" s="169" t="s">
        <v>103</v>
      </c>
      <c r="AC12" s="169"/>
      <c r="AD12" s="832" t="str">
        <f>'CED - PAY'!W13</f>
        <v>2026-01-021</v>
      </c>
      <c r="AE12" s="832"/>
      <c r="AF12" s="832"/>
    </row>
    <row r="13" spans="1:33" s="8" customFormat="1" ht="24.95" customHeight="1" x14ac:dyDescent="0.25">
      <c r="A13" s="98"/>
      <c r="B13" s="9"/>
      <c r="C13" s="9"/>
      <c r="D13" s="867"/>
      <c r="E13" s="6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AB13" s="169"/>
      <c r="AC13" s="169"/>
      <c r="AD13" s="9"/>
      <c r="AE13" s="9"/>
      <c r="AF13" s="9"/>
    </row>
    <row r="14" spans="1:33" s="8" customFormat="1" ht="15.75" customHeight="1" x14ac:dyDescent="0.25">
      <c r="A14" s="98"/>
      <c r="B14" s="872"/>
      <c r="C14" s="872"/>
      <c r="D14" s="872"/>
      <c r="E14" s="872"/>
      <c r="F14" s="872"/>
      <c r="G14" s="872"/>
      <c r="H14" s="872"/>
      <c r="I14" s="872"/>
      <c r="J14" s="872"/>
      <c r="K14" s="872"/>
      <c r="L14" s="872"/>
      <c r="M14" s="872"/>
      <c r="N14" s="872"/>
      <c r="O14" s="872"/>
      <c r="P14" s="872"/>
      <c r="Q14" s="872"/>
      <c r="R14" s="872"/>
      <c r="S14" s="872"/>
      <c r="T14" s="872"/>
      <c r="U14" s="872"/>
      <c r="V14" s="872"/>
      <c r="W14" s="872"/>
      <c r="X14" s="872"/>
      <c r="Y14" s="872"/>
      <c r="Z14" s="872"/>
    </row>
    <row r="15" spans="1:33" ht="9" customHeight="1" thickBot="1" x14ac:dyDescent="0.3">
      <c r="A15" s="98"/>
      <c r="B15" s="9"/>
      <c r="C15" s="10"/>
      <c r="D15" s="10"/>
      <c r="E15" s="54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9"/>
      <c r="T15" s="9"/>
      <c r="U15" s="9"/>
      <c r="V15" s="9"/>
      <c r="W15" s="9"/>
      <c r="X15" s="10"/>
      <c r="Y15" s="10"/>
      <c r="Z15" s="9"/>
      <c r="AA15" s="9"/>
      <c r="AB15" s="9"/>
      <c r="AC15" s="9"/>
      <c r="AD15" s="9"/>
      <c r="AE15" s="10"/>
      <c r="AF15" s="10"/>
    </row>
    <row r="16" spans="1:33" ht="16.5" customHeight="1" thickBot="1" x14ac:dyDescent="0.3">
      <c r="A16" s="98"/>
      <c r="B16" s="802" t="s">
        <v>6</v>
      </c>
      <c r="C16" s="777" t="s">
        <v>1</v>
      </c>
      <c r="D16" s="777" t="s">
        <v>2</v>
      </c>
      <c r="E16" s="802" t="s">
        <v>14</v>
      </c>
      <c r="F16" s="904" t="s">
        <v>54</v>
      </c>
      <c r="G16" s="841" t="s">
        <v>66</v>
      </c>
      <c r="H16" s="833"/>
      <c r="I16" s="833"/>
      <c r="J16" s="833"/>
      <c r="K16" s="833"/>
      <c r="L16" s="833"/>
      <c r="M16" s="833"/>
      <c r="N16" s="833"/>
      <c r="O16" s="833"/>
      <c r="P16" s="833"/>
      <c r="Q16" s="833"/>
      <c r="R16" s="834"/>
      <c r="S16" s="841" t="s">
        <v>63</v>
      </c>
      <c r="T16" s="833"/>
      <c r="U16" s="833"/>
      <c r="V16" s="833"/>
      <c r="W16" s="833"/>
      <c r="X16" s="834"/>
      <c r="Y16" s="904" t="s">
        <v>57</v>
      </c>
      <c r="Z16" s="841" t="s">
        <v>80</v>
      </c>
      <c r="AA16" s="833"/>
      <c r="AB16" s="833"/>
      <c r="AC16" s="833"/>
      <c r="AD16" s="833"/>
      <c r="AE16" s="834"/>
      <c r="AF16" s="802" t="s">
        <v>87</v>
      </c>
      <c r="AG16" s="11"/>
    </row>
    <row r="17" spans="1:33" ht="19.5" customHeight="1" x14ac:dyDescent="0.25">
      <c r="A17" s="98"/>
      <c r="B17" s="803"/>
      <c r="C17" s="778"/>
      <c r="D17" s="778"/>
      <c r="E17" s="803"/>
      <c r="F17" s="905"/>
      <c r="G17" s="911" t="s">
        <v>65</v>
      </c>
      <c r="H17" s="894" t="s">
        <v>110</v>
      </c>
      <c r="I17" s="887" t="s">
        <v>67</v>
      </c>
      <c r="J17" s="892" t="s">
        <v>68</v>
      </c>
      <c r="K17" s="896" t="s">
        <v>69</v>
      </c>
      <c r="L17" s="896" t="s">
        <v>70</v>
      </c>
      <c r="M17" s="896" t="s">
        <v>71</v>
      </c>
      <c r="N17" s="896" t="s">
        <v>72</v>
      </c>
      <c r="O17" s="894" t="s">
        <v>73</v>
      </c>
      <c r="P17" s="894" t="s">
        <v>111</v>
      </c>
      <c r="Q17" s="894" t="s">
        <v>78</v>
      </c>
      <c r="R17" s="909" t="s">
        <v>74</v>
      </c>
      <c r="S17" s="844" t="s">
        <v>75</v>
      </c>
      <c r="T17" s="913" t="s">
        <v>76</v>
      </c>
      <c r="U17" s="896" t="s">
        <v>71</v>
      </c>
      <c r="V17" s="896" t="s">
        <v>77</v>
      </c>
      <c r="W17" s="907" t="s">
        <v>78</v>
      </c>
      <c r="X17" s="902" t="s">
        <v>79</v>
      </c>
      <c r="Y17" s="905"/>
      <c r="Z17" s="898" t="s">
        <v>81</v>
      </c>
      <c r="AA17" s="900" t="s">
        <v>82</v>
      </c>
      <c r="AB17" s="896" t="s">
        <v>83</v>
      </c>
      <c r="AC17" s="892" t="s">
        <v>84</v>
      </c>
      <c r="AD17" s="942" t="s">
        <v>145</v>
      </c>
      <c r="AE17" s="915" t="s">
        <v>85</v>
      </c>
      <c r="AF17" s="803"/>
      <c r="AG17" s="11"/>
    </row>
    <row r="18" spans="1:33" ht="26.25" customHeight="1" thickBot="1" x14ac:dyDescent="0.3">
      <c r="A18" s="98"/>
      <c r="B18" s="803"/>
      <c r="C18" s="778"/>
      <c r="D18" s="778"/>
      <c r="E18" s="803"/>
      <c r="F18" s="906"/>
      <c r="G18" s="912"/>
      <c r="H18" s="895"/>
      <c r="I18" s="888"/>
      <c r="J18" s="893"/>
      <c r="K18" s="897"/>
      <c r="L18" s="897"/>
      <c r="M18" s="897"/>
      <c r="N18" s="897"/>
      <c r="O18" s="895"/>
      <c r="P18" s="895"/>
      <c r="Q18" s="895"/>
      <c r="R18" s="910"/>
      <c r="S18" s="845"/>
      <c r="T18" s="914"/>
      <c r="U18" s="897"/>
      <c r="V18" s="897"/>
      <c r="W18" s="908"/>
      <c r="X18" s="903"/>
      <c r="Y18" s="906"/>
      <c r="Z18" s="899"/>
      <c r="AA18" s="901"/>
      <c r="AB18" s="897"/>
      <c r="AC18" s="893"/>
      <c r="AD18" s="943"/>
      <c r="AE18" s="916"/>
      <c r="AF18" s="804"/>
      <c r="AG18" s="11"/>
    </row>
    <row r="19" spans="1:33" ht="18.75" customHeight="1" x14ac:dyDescent="0.25">
      <c r="A19" s="98"/>
      <c r="B19" s="12"/>
      <c r="C19" s="12"/>
      <c r="D19" s="12"/>
      <c r="E19" s="55"/>
      <c r="F19" s="12"/>
      <c r="G19" s="46"/>
      <c r="H19" s="173"/>
      <c r="I19" s="173"/>
      <c r="J19" s="173"/>
      <c r="K19" s="173"/>
      <c r="L19" s="173"/>
      <c r="M19" s="173"/>
      <c r="N19" s="173"/>
      <c r="O19" s="173"/>
      <c r="P19" s="173"/>
      <c r="Q19" s="173"/>
      <c r="R19" s="43"/>
      <c r="S19" s="174"/>
      <c r="T19" s="175"/>
      <c r="U19" s="173"/>
      <c r="V19" s="173"/>
      <c r="W19" s="173"/>
      <c r="X19" s="176"/>
      <c r="Y19" s="12"/>
      <c r="Z19" s="174"/>
      <c r="AA19" s="175"/>
      <c r="AB19" s="173"/>
      <c r="AC19" s="173"/>
      <c r="AD19" s="173"/>
      <c r="AE19" s="177"/>
      <c r="AF19" s="43"/>
    </row>
    <row r="20" spans="1:33" ht="18.75" customHeight="1" x14ac:dyDescent="0.25">
      <c r="A20" s="98"/>
      <c r="B20" s="33">
        <v>1</v>
      </c>
      <c r="C20" s="72">
        <f>'CED - PAY'!C21</f>
        <v>0</v>
      </c>
      <c r="D20" s="72" t="e">
        <f>'CED - PAY'!D21</f>
        <v>#N/A</v>
      </c>
      <c r="E20" s="306">
        <f>'CED - PAY'!E21</f>
        <v>0</v>
      </c>
      <c r="F20" s="49">
        <f>'CED - PAY'!L21</f>
        <v>0</v>
      </c>
      <c r="G20" s="36">
        <f>ROUND('CED - PAY'!I21*0.09,2)</f>
        <v>0</v>
      </c>
      <c r="H20" s="88"/>
      <c r="I20" s="88"/>
      <c r="J20" s="88"/>
      <c r="K20" s="88"/>
      <c r="L20" s="88"/>
      <c r="M20" s="88"/>
      <c r="N20" s="88"/>
      <c r="O20" s="88"/>
      <c r="P20" s="88"/>
      <c r="Q20" s="88"/>
      <c r="R20" s="41">
        <f>SUM(G20:Q20)</f>
        <v>0</v>
      </c>
      <c r="S20" s="86"/>
      <c r="T20" s="87"/>
      <c r="U20" s="88"/>
      <c r="V20" s="88"/>
      <c r="W20" s="88"/>
      <c r="X20" s="38">
        <f t="shared" ref="X20:X69" si="0">SUM(S20:W20)</f>
        <v>0</v>
      </c>
      <c r="Y20" s="49">
        <f>MIN(ROUNDDOWN('CED - PAY'!I21*0.05/2,2),2500)</f>
        <v>0</v>
      </c>
      <c r="Z20" s="86"/>
      <c r="AA20" s="87"/>
      <c r="AB20" s="88"/>
      <c r="AC20" s="88"/>
      <c r="AD20" s="88"/>
      <c r="AE20" s="35">
        <f>SUM(Z20:AD20)</f>
        <v>0</v>
      </c>
      <c r="AF20" s="62">
        <f t="shared" ref="AF20:AF29" si="1">SUM(F20,R20,X20,Y20,AE20)</f>
        <v>0</v>
      </c>
    </row>
    <row r="21" spans="1:33" ht="18.75" customHeight="1" x14ac:dyDescent="0.25">
      <c r="A21" s="98"/>
      <c r="B21" s="33">
        <f>+B20+1</f>
        <v>2</v>
      </c>
      <c r="C21" s="72">
        <f>'CED - PAY'!C22</f>
        <v>0</v>
      </c>
      <c r="D21" s="72" t="e">
        <f>'CED - PAY'!D22</f>
        <v>#N/A</v>
      </c>
      <c r="E21" s="306">
        <f>'CED - PAY'!E22</f>
        <v>0</v>
      </c>
      <c r="F21" s="49">
        <f>'CED - PAY'!L22</f>
        <v>0</v>
      </c>
      <c r="G21" s="36">
        <f>ROUND('CED - PAY'!I22*0.09,2)</f>
        <v>0</v>
      </c>
      <c r="H21" s="88"/>
      <c r="I21" s="88"/>
      <c r="J21" s="88"/>
      <c r="K21" s="88"/>
      <c r="L21" s="88"/>
      <c r="M21" s="88"/>
      <c r="N21" s="88"/>
      <c r="O21" s="88"/>
      <c r="P21" s="88"/>
      <c r="Q21" s="88"/>
      <c r="R21" s="41">
        <f t="shared" ref="R21:R29" si="2">SUM(G21:Q21)</f>
        <v>0</v>
      </c>
      <c r="S21" s="86"/>
      <c r="T21" s="87"/>
      <c r="U21" s="88"/>
      <c r="V21" s="88"/>
      <c r="W21" s="88"/>
      <c r="X21" s="38">
        <f t="shared" si="0"/>
        <v>0</v>
      </c>
      <c r="Y21" s="49">
        <f>MIN(ROUNDDOWN('CED - PAY'!I22*0.05/2,2),2500)</f>
        <v>0</v>
      </c>
      <c r="Z21" s="86"/>
      <c r="AA21" s="87"/>
      <c r="AB21" s="88"/>
      <c r="AC21" s="88"/>
      <c r="AD21" s="88"/>
      <c r="AE21" s="35">
        <f t="shared" ref="AE21:AE29" si="3">SUM(Z21:AD21)</f>
        <v>0</v>
      </c>
      <c r="AF21" s="62">
        <f t="shared" si="1"/>
        <v>0</v>
      </c>
    </row>
    <row r="22" spans="1:33" ht="18.75" customHeight="1" x14ac:dyDescent="0.25">
      <c r="A22" s="98"/>
      <c r="B22" s="33">
        <f t="shared" ref="B22:B51" si="4">+B21+1</f>
        <v>3</v>
      </c>
      <c r="C22" s="72">
        <f>'CED - PAY'!C23</f>
        <v>0</v>
      </c>
      <c r="D22" s="72" t="e">
        <f>'CED - PAY'!D23</f>
        <v>#N/A</v>
      </c>
      <c r="E22" s="306">
        <f>'CED - PAY'!E23</f>
        <v>0</v>
      </c>
      <c r="F22" s="49">
        <f>'CED - PAY'!L23</f>
        <v>0</v>
      </c>
      <c r="G22" s="36">
        <f>ROUND('CED - PAY'!I23*0.09,2)</f>
        <v>0</v>
      </c>
      <c r="H22" s="88"/>
      <c r="I22" s="88"/>
      <c r="J22" s="88"/>
      <c r="K22" s="88"/>
      <c r="L22" s="88"/>
      <c r="M22" s="88"/>
      <c r="N22" s="88"/>
      <c r="O22" s="88"/>
      <c r="P22" s="88"/>
      <c r="Q22" s="88"/>
      <c r="R22" s="41">
        <f t="shared" si="2"/>
        <v>0</v>
      </c>
      <c r="S22" s="86"/>
      <c r="T22" s="87"/>
      <c r="U22" s="88"/>
      <c r="V22" s="88"/>
      <c r="W22" s="88"/>
      <c r="X22" s="38">
        <f t="shared" si="0"/>
        <v>0</v>
      </c>
      <c r="Y22" s="49">
        <f>MIN(ROUNDDOWN('CED - PAY'!I23*0.05/2,2),2500)</f>
        <v>0</v>
      </c>
      <c r="Z22" s="86"/>
      <c r="AA22" s="87"/>
      <c r="AB22" s="88"/>
      <c r="AC22" s="88"/>
      <c r="AD22" s="88"/>
      <c r="AE22" s="35">
        <f t="shared" si="3"/>
        <v>0</v>
      </c>
      <c r="AF22" s="62">
        <f t="shared" si="1"/>
        <v>0</v>
      </c>
    </row>
    <row r="23" spans="1:33" ht="18.75" customHeight="1" x14ac:dyDescent="0.25">
      <c r="A23" s="98"/>
      <c r="B23" s="33">
        <f t="shared" si="4"/>
        <v>4</v>
      </c>
      <c r="C23" s="72">
        <f>'CED - PAY'!C24</f>
        <v>0</v>
      </c>
      <c r="D23" s="72" t="e">
        <f>'CED - PAY'!D24</f>
        <v>#N/A</v>
      </c>
      <c r="E23" s="306">
        <f>'CED - PAY'!E24</f>
        <v>0</v>
      </c>
      <c r="F23" s="49">
        <f>'CED - PAY'!L24</f>
        <v>0</v>
      </c>
      <c r="G23" s="36">
        <f>ROUND('CED - PAY'!I24*0.09,2)</f>
        <v>0</v>
      </c>
      <c r="H23" s="88"/>
      <c r="I23" s="88"/>
      <c r="J23" s="88"/>
      <c r="K23" s="88"/>
      <c r="L23" s="88"/>
      <c r="M23" s="88"/>
      <c r="N23" s="88"/>
      <c r="O23" s="88"/>
      <c r="P23" s="88"/>
      <c r="Q23" s="88"/>
      <c r="R23" s="41">
        <f t="shared" si="2"/>
        <v>0</v>
      </c>
      <c r="S23" s="86"/>
      <c r="T23" s="87"/>
      <c r="U23" s="88"/>
      <c r="V23" s="88"/>
      <c r="W23" s="88"/>
      <c r="X23" s="38">
        <f t="shared" si="0"/>
        <v>0</v>
      </c>
      <c r="Y23" s="49">
        <f>MIN(ROUNDDOWN('CED - PAY'!I24*0.05/2,2),2500)</f>
        <v>0</v>
      </c>
      <c r="Z23" s="86"/>
      <c r="AA23" s="87"/>
      <c r="AB23" s="88"/>
      <c r="AC23" s="88"/>
      <c r="AD23" s="88"/>
      <c r="AE23" s="35">
        <f t="shared" si="3"/>
        <v>0</v>
      </c>
      <c r="AF23" s="62">
        <f t="shared" si="1"/>
        <v>0</v>
      </c>
      <c r="AG23" s="75"/>
    </row>
    <row r="24" spans="1:33" ht="18.75" customHeight="1" x14ac:dyDescent="0.25">
      <c r="A24" s="98"/>
      <c r="B24" s="33">
        <f t="shared" si="4"/>
        <v>5</v>
      </c>
      <c r="C24" s="72">
        <f>'CED - PAY'!C25</f>
        <v>0</v>
      </c>
      <c r="D24" s="72" t="e">
        <f>'CED - PAY'!D25</f>
        <v>#N/A</v>
      </c>
      <c r="E24" s="306">
        <f>'CED - PAY'!E25</f>
        <v>0</v>
      </c>
      <c r="F24" s="49">
        <f>'CED - PAY'!L25</f>
        <v>0</v>
      </c>
      <c r="G24" s="36">
        <f>ROUND('CED - PAY'!I25*0.09,2)</f>
        <v>0</v>
      </c>
      <c r="H24" s="88"/>
      <c r="I24" s="88"/>
      <c r="J24" s="88"/>
      <c r="K24" s="88"/>
      <c r="L24" s="88"/>
      <c r="M24" s="88"/>
      <c r="N24" s="88"/>
      <c r="O24" s="88"/>
      <c r="P24" s="88"/>
      <c r="Q24" s="88"/>
      <c r="R24" s="41">
        <f t="shared" si="2"/>
        <v>0</v>
      </c>
      <c r="S24" s="86"/>
      <c r="T24" s="87"/>
      <c r="U24" s="88"/>
      <c r="V24" s="88"/>
      <c r="W24" s="88"/>
      <c r="X24" s="38">
        <f t="shared" si="0"/>
        <v>0</v>
      </c>
      <c r="Y24" s="49">
        <f>MIN(ROUNDDOWN('CED - PAY'!I25*0.05/2,2),2500)</f>
        <v>0</v>
      </c>
      <c r="Z24" s="86"/>
      <c r="AA24" s="87"/>
      <c r="AB24" s="88"/>
      <c r="AC24" s="88"/>
      <c r="AD24" s="88"/>
      <c r="AE24" s="35">
        <f t="shared" si="3"/>
        <v>0</v>
      </c>
      <c r="AF24" s="62">
        <f t="shared" si="1"/>
        <v>0</v>
      </c>
    </row>
    <row r="25" spans="1:33" ht="18.75" customHeight="1" x14ac:dyDescent="0.25">
      <c r="A25" s="98"/>
      <c r="B25" s="33">
        <f t="shared" si="4"/>
        <v>6</v>
      </c>
      <c r="C25" s="72">
        <f>'CED - PAY'!C26</f>
        <v>0</v>
      </c>
      <c r="D25" s="72" t="e">
        <f>'CED - PAY'!D26</f>
        <v>#N/A</v>
      </c>
      <c r="E25" s="306">
        <f>'CED - PAY'!E26</f>
        <v>0</v>
      </c>
      <c r="F25" s="49">
        <f>'CED - PAY'!L26</f>
        <v>0</v>
      </c>
      <c r="G25" s="36">
        <f>ROUND('CED - PAY'!I26*0.09,2)</f>
        <v>0</v>
      </c>
      <c r="H25" s="88"/>
      <c r="I25" s="88"/>
      <c r="J25" s="88"/>
      <c r="K25" s="88"/>
      <c r="L25" s="88"/>
      <c r="M25" s="88"/>
      <c r="N25" s="88"/>
      <c r="O25" s="88"/>
      <c r="P25" s="88"/>
      <c r="Q25" s="88"/>
      <c r="R25" s="41">
        <f t="shared" si="2"/>
        <v>0</v>
      </c>
      <c r="S25" s="86"/>
      <c r="T25" s="87"/>
      <c r="U25" s="88"/>
      <c r="V25" s="88"/>
      <c r="W25" s="88"/>
      <c r="X25" s="38">
        <f t="shared" si="0"/>
        <v>0</v>
      </c>
      <c r="Y25" s="49">
        <f>MIN(ROUNDDOWN('CED - PAY'!I26*0.05/2,2),2500)</f>
        <v>0</v>
      </c>
      <c r="Z25" s="86"/>
      <c r="AA25" s="87"/>
      <c r="AB25" s="88"/>
      <c r="AC25" s="88"/>
      <c r="AD25" s="88"/>
      <c r="AE25" s="35">
        <f t="shared" si="3"/>
        <v>0</v>
      </c>
      <c r="AF25" s="62">
        <f t="shared" si="1"/>
        <v>0</v>
      </c>
    </row>
    <row r="26" spans="1:33" ht="18.75" customHeight="1" x14ac:dyDescent="0.25">
      <c r="A26" s="98"/>
      <c r="B26" s="33">
        <f t="shared" si="4"/>
        <v>7</v>
      </c>
      <c r="C26" s="72">
        <f>'CED - PAY'!C27</f>
        <v>0</v>
      </c>
      <c r="D26" s="72" t="e">
        <f>'CED - PAY'!D27</f>
        <v>#N/A</v>
      </c>
      <c r="E26" s="306">
        <f>'CED - PAY'!E27</f>
        <v>0</v>
      </c>
      <c r="F26" s="49">
        <f>'CED - PAY'!L27</f>
        <v>0</v>
      </c>
      <c r="G26" s="36">
        <f>ROUND('CED - PAY'!I27*0.09,2)</f>
        <v>0</v>
      </c>
      <c r="H26" s="88"/>
      <c r="I26" s="88"/>
      <c r="J26" s="88"/>
      <c r="K26" s="88"/>
      <c r="L26" s="88"/>
      <c r="M26" s="88"/>
      <c r="N26" s="88"/>
      <c r="O26" s="88"/>
      <c r="P26" s="88"/>
      <c r="Q26" s="88"/>
      <c r="R26" s="41">
        <f t="shared" si="2"/>
        <v>0</v>
      </c>
      <c r="S26" s="86"/>
      <c r="T26" s="87"/>
      <c r="U26" s="88"/>
      <c r="V26" s="88"/>
      <c r="W26" s="88"/>
      <c r="X26" s="38">
        <f t="shared" si="0"/>
        <v>0</v>
      </c>
      <c r="Y26" s="49">
        <f>MIN(ROUNDDOWN('CED - PAY'!I27*0.05/2,2),2500)</f>
        <v>0</v>
      </c>
      <c r="Z26" s="86"/>
      <c r="AA26" s="87"/>
      <c r="AB26" s="88"/>
      <c r="AC26" s="88"/>
      <c r="AD26" s="88"/>
      <c r="AE26" s="35">
        <f t="shared" si="3"/>
        <v>0</v>
      </c>
      <c r="AF26" s="62">
        <f t="shared" si="1"/>
        <v>0</v>
      </c>
    </row>
    <row r="27" spans="1:33" ht="18.75" customHeight="1" x14ac:dyDescent="0.25">
      <c r="A27" s="98"/>
      <c r="B27" s="33">
        <f t="shared" si="4"/>
        <v>8</v>
      </c>
      <c r="C27" s="72">
        <f>'CED - PAY'!C28</f>
        <v>0</v>
      </c>
      <c r="D27" s="72" t="e">
        <f>'CED - PAY'!D28</f>
        <v>#N/A</v>
      </c>
      <c r="E27" s="306">
        <f>'CED - PAY'!E28</f>
        <v>0</v>
      </c>
      <c r="F27" s="49">
        <f>'CED - PAY'!L28</f>
        <v>0</v>
      </c>
      <c r="G27" s="36">
        <f>ROUND('CED - PAY'!I28*0.09,2)</f>
        <v>0</v>
      </c>
      <c r="H27" s="88"/>
      <c r="I27" s="88"/>
      <c r="J27" s="88"/>
      <c r="K27" s="88"/>
      <c r="L27" s="88"/>
      <c r="M27" s="88"/>
      <c r="N27" s="88"/>
      <c r="O27" s="88"/>
      <c r="P27" s="88"/>
      <c r="Q27" s="88"/>
      <c r="R27" s="41">
        <f t="shared" si="2"/>
        <v>0</v>
      </c>
      <c r="S27" s="86"/>
      <c r="T27" s="87"/>
      <c r="U27" s="88"/>
      <c r="V27" s="88"/>
      <c r="W27" s="88"/>
      <c r="X27" s="38">
        <f t="shared" si="0"/>
        <v>0</v>
      </c>
      <c r="Y27" s="49">
        <f>MIN(ROUNDDOWN('CED - PAY'!I28*0.05/2,2),2500)</f>
        <v>0</v>
      </c>
      <c r="Z27" s="86"/>
      <c r="AA27" s="87"/>
      <c r="AB27" s="88"/>
      <c r="AC27" s="88"/>
      <c r="AD27" s="88"/>
      <c r="AE27" s="35">
        <f t="shared" si="3"/>
        <v>0</v>
      </c>
      <c r="AF27" s="62">
        <f t="shared" si="1"/>
        <v>0</v>
      </c>
    </row>
    <row r="28" spans="1:33" ht="18.75" customHeight="1" x14ac:dyDescent="0.25">
      <c r="A28" s="98"/>
      <c r="B28" s="33">
        <f t="shared" si="4"/>
        <v>9</v>
      </c>
      <c r="C28" s="72">
        <f>'CED - PAY'!C29</f>
        <v>0</v>
      </c>
      <c r="D28" s="72" t="e">
        <f>'CED - PAY'!D29</f>
        <v>#N/A</v>
      </c>
      <c r="E28" s="306">
        <f>'CED - PAY'!E29</f>
        <v>0</v>
      </c>
      <c r="F28" s="49">
        <f>'CED - PAY'!L29</f>
        <v>0</v>
      </c>
      <c r="G28" s="36">
        <f>ROUND('CED - PAY'!I29*0.09,2)</f>
        <v>0</v>
      </c>
      <c r="H28" s="88"/>
      <c r="I28" s="88"/>
      <c r="J28" s="88"/>
      <c r="K28" s="88"/>
      <c r="L28" s="88"/>
      <c r="M28" s="88"/>
      <c r="N28" s="88"/>
      <c r="O28" s="88"/>
      <c r="P28" s="88"/>
      <c r="Q28" s="88"/>
      <c r="R28" s="41">
        <f t="shared" si="2"/>
        <v>0</v>
      </c>
      <c r="S28" s="86"/>
      <c r="T28" s="87"/>
      <c r="U28" s="88"/>
      <c r="V28" s="88"/>
      <c r="W28" s="88"/>
      <c r="X28" s="38">
        <f t="shared" si="0"/>
        <v>0</v>
      </c>
      <c r="Y28" s="49">
        <f>MIN(ROUNDDOWN('CED - PAY'!I29*0.05/2,2),2500)</f>
        <v>0</v>
      </c>
      <c r="Z28" s="86"/>
      <c r="AA28" s="87"/>
      <c r="AB28" s="88"/>
      <c r="AC28" s="88"/>
      <c r="AD28" s="88"/>
      <c r="AE28" s="35">
        <f t="shared" si="3"/>
        <v>0</v>
      </c>
      <c r="AF28" s="62">
        <f t="shared" si="1"/>
        <v>0</v>
      </c>
    </row>
    <row r="29" spans="1:33" ht="18.75" customHeight="1" x14ac:dyDescent="0.25">
      <c r="A29" s="98"/>
      <c r="B29" s="33">
        <f t="shared" si="4"/>
        <v>10</v>
      </c>
      <c r="C29" s="72">
        <f>'CED - PAY'!C30</f>
        <v>0</v>
      </c>
      <c r="D29" s="72" t="e">
        <f>'CED - PAY'!D30</f>
        <v>#N/A</v>
      </c>
      <c r="E29" s="306">
        <f>'CED - PAY'!E30</f>
        <v>0</v>
      </c>
      <c r="F29" s="49">
        <f>'CED - PAY'!L30</f>
        <v>0</v>
      </c>
      <c r="G29" s="36">
        <f>ROUND('CED - PAY'!I30*0.09,2)</f>
        <v>0</v>
      </c>
      <c r="H29" s="91"/>
      <c r="I29" s="91"/>
      <c r="J29" s="91"/>
      <c r="K29" s="91"/>
      <c r="L29" s="91"/>
      <c r="M29" s="91"/>
      <c r="N29" s="91"/>
      <c r="O29" s="91"/>
      <c r="P29" s="91"/>
      <c r="Q29" s="91"/>
      <c r="R29" s="41">
        <f t="shared" si="2"/>
        <v>0</v>
      </c>
      <c r="S29" s="86"/>
      <c r="T29" s="90"/>
      <c r="U29" s="91"/>
      <c r="V29" s="91"/>
      <c r="W29" s="91"/>
      <c r="X29" s="38">
        <f t="shared" si="0"/>
        <v>0</v>
      </c>
      <c r="Y29" s="49">
        <f>MIN(ROUNDDOWN('CED - PAY'!I30*0.05/2,2),2500)</f>
        <v>0</v>
      </c>
      <c r="Z29" s="89"/>
      <c r="AA29" s="90"/>
      <c r="AB29" s="88"/>
      <c r="AC29" s="91"/>
      <c r="AD29" s="91"/>
      <c r="AE29" s="35">
        <f t="shared" si="3"/>
        <v>0</v>
      </c>
      <c r="AF29" s="62">
        <f t="shared" si="1"/>
        <v>0</v>
      </c>
    </row>
    <row r="30" spans="1:33" ht="18.75" customHeight="1" x14ac:dyDescent="0.25">
      <c r="A30" s="98"/>
      <c r="B30" s="33">
        <f t="shared" si="4"/>
        <v>11</v>
      </c>
      <c r="C30" s="72">
        <f>'CED - PAY'!C31</f>
        <v>0</v>
      </c>
      <c r="D30" s="72" t="e">
        <f>'CED - PAY'!D31</f>
        <v>#N/A</v>
      </c>
      <c r="E30" s="306">
        <f>'CED - PAY'!E31</f>
        <v>0</v>
      </c>
      <c r="F30" s="49">
        <f>'CED - PAY'!L31</f>
        <v>0</v>
      </c>
      <c r="G30" s="36">
        <f>ROUND('CED - PAY'!I31*0.09,2)</f>
        <v>0</v>
      </c>
      <c r="H30" s="91"/>
      <c r="I30" s="91"/>
      <c r="J30" s="91"/>
      <c r="K30" s="91"/>
      <c r="L30" s="91"/>
      <c r="M30" s="91"/>
      <c r="N30" s="91"/>
      <c r="O30" s="91"/>
      <c r="P30" s="91"/>
      <c r="Q30" s="91"/>
      <c r="R30" s="41">
        <f t="shared" ref="R30:R40" si="5">SUM(G30:Q30)</f>
        <v>0</v>
      </c>
      <c r="S30" s="86"/>
      <c r="T30" s="90"/>
      <c r="U30" s="91"/>
      <c r="V30" s="91"/>
      <c r="W30" s="91"/>
      <c r="X30" s="38">
        <f t="shared" si="0"/>
        <v>0</v>
      </c>
      <c r="Y30" s="49">
        <f>MIN(ROUNDDOWN('CED - PAY'!I31*0.05/2,2),2500)</f>
        <v>0</v>
      </c>
      <c r="Z30" s="89"/>
      <c r="AA30" s="90"/>
      <c r="AB30" s="88"/>
      <c r="AC30" s="91"/>
      <c r="AD30" s="91"/>
      <c r="AE30" s="35">
        <f t="shared" ref="AE30:AE40" si="6">SUM(Z30:AD30)</f>
        <v>0</v>
      </c>
      <c r="AF30" s="62">
        <f t="shared" ref="AF30:AF40" si="7">SUM(F30,R30,X30,Y30,AE30)</f>
        <v>0</v>
      </c>
    </row>
    <row r="31" spans="1:33" ht="18.75" customHeight="1" x14ac:dyDescent="0.25">
      <c r="A31" s="98"/>
      <c r="B31" s="33">
        <f t="shared" si="4"/>
        <v>12</v>
      </c>
      <c r="C31" s="72">
        <f>'CED - PAY'!C32</f>
        <v>0</v>
      </c>
      <c r="D31" s="72" t="e">
        <f>'CED - PAY'!D32</f>
        <v>#N/A</v>
      </c>
      <c r="E31" s="306">
        <f>'CED - PAY'!E32</f>
        <v>0</v>
      </c>
      <c r="F31" s="49">
        <f>'CED - PAY'!L32</f>
        <v>0</v>
      </c>
      <c r="G31" s="36">
        <f>ROUND('CED - PAY'!I32*0.09,2)</f>
        <v>0</v>
      </c>
      <c r="H31" s="91"/>
      <c r="I31" s="91"/>
      <c r="J31" s="91"/>
      <c r="K31" s="91"/>
      <c r="L31" s="91"/>
      <c r="M31" s="91"/>
      <c r="N31" s="91"/>
      <c r="O31" s="91"/>
      <c r="P31" s="91"/>
      <c r="Q31" s="91"/>
      <c r="R31" s="41">
        <f t="shared" si="5"/>
        <v>0</v>
      </c>
      <c r="S31" s="86"/>
      <c r="T31" s="90"/>
      <c r="U31" s="91"/>
      <c r="V31" s="91"/>
      <c r="W31" s="91"/>
      <c r="X31" s="38">
        <f t="shared" si="0"/>
        <v>0</v>
      </c>
      <c r="Y31" s="49">
        <f>MIN(ROUNDDOWN('CED - PAY'!I32*0.05/2,2),2500)</f>
        <v>0</v>
      </c>
      <c r="Z31" s="89"/>
      <c r="AA31" s="90"/>
      <c r="AB31" s="88"/>
      <c r="AC31" s="91"/>
      <c r="AD31" s="91"/>
      <c r="AE31" s="35">
        <f t="shared" si="6"/>
        <v>0</v>
      </c>
      <c r="AF31" s="62">
        <f t="shared" si="7"/>
        <v>0</v>
      </c>
    </row>
    <row r="32" spans="1:33" ht="18.75" customHeight="1" x14ac:dyDescent="0.25">
      <c r="A32" s="98"/>
      <c r="B32" s="33">
        <f t="shared" si="4"/>
        <v>13</v>
      </c>
      <c r="C32" s="72">
        <f>'CED - PAY'!C33</f>
        <v>0</v>
      </c>
      <c r="D32" s="72" t="e">
        <f>'CED - PAY'!D33</f>
        <v>#N/A</v>
      </c>
      <c r="E32" s="306">
        <f>'CED - PAY'!E33</f>
        <v>0</v>
      </c>
      <c r="F32" s="49">
        <f>'CED - PAY'!L33</f>
        <v>0</v>
      </c>
      <c r="G32" s="36">
        <f>ROUND('CED - PAY'!I33*0.09,2)</f>
        <v>0</v>
      </c>
      <c r="H32" s="91"/>
      <c r="I32" s="91"/>
      <c r="J32" s="91"/>
      <c r="K32" s="91"/>
      <c r="L32" s="91"/>
      <c r="M32" s="91"/>
      <c r="N32" s="91"/>
      <c r="O32" s="91"/>
      <c r="P32" s="91"/>
      <c r="Q32" s="91"/>
      <c r="R32" s="41">
        <f t="shared" si="5"/>
        <v>0</v>
      </c>
      <c r="S32" s="86"/>
      <c r="T32" s="90"/>
      <c r="U32" s="91"/>
      <c r="V32" s="91"/>
      <c r="W32" s="91"/>
      <c r="X32" s="38">
        <f t="shared" si="0"/>
        <v>0</v>
      </c>
      <c r="Y32" s="49">
        <f>MIN(ROUNDDOWN('CED - PAY'!I33*0.05/2,2),2500)</f>
        <v>0</v>
      </c>
      <c r="Z32" s="89"/>
      <c r="AA32" s="90"/>
      <c r="AB32" s="88"/>
      <c r="AC32" s="91"/>
      <c r="AD32" s="91"/>
      <c r="AE32" s="35">
        <f t="shared" si="6"/>
        <v>0</v>
      </c>
      <c r="AF32" s="62">
        <f t="shared" si="7"/>
        <v>0</v>
      </c>
    </row>
    <row r="33" spans="1:32" ht="18.75" customHeight="1" x14ac:dyDescent="0.25">
      <c r="A33" s="98"/>
      <c r="B33" s="33">
        <f t="shared" si="4"/>
        <v>14</v>
      </c>
      <c r="C33" s="72">
        <f>'CED - PAY'!C34</f>
        <v>0</v>
      </c>
      <c r="D33" s="72" t="e">
        <f>'CED - PAY'!D34</f>
        <v>#N/A</v>
      </c>
      <c r="E33" s="306">
        <f>'CED - PAY'!E34</f>
        <v>0</v>
      </c>
      <c r="F33" s="49">
        <f>'CED - PAY'!L34</f>
        <v>0</v>
      </c>
      <c r="G33" s="36">
        <f>ROUND('CED - PAY'!I34*0.09,2)</f>
        <v>0</v>
      </c>
      <c r="H33" s="91"/>
      <c r="I33" s="91"/>
      <c r="J33" s="91"/>
      <c r="K33" s="91"/>
      <c r="L33" s="91"/>
      <c r="M33" s="91"/>
      <c r="N33" s="91"/>
      <c r="O33" s="91"/>
      <c r="P33" s="91"/>
      <c r="Q33" s="91"/>
      <c r="R33" s="41">
        <f t="shared" si="5"/>
        <v>0</v>
      </c>
      <c r="S33" s="86"/>
      <c r="T33" s="90"/>
      <c r="U33" s="91"/>
      <c r="V33" s="91"/>
      <c r="W33" s="91"/>
      <c r="X33" s="38">
        <f t="shared" si="0"/>
        <v>0</v>
      </c>
      <c r="Y33" s="49">
        <f>MIN(ROUNDDOWN('CED - PAY'!I34*0.05/2,2),2500)</f>
        <v>0</v>
      </c>
      <c r="Z33" s="89"/>
      <c r="AA33" s="90"/>
      <c r="AB33" s="88"/>
      <c r="AC33" s="91"/>
      <c r="AD33" s="91"/>
      <c r="AE33" s="35">
        <f t="shared" si="6"/>
        <v>0</v>
      </c>
      <c r="AF33" s="62">
        <f t="shared" si="7"/>
        <v>0</v>
      </c>
    </row>
    <row r="34" spans="1:32" ht="18.75" customHeight="1" x14ac:dyDescent="0.25">
      <c r="A34" s="98"/>
      <c r="B34" s="33">
        <f t="shared" si="4"/>
        <v>15</v>
      </c>
      <c r="C34" s="72">
        <f>'CED - PAY'!C35</f>
        <v>0</v>
      </c>
      <c r="D34" s="72" t="e">
        <f>'CED - PAY'!D35</f>
        <v>#N/A</v>
      </c>
      <c r="E34" s="306">
        <f>'CED - PAY'!E35</f>
        <v>0</v>
      </c>
      <c r="F34" s="49">
        <f>'CED - PAY'!L35</f>
        <v>0</v>
      </c>
      <c r="G34" s="36">
        <f>ROUND('CED - PAY'!I35*0.09,2)</f>
        <v>0</v>
      </c>
      <c r="H34" s="91"/>
      <c r="I34" s="91"/>
      <c r="J34" s="91"/>
      <c r="K34" s="91"/>
      <c r="L34" s="91"/>
      <c r="M34" s="91"/>
      <c r="N34" s="91"/>
      <c r="O34" s="91"/>
      <c r="P34" s="91"/>
      <c r="Q34" s="91"/>
      <c r="R34" s="41">
        <f t="shared" si="5"/>
        <v>0</v>
      </c>
      <c r="S34" s="86"/>
      <c r="T34" s="90"/>
      <c r="U34" s="91"/>
      <c r="V34" s="91"/>
      <c r="W34" s="91"/>
      <c r="X34" s="38">
        <f t="shared" si="0"/>
        <v>0</v>
      </c>
      <c r="Y34" s="49">
        <f>MIN(ROUNDDOWN('CED - PAY'!I35*0.05/2,2),2500)</f>
        <v>0</v>
      </c>
      <c r="Z34" s="89"/>
      <c r="AA34" s="90"/>
      <c r="AB34" s="88"/>
      <c r="AC34" s="91"/>
      <c r="AD34" s="91"/>
      <c r="AE34" s="35">
        <f t="shared" si="6"/>
        <v>0</v>
      </c>
      <c r="AF34" s="62">
        <f t="shared" si="7"/>
        <v>0</v>
      </c>
    </row>
    <row r="35" spans="1:32" ht="18.75" customHeight="1" x14ac:dyDescent="0.25">
      <c r="A35" s="98"/>
      <c r="B35" s="33">
        <f t="shared" si="4"/>
        <v>16</v>
      </c>
      <c r="C35" s="72">
        <f>'CED - PAY'!C36</f>
        <v>0</v>
      </c>
      <c r="D35" s="72" t="e">
        <f>'CED - PAY'!D36</f>
        <v>#N/A</v>
      </c>
      <c r="E35" s="306">
        <f>'CED - PAY'!E36</f>
        <v>0</v>
      </c>
      <c r="F35" s="49">
        <f>'CED - PAY'!L36</f>
        <v>0</v>
      </c>
      <c r="G35" s="36">
        <f>ROUND('CED - PAY'!I36*0.09,2)</f>
        <v>0</v>
      </c>
      <c r="H35" s="91"/>
      <c r="I35" s="91"/>
      <c r="J35" s="91"/>
      <c r="K35" s="91"/>
      <c r="L35" s="91"/>
      <c r="M35" s="91"/>
      <c r="N35" s="91"/>
      <c r="O35" s="91"/>
      <c r="P35" s="91"/>
      <c r="Q35" s="91"/>
      <c r="R35" s="41">
        <f t="shared" si="5"/>
        <v>0</v>
      </c>
      <c r="S35" s="86"/>
      <c r="T35" s="90"/>
      <c r="U35" s="91"/>
      <c r="V35" s="91"/>
      <c r="W35" s="91"/>
      <c r="X35" s="38">
        <f t="shared" si="0"/>
        <v>0</v>
      </c>
      <c r="Y35" s="49">
        <f>MIN(ROUNDDOWN('CED - PAY'!I36*0.05/2,2),2500)</f>
        <v>0</v>
      </c>
      <c r="Z35" s="89"/>
      <c r="AA35" s="90"/>
      <c r="AB35" s="88"/>
      <c r="AC35" s="91"/>
      <c r="AD35" s="91"/>
      <c r="AE35" s="35">
        <f t="shared" si="6"/>
        <v>0</v>
      </c>
      <c r="AF35" s="62">
        <f t="shared" si="7"/>
        <v>0</v>
      </c>
    </row>
    <row r="36" spans="1:32" ht="18.75" customHeight="1" x14ac:dyDescent="0.25">
      <c r="A36" s="98"/>
      <c r="B36" s="33">
        <f t="shared" si="4"/>
        <v>17</v>
      </c>
      <c r="C36" s="72">
        <f>'CED - PAY'!C37</f>
        <v>0</v>
      </c>
      <c r="D36" s="72" t="e">
        <f>'CED - PAY'!D37</f>
        <v>#N/A</v>
      </c>
      <c r="E36" s="306">
        <f>'CED - PAY'!E37</f>
        <v>0</v>
      </c>
      <c r="F36" s="49">
        <f>'CED - PAY'!L37</f>
        <v>0</v>
      </c>
      <c r="G36" s="36">
        <f>ROUND('CED - PAY'!I37*0.09,2)</f>
        <v>0</v>
      </c>
      <c r="H36" s="91"/>
      <c r="I36" s="91"/>
      <c r="J36" s="91"/>
      <c r="K36" s="91"/>
      <c r="L36" s="91"/>
      <c r="M36" s="91"/>
      <c r="N36" s="91"/>
      <c r="O36" s="91"/>
      <c r="P36" s="91"/>
      <c r="Q36" s="91"/>
      <c r="R36" s="41">
        <f t="shared" si="5"/>
        <v>0</v>
      </c>
      <c r="S36" s="86"/>
      <c r="T36" s="90"/>
      <c r="U36" s="91"/>
      <c r="V36" s="91"/>
      <c r="W36" s="91"/>
      <c r="X36" s="38">
        <f t="shared" si="0"/>
        <v>0</v>
      </c>
      <c r="Y36" s="49">
        <f>MIN(ROUNDDOWN('CED - PAY'!I37*0.05/2,2),2500)</f>
        <v>0</v>
      </c>
      <c r="Z36" s="89"/>
      <c r="AA36" s="90"/>
      <c r="AB36" s="88"/>
      <c r="AC36" s="91"/>
      <c r="AD36" s="91"/>
      <c r="AE36" s="35">
        <f t="shared" si="6"/>
        <v>0</v>
      </c>
      <c r="AF36" s="62">
        <f t="shared" si="7"/>
        <v>0</v>
      </c>
    </row>
    <row r="37" spans="1:32" ht="18.75" customHeight="1" x14ac:dyDescent="0.25">
      <c r="A37" s="98"/>
      <c r="B37" s="33">
        <f t="shared" si="4"/>
        <v>18</v>
      </c>
      <c r="C37" s="72">
        <f>'CED - PAY'!C38</f>
        <v>0</v>
      </c>
      <c r="D37" s="72" t="e">
        <f>'CED - PAY'!D38</f>
        <v>#N/A</v>
      </c>
      <c r="E37" s="306">
        <f>'CED - PAY'!E38</f>
        <v>0</v>
      </c>
      <c r="F37" s="49">
        <f>'CED - PAY'!L38</f>
        <v>0</v>
      </c>
      <c r="G37" s="36">
        <f>ROUND('CED - PAY'!I38*0.09,2)</f>
        <v>0</v>
      </c>
      <c r="H37" s="91"/>
      <c r="I37" s="91"/>
      <c r="J37" s="91"/>
      <c r="K37" s="91"/>
      <c r="L37" s="91"/>
      <c r="M37" s="91"/>
      <c r="N37" s="91"/>
      <c r="O37" s="91"/>
      <c r="P37" s="91"/>
      <c r="Q37" s="91"/>
      <c r="R37" s="41">
        <f t="shared" si="5"/>
        <v>0</v>
      </c>
      <c r="S37" s="86"/>
      <c r="T37" s="90"/>
      <c r="U37" s="91"/>
      <c r="V37" s="91"/>
      <c r="W37" s="91"/>
      <c r="X37" s="38">
        <f t="shared" si="0"/>
        <v>0</v>
      </c>
      <c r="Y37" s="49">
        <f>MIN(ROUNDDOWN('CED - PAY'!I38*0.05/2,2),2500)</f>
        <v>0</v>
      </c>
      <c r="Z37" s="89"/>
      <c r="AA37" s="90"/>
      <c r="AB37" s="88"/>
      <c r="AC37" s="91"/>
      <c r="AD37" s="91"/>
      <c r="AE37" s="35">
        <f t="shared" si="6"/>
        <v>0</v>
      </c>
      <c r="AF37" s="62">
        <f t="shared" si="7"/>
        <v>0</v>
      </c>
    </row>
    <row r="38" spans="1:32" ht="18.75" customHeight="1" x14ac:dyDescent="0.25">
      <c r="A38" s="98"/>
      <c r="B38" s="33">
        <f t="shared" si="4"/>
        <v>19</v>
      </c>
      <c r="C38" s="72">
        <f>'CED - PAY'!C39</f>
        <v>0</v>
      </c>
      <c r="D38" s="72" t="e">
        <f>'CED - PAY'!D39</f>
        <v>#N/A</v>
      </c>
      <c r="E38" s="306">
        <f>'CED - PAY'!E39</f>
        <v>0</v>
      </c>
      <c r="F38" s="49">
        <f>'CED - PAY'!L39</f>
        <v>0</v>
      </c>
      <c r="G38" s="36">
        <f>ROUND('CED - PAY'!I39*0.09,2)</f>
        <v>0</v>
      </c>
      <c r="H38" s="91"/>
      <c r="I38" s="91"/>
      <c r="J38" s="91"/>
      <c r="K38" s="91"/>
      <c r="L38" s="91"/>
      <c r="M38" s="91"/>
      <c r="N38" s="91"/>
      <c r="O38" s="91"/>
      <c r="P38" s="91"/>
      <c r="Q38" s="91"/>
      <c r="R38" s="41">
        <f t="shared" si="5"/>
        <v>0</v>
      </c>
      <c r="S38" s="86"/>
      <c r="T38" s="90"/>
      <c r="U38" s="91"/>
      <c r="V38" s="91"/>
      <c r="W38" s="91"/>
      <c r="X38" s="38">
        <f t="shared" si="0"/>
        <v>0</v>
      </c>
      <c r="Y38" s="49">
        <f>MIN(ROUNDDOWN('CED - PAY'!I39*0.05/2,2),2500)</f>
        <v>0</v>
      </c>
      <c r="Z38" s="89"/>
      <c r="AA38" s="90"/>
      <c r="AB38" s="88"/>
      <c r="AC38" s="91"/>
      <c r="AD38" s="91"/>
      <c r="AE38" s="35">
        <f t="shared" si="6"/>
        <v>0</v>
      </c>
      <c r="AF38" s="62">
        <f t="shared" si="7"/>
        <v>0</v>
      </c>
    </row>
    <row r="39" spans="1:32" ht="18.75" customHeight="1" x14ac:dyDescent="0.25">
      <c r="A39" s="98"/>
      <c r="B39" s="33">
        <f t="shared" si="4"/>
        <v>20</v>
      </c>
      <c r="C39" s="72">
        <f>'CED - PAY'!C40</f>
        <v>0</v>
      </c>
      <c r="D39" s="72" t="e">
        <f>'CED - PAY'!D40</f>
        <v>#N/A</v>
      </c>
      <c r="E39" s="306">
        <f>'CED - PAY'!E40</f>
        <v>0</v>
      </c>
      <c r="F39" s="49">
        <f>'CED - PAY'!L40</f>
        <v>0</v>
      </c>
      <c r="G39" s="36">
        <f>ROUND('CED - PAY'!I40*0.09,2)</f>
        <v>0</v>
      </c>
      <c r="H39" s="91"/>
      <c r="I39" s="91"/>
      <c r="J39" s="91"/>
      <c r="K39" s="91"/>
      <c r="L39" s="91"/>
      <c r="M39" s="91"/>
      <c r="N39" s="91"/>
      <c r="O39" s="91"/>
      <c r="P39" s="91"/>
      <c r="Q39" s="91"/>
      <c r="R39" s="41">
        <f t="shared" si="5"/>
        <v>0</v>
      </c>
      <c r="S39" s="86"/>
      <c r="T39" s="90"/>
      <c r="U39" s="91"/>
      <c r="V39" s="91"/>
      <c r="W39" s="91"/>
      <c r="X39" s="38">
        <f t="shared" si="0"/>
        <v>0</v>
      </c>
      <c r="Y39" s="49">
        <f>MIN(ROUNDDOWN('CED - PAY'!I40*0.05/2,2),2500)</f>
        <v>0</v>
      </c>
      <c r="Z39" s="89"/>
      <c r="AA39" s="90"/>
      <c r="AB39" s="88"/>
      <c r="AC39" s="91"/>
      <c r="AD39" s="91"/>
      <c r="AE39" s="35">
        <f t="shared" si="6"/>
        <v>0</v>
      </c>
      <c r="AF39" s="62">
        <f t="shared" si="7"/>
        <v>0</v>
      </c>
    </row>
    <row r="40" spans="1:32" ht="18.75" customHeight="1" x14ac:dyDescent="0.25">
      <c r="A40" s="98"/>
      <c r="B40" s="33">
        <f t="shared" si="4"/>
        <v>21</v>
      </c>
      <c r="C40" s="72">
        <f>'CED - PAY'!C41</f>
        <v>0</v>
      </c>
      <c r="D40" s="72" t="e">
        <f>'CED - PAY'!D41</f>
        <v>#N/A</v>
      </c>
      <c r="E40" s="306">
        <f>'CED - PAY'!E41</f>
        <v>0</v>
      </c>
      <c r="F40" s="49">
        <f>'CED - PAY'!L41</f>
        <v>0</v>
      </c>
      <c r="G40" s="36">
        <f>ROUND('CED - PAY'!I41*0.09,2)</f>
        <v>0</v>
      </c>
      <c r="H40" s="91"/>
      <c r="I40" s="91"/>
      <c r="J40" s="91"/>
      <c r="K40" s="91"/>
      <c r="L40" s="91"/>
      <c r="M40" s="91"/>
      <c r="N40" s="91"/>
      <c r="O40" s="91"/>
      <c r="P40" s="91"/>
      <c r="Q40" s="91"/>
      <c r="R40" s="41">
        <f t="shared" si="5"/>
        <v>0</v>
      </c>
      <c r="S40" s="86"/>
      <c r="T40" s="90"/>
      <c r="U40" s="91"/>
      <c r="V40" s="91"/>
      <c r="W40" s="91"/>
      <c r="X40" s="38">
        <f t="shared" si="0"/>
        <v>0</v>
      </c>
      <c r="Y40" s="49">
        <f>MIN(ROUNDDOWN('CED - PAY'!I41*0.05/2,2),2500)</f>
        <v>0</v>
      </c>
      <c r="Z40" s="89"/>
      <c r="AA40" s="90"/>
      <c r="AB40" s="88"/>
      <c r="AC40" s="91"/>
      <c r="AD40" s="91"/>
      <c r="AE40" s="35">
        <f t="shared" si="6"/>
        <v>0</v>
      </c>
      <c r="AF40" s="62">
        <f t="shared" si="7"/>
        <v>0</v>
      </c>
    </row>
    <row r="41" spans="1:32" ht="18.75" customHeight="1" x14ac:dyDescent="0.25">
      <c r="A41" s="98"/>
      <c r="B41" s="33">
        <f t="shared" si="4"/>
        <v>22</v>
      </c>
      <c r="C41" s="72">
        <f>'CED - PAY'!C42</f>
        <v>0</v>
      </c>
      <c r="D41" s="72" t="e">
        <f>'CED - PAY'!D42</f>
        <v>#N/A</v>
      </c>
      <c r="E41" s="306">
        <f>'CED - PAY'!E42</f>
        <v>0</v>
      </c>
      <c r="F41" s="49">
        <f>'CED - PAY'!L42</f>
        <v>0</v>
      </c>
      <c r="G41" s="36">
        <f>ROUND('CED - PAY'!I42*0.09,2)</f>
        <v>0</v>
      </c>
      <c r="H41" s="91"/>
      <c r="I41" s="91"/>
      <c r="J41" s="91"/>
      <c r="K41" s="91"/>
      <c r="L41" s="91"/>
      <c r="M41" s="91"/>
      <c r="N41" s="91"/>
      <c r="O41" s="91"/>
      <c r="P41" s="91"/>
      <c r="Q41" s="91"/>
      <c r="R41" s="41">
        <f t="shared" ref="R41:R69" si="8">SUM(G41:Q41)</f>
        <v>0</v>
      </c>
      <c r="S41" s="86"/>
      <c r="T41" s="90"/>
      <c r="U41" s="91"/>
      <c r="V41" s="91"/>
      <c r="W41" s="91"/>
      <c r="X41" s="38">
        <f t="shared" si="0"/>
        <v>0</v>
      </c>
      <c r="Y41" s="49">
        <f>MIN(ROUNDDOWN('CED - PAY'!I42*0.05/2,2),2500)</f>
        <v>0</v>
      </c>
      <c r="Z41" s="89"/>
      <c r="AA41" s="90"/>
      <c r="AB41" s="88"/>
      <c r="AC41" s="91"/>
      <c r="AD41" s="91"/>
      <c r="AE41" s="35">
        <f t="shared" ref="AE41:AE69" si="9">SUM(Z41:AD41)</f>
        <v>0</v>
      </c>
      <c r="AF41" s="62">
        <f t="shared" ref="AF41:AF70" si="10">SUM(F41,R41,X41,Y41,AE41)</f>
        <v>0</v>
      </c>
    </row>
    <row r="42" spans="1:32" ht="18.75" customHeight="1" x14ac:dyDescent="0.25">
      <c r="A42" s="98"/>
      <c r="B42" s="33">
        <f t="shared" si="4"/>
        <v>23</v>
      </c>
      <c r="C42" s="72">
        <f>'CED - PAY'!C43</f>
        <v>0</v>
      </c>
      <c r="D42" s="72" t="e">
        <f>'CED - PAY'!D43</f>
        <v>#N/A</v>
      </c>
      <c r="E42" s="306">
        <f>'CED - PAY'!E43</f>
        <v>0</v>
      </c>
      <c r="F42" s="49">
        <f>'CED - PAY'!L43</f>
        <v>0</v>
      </c>
      <c r="G42" s="36">
        <f>ROUND('CED - PAY'!I43*0.09,2)</f>
        <v>0</v>
      </c>
      <c r="H42" s="91"/>
      <c r="I42" s="91"/>
      <c r="J42" s="91"/>
      <c r="K42" s="91"/>
      <c r="L42" s="91"/>
      <c r="M42" s="91"/>
      <c r="N42" s="91"/>
      <c r="O42" s="91"/>
      <c r="P42" s="91"/>
      <c r="Q42" s="91"/>
      <c r="R42" s="41">
        <f t="shared" si="8"/>
        <v>0</v>
      </c>
      <c r="S42" s="86"/>
      <c r="T42" s="90"/>
      <c r="U42" s="91"/>
      <c r="V42" s="91"/>
      <c r="W42" s="91"/>
      <c r="X42" s="38">
        <f t="shared" si="0"/>
        <v>0</v>
      </c>
      <c r="Y42" s="49">
        <f>MIN(ROUNDDOWN('CED - PAY'!I43*0.05/2,2),2500)</f>
        <v>0</v>
      </c>
      <c r="Z42" s="89"/>
      <c r="AA42" s="90"/>
      <c r="AB42" s="88"/>
      <c r="AC42" s="91"/>
      <c r="AD42" s="91"/>
      <c r="AE42" s="35">
        <f t="shared" si="9"/>
        <v>0</v>
      </c>
      <c r="AF42" s="62">
        <f t="shared" si="10"/>
        <v>0</v>
      </c>
    </row>
    <row r="43" spans="1:32" ht="18.75" customHeight="1" x14ac:dyDescent="0.25">
      <c r="A43" s="98"/>
      <c r="B43" s="33">
        <f t="shared" si="4"/>
        <v>24</v>
      </c>
      <c r="C43" s="72">
        <f>'CED - PAY'!C44</f>
        <v>0</v>
      </c>
      <c r="D43" s="72" t="e">
        <f>'CED - PAY'!D44</f>
        <v>#N/A</v>
      </c>
      <c r="E43" s="306">
        <f>'CED - PAY'!E44</f>
        <v>0</v>
      </c>
      <c r="F43" s="49">
        <f>'CED - PAY'!L44</f>
        <v>0</v>
      </c>
      <c r="G43" s="36">
        <f>ROUND('CED - PAY'!I44*0.09,2)</f>
        <v>0</v>
      </c>
      <c r="H43" s="91"/>
      <c r="I43" s="91"/>
      <c r="J43" s="91"/>
      <c r="K43" s="91"/>
      <c r="L43" s="91"/>
      <c r="M43" s="91"/>
      <c r="N43" s="91"/>
      <c r="O43" s="91"/>
      <c r="P43" s="91"/>
      <c r="Q43" s="91"/>
      <c r="R43" s="41">
        <f t="shared" si="8"/>
        <v>0</v>
      </c>
      <c r="S43" s="86"/>
      <c r="T43" s="90"/>
      <c r="U43" s="91"/>
      <c r="V43" s="91"/>
      <c r="W43" s="91"/>
      <c r="X43" s="38">
        <f t="shared" si="0"/>
        <v>0</v>
      </c>
      <c r="Y43" s="49">
        <f>MIN(ROUNDDOWN('CED - PAY'!I44*0.05/2,2),2500)</f>
        <v>0</v>
      </c>
      <c r="Z43" s="89"/>
      <c r="AA43" s="90"/>
      <c r="AB43" s="88"/>
      <c r="AC43" s="91"/>
      <c r="AD43" s="91"/>
      <c r="AE43" s="35">
        <f t="shared" si="9"/>
        <v>0</v>
      </c>
      <c r="AF43" s="62">
        <f t="shared" si="10"/>
        <v>0</v>
      </c>
    </row>
    <row r="44" spans="1:32" ht="18.75" customHeight="1" x14ac:dyDescent="0.25">
      <c r="A44" s="98"/>
      <c r="B44" s="33">
        <f t="shared" si="4"/>
        <v>25</v>
      </c>
      <c r="C44" s="72">
        <f>'CED - PAY'!C45</f>
        <v>0</v>
      </c>
      <c r="D44" s="72" t="e">
        <f>'CED - PAY'!D45</f>
        <v>#N/A</v>
      </c>
      <c r="E44" s="306">
        <f>'CED - PAY'!E45</f>
        <v>0</v>
      </c>
      <c r="F44" s="49">
        <f>'CED - PAY'!L45</f>
        <v>0</v>
      </c>
      <c r="G44" s="36">
        <f>ROUND('CED - PAY'!I45*0.09,2)</f>
        <v>0</v>
      </c>
      <c r="H44" s="91"/>
      <c r="I44" s="91"/>
      <c r="J44" s="91"/>
      <c r="K44" s="91"/>
      <c r="L44" s="91"/>
      <c r="M44" s="91"/>
      <c r="N44" s="91"/>
      <c r="O44" s="91"/>
      <c r="P44" s="91"/>
      <c r="Q44" s="91"/>
      <c r="R44" s="41">
        <f t="shared" si="8"/>
        <v>0</v>
      </c>
      <c r="S44" s="86"/>
      <c r="T44" s="90"/>
      <c r="U44" s="91"/>
      <c r="V44" s="91"/>
      <c r="W44" s="91"/>
      <c r="X44" s="38">
        <f t="shared" si="0"/>
        <v>0</v>
      </c>
      <c r="Y44" s="49">
        <f>MIN(ROUNDDOWN('CED - PAY'!I45*0.05/2,2),2500)</f>
        <v>0</v>
      </c>
      <c r="Z44" s="89"/>
      <c r="AA44" s="90"/>
      <c r="AB44" s="88"/>
      <c r="AC44" s="91"/>
      <c r="AD44" s="91"/>
      <c r="AE44" s="35">
        <f t="shared" si="9"/>
        <v>0</v>
      </c>
      <c r="AF44" s="62">
        <f t="shared" si="10"/>
        <v>0</v>
      </c>
    </row>
    <row r="45" spans="1:32" ht="18.75" customHeight="1" x14ac:dyDescent="0.25">
      <c r="A45" s="98"/>
      <c r="B45" s="33">
        <f t="shared" si="4"/>
        <v>26</v>
      </c>
      <c r="C45" s="72">
        <f>'CED - PAY'!C46</f>
        <v>0</v>
      </c>
      <c r="D45" s="72" t="e">
        <f>'CED - PAY'!D46</f>
        <v>#N/A</v>
      </c>
      <c r="E45" s="306">
        <f>'CED - PAY'!E46</f>
        <v>0</v>
      </c>
      <c r="F45" s="49">
        <f>'CED - PAY'!L46</f>
        <v>0</v>
      </c>
      <c r="G45" s="36">
        <f>ROUND('CED - PAY'!I46*0.09,2)</f>
        <v>0</v>
      </c>
      <c r="H45" s="91"/>
      <c r="I45" s="91"/>
      <c r="J45" s="91"/>
      <c r="K45" s="91"/>
      <c r="L45" s="91"/>
      <c r="M45" s="91"/>
      <c r="N45" s="91"/>
      <c r="O45" s="91"/>
      <c r="P45" s="91"/>
      <c r="Q45" s="91"/>
      <c r="R45" s="41">
        <f t="shared" si="8"/>
        <v>0</v>
      </c>
      <c r="S45" s="86"/>
      <c r="T45" s="90"/>
      <c r="U45" s="91"/>
      <c r="V45" s="91"/>
      <c r="W45" s="91"/>
      <c r="X45" s="38">
        <f t="shared" si="0"/>
        <v>0</v>
      </c>
      <c r="Y45" s="49">
        <f>MIN(ROUNDDOWN('CED - PAY'!I46*0.05/2,2),2500)</f>
        <v>0</v>
      </c>
      <c r="Z45" s="89"/>
      <c r="AA45" s="90"/>
      <c r="AB45" s="88"/>
      <c r="AC45" s="91"/>
      <c r="AD45" s="91"/>
      <c r="AE45" s="35">
        <f t="shared" si="9"/>
        <v>0</v>
      </c>
      <c r="AF45" s="62">
        <f t="shared" si="10"/>
        <v>0</v>
      </c>
    </row>
    <row r="46" spans="1:32" ht="18.75" customHeight="1" x14ac:dyDescent="0.25">
      <c r="A46" s="98"/>
      <c r="B46" s="33">
        <f t="shared" si="4"/>
        <v>27</v>
      </c>
      <c r="C46" s="72">
        <f>'CED - PAY'!C47</f>
        <v>0</v>
      </c>
      <c r="D46" s="72" t="e">
        <f>'CED - PAY'!D47</f>
        <v>#N/A</v>
      </c>
      <c r="E46" s="306">
        <f>'CED - PAY'!E47</f>
        <v>0</v>
      </c>
      <c r="F46" s="49">
        <f>'CED - PAY'!L47</f>
        <v>0</v>
      </c>
      <c r="G46" s="36">
        <f>ROUND('CED - PAY'!I47*0.09,2)</f>
        <v>0</v>
      </c>
      <c r="H46" s="91"/>
      <c r="I46" s="91"/>
      <c r="J46" s="91"/>
      <c r="K46" s="91"/>
      <c r="L46" s="91"/>
      <c r="M46" s="91"/>
      <c r="N46" s="91"/>
      <c r="O46" s="91"/>
      <c r="P46" s="91"/>
      <c r="Q46" s="91"/>
      <c r="R46" s="41">
        <f t="shared" si="8"/>
        <v>0</v>
      </c>
      <c r="S46" s="86"/>
      <c r="T46" s="90"/>
      <c r="U46" s="91"/>
      <c r="V46" s="91"/>
      <c r="W46" s="91"/>
      <c r="X46" s="38">
        <f t="shared" si="0"/>
        <v>0</v>
      </c>
      <c r="Y46" s="49">
        <f>MIN(ROUNDDOWN('CED - PAY'!I47*0.05/2,2),2500)</f>
        <v>0</v>
      </c>
      <c r="Z46" s="89"/>
      <c r="AA46" s="90"/>
      <c r="AB46" s="88"/>
      <c r="AC46" s="91"/>
      <c r="AD46" s="91"/>
      <c r="AE46" s="35">
        <f t="shared" si="9"/>
        <v>0</v>
      </c>
      <c r="AF46" s="62">
        <f t="shared" si="10"/>
        <v>0</v>
      </c>
    </row>
    <row r="47" spans="1:32" ht="18.75" customHeight="1" x14ac:dyDescent="0.25">
      <c r="A47" s="98"/>
      <c r="B47" s="33">
        <f t="shared" si="4"/>
        <v>28</v>
      </c>
      <c r="C47" s="72">
        <f>'CED - PAY'!C48</f>
        <v>0</v>
      </c>
      <c r="D47" s="72" t="e">
        <f>'CED - PAY'!D48</f>
        <v>#N/A</v>
      </c>
      <c r="E47" s="306">
        <f>'CED - PAY'!E48</f>
        <v>0</v>
      </c>
      <c r="F47" s="49">
        <f>'CED - PAY'!L48</f>
        <v>0</v>
      </c>
      <c r="G47" s="36">
        <f>ROUND('CED - PAY'!I48*0.09,2)</f>
        <v>0</v>
      </c>
      <c r="H47" s="91"/>
      <c r="I47" s="91"/>
      <c r="J47" s="91"/>
      <c r="K47" s="91"/>
      <c r="L47" s="91"/>
      <c r="M47" s="91"/>
      <c r="N47" s="91"/>
      <c r="O47" s="91"/>
      <c r="P47" s="91"/>
      <c r="Q47" s="91"/>
      <c r="R47" s="41">
        <f t="shared" si="8"/>
        <v>0</v>
      </c>
      <c r="S47" s="86"/>
      <c r="T47" s="90"/>
      <c r="U47" s="91"/>
      <c r="V47" s="91"/>
      <c r="W47" s="91"/>
      <c r="X47" s="38">
        <f t="shared" si="0"/>
        <v>0</v>
      </c>
      <c r="Y47" s="49">
        <f>MIN(ROUNDDOWN('CED - PAY'!I48*0.05/2,2),2500)</f>
        <v>0</v>
      </c>
      <c r="Z47" s="89"/>
      <c r="AA47" s="90"/>
      <c r="AB47" s="88"/>
      <c r="AC47" s="91"/>
      <c r="AD47" s="91"/>
      <c r="AE47" s="35">
        <f t="shared" si="9"/>
        <v>0</v>
      </c>
      <c r="AF47" s="62">
        <f t="shared" si="10"/>
        <v>0</v>
      </c>
    </row>
    <row r="48" spans="1:32" ht="18.75" customHeight="1" x14ac:dyDescent="0.25">
      <c r="A48" s="98"/>
      <c r="B48" s="33">
        <f t="shared" si="4"/>
        <v>29</v>
      </c>
      <c r="C48" s="72">
        <f>'CED - PAY'!C49</f>
        <v>0</v>
      </c>
      <c r="D48" s="72" t="e">
        <f>'CED - PAY'!D49</f>
        <v>#N/A</v>
      </c>
      <c r="E48" s="306">
        <f>'CED - PAY'!E49</f>
        <v>0</v>
      </c>
      <c r="F48" s="49">
        <f>'CED - PAY'!L49</f>
        <v>0</v>
      </c>
      <c r="G48" s="36">
        <f>ROUND('CED - PAY'!I49*0.09,2)</f>
        <v>0</v>
      </c>
      <c r="H48" s="91"/>
      <c r="I48" s="91"/>
      <c r="J48" s="91"/>
      <c r="K48" s="91"/>
      <c r="L48" s="91"/>
      <c r="M48" s="91"/>
      <c r="N48" s="91"/>
      <c r="O48" s="91"/>
      <c r="P48" s="91"/>
      <c r="Q48" s="91"/>
      <c r="R48" s="41">
        <f t="shared" si="8"/>
        <v>0</v>
      </c>
      <c r="S48" s="86"/>
      <c r="T48" s="90"/>
      <c r="U48" s="91"/>
      <c r="V48" s="91"/>
      <c r="W48" s="91"/>
      <c r="X48" s="38">
        <f t="shared" si="0"/>
        <v>0</v>
      </c>
      <c r="Y48" s="49">
        <f>MIN(ROUNDDOWN('CED - PAY'!I49*0.05/2,2),2500)</f>
        <v>0</v>
      </c>
      <c r="Z48" s="89"/>
      <c r="AA48" s="90"/>
      <c r="AB48" s="88"/>
      <c r="AC48" s="91"/>
      <c r="AD48" s="91"/>
      <c r="AE48" s="35">
        <f t="shared" si="9"/>
        <v>0</v>
      </c>
      <c r="AF48" s="62">
        <f t="shared" si="10"/>
        <v>0</v>
      </c>
    </row>
    <row r="49" spans="1:32" ht="18.75" customHeight="1" x14ac:dyDescent="0.25">
      <c r="A49" s="98"/>
      <c r="B49" s="33">
        <f t="shared" si="4"/>
        <v>30</v>
      </c>
      <c r="C49" s="72">
        <f>'CED - PAY'!C50</f>
        <v>0</v>
      </c>
      <c r="D49" s="72" t="e">
        <f>'CED - PAY'!D50</f>
        <v>#N/A</v>
      </c>
      <c r="E49" s="306">
        <f>'CED - PAY'!E50</f>
        <v>0</v>
      </c>
      <c r="F49" s="49">
        <f>'CED - PAY'!L50</f>
        <v>0</v>
      </c>
      <c r="G49" s="36">
        <f>ROUND('CED - PAY'!I50*0.09,2)</f>
        <v>0</v>
      </c>
      <c r="H49" s="91"/>
      <c r="I49" s="91"/>
      <c r="J49" s="91"/>
      <c r="K49" s="91"/>
      <c r="L49" s="91"/>
      <c r="M49" s="91"/>
      <c r="N49" s="91"/>
      <c r="O49" s="91"/>
      <c r="P49" s="91"/>
      <c r="Q49" s="91"/>
      <c r="R49" s="41">
        <f t="shared" si="8"/>
        <v>0</v>
      </c>
      <c r="S49" s="86"/>
      <c r="T49" s="90"/>
      <c r="U49" s="91"/>
      <c r="V49" s="91"/>
      <c r="W49" s="91"/>
      <c r="X49" s="38">
        <f t="shared" si="0"/>
        <v>0</v>
      </c>
      <c r="Y49" s="49">
        <f>MIN(ROUNDDOWN('CED - PAY'!I50*0.05/2,2),2500)</f>
        <v>0</v>
      </c>
      <c r="Z49" s="89"/>
      <c r="AA49" s="90"/>
      <c r="AB49" s="88"/>
      <c r="AC49" s="91"/>
      <c r="AD49" s="91"/>
      <c r="AE49" s="35">
        <f t="shared" si="9"/>
        <v>0</v>
      </c>
      <c r="AF49" s="62">
        <f t="shared" si="10"/>
        <v>0</v>
      </c>
    </row>
    <row r="50" spans="1:32" ht="18.75" customHeight="1" x14ac:dyDescent="0.25">
      <c r="A50" s="98"/>
      <c r="B50" s="33">
        <f t="shared" si="4"/>
        <v>31</v>
      </c>
      <c r="C50" s="72">
        <f>'CED - PAY'!C51</f>
        <v>0</v>
      </c>
      <c r="D50" s="72" t="e">
        <f>'CED - PAY'!D51</f>
        <v>#N/A</v>
      </c>
      <c r="E50" s="306">
        <f>'CED - PAY'!E51</f>
        <v>0</v>
      </c>
      <c r="F50" s="49">
        <f>'CED - PAY'!L51</f>
        <v>0</v>
      </c>
      <c r="G50" s="36">
        <f>ROUND('CED - PAY'!I51*0.09,2)</f>
        <v>0</v>
      </c>
      <c r="H50" s="91"/>
      <c r="I50" s="91"/>
      <c r="J50" s="91"/>
      <c r="K50" s="91"/>
      <c r="L50" s="91"/>
      <c r="M50" s="91"/>
      <c r="N50" s="91"/>
      <c r="O50" s="91"/>
      <c r="P50" s="91"/>
      <c r="Q50" s="91"/>
      <c r="R50" s="41">
        <f t="shared" si="8"/>
        <v>0</v>
      </c>
      <c r="S50" s="86"/>
      <c r="T50" s="90"/>
      <c r="U50" s="91"/>
      <c r="V50" s="91"/>
      <c r="W50" s="91"/>
      <c r="X50" s="38">
        <f t="shared" si="0"/>
        <v>0</v>
      </c>
      <c r="Y50" s="49">
        <f>MIN(ROUNDDOWN('CED - PAY'!I51*0.05/2,2),2500)</f>
        <v>0</v>
      </c>
      <c r="Z50" s="89"/>
      <c r="AA50" s="90"/>
      <c r="AB50" s="88"/>
      <c r="AC50" s="91"/>
      <c r="AD50" s="91"/>
      <c r="AE50" s="35">
        <f t="shared" si="9"/>
        <v>0</v>
      </c>
      <c r="AF50" s="62">
        <f t="shared" si="10"/>
        <v>0</v>
      </c>
    </row>
    <row r="51" spans="1:32" ht="18.75" customHeight="1" x14ac:dyDescent="0.25">
      <c r="A51" s="98"/>
      <c r="B51" s="33">
        <f t="shared" si="4"/>
        <v>32</v>
      </c>
      <c r="C51" s="72">
        <f>'CED - PAY'!C52</f>
        <v>0</v>
      </c>
      <c r="D51" s="72" t="e">
        <f>'CED - PAY'!D52</f>
        <v>#N/A</v>
      </c>
      <c r="E51" s="306">
        <f>'CED - PAY'!E52</f>
        <v>0</v>
      </c>
      <c r="F51" s="49">
        <f>'CED - PAY'!L52</f>
        <v>0</v>
      </c>
      <c r="G51" s="36">
        <f>ROUND('CED - PAY'!I52*0.09,2)</f>
        <v>0</v>
      </c>
      <c r="H51" s="91"/>
      <c r="I51" s="91"/>
      <c r="J51" s="91"/>
      <c r="K51" s="91"/>
      <c r="L51" s="91"/>
      <c r="M51" s="91"/>
      <c r="N51" s="91"/>
      <c r="O51" s="91"/>
      <c r="P51" s="91"/>
      <c r="Q51" s="91"/>
      <c r="R51" s="41">
        <f t="shared" si="8"/>
        <v>0</v>
      </c>
      <c r="S51" s="86"/>
      <c r="T51" s="90"/>
      <c r="U51" s="91"/>
      <c r="V51" s="91"/>
      <c r="W51" s="91"/>
      <c r="X51" s="38">
        <f t="shared" si="0"/>
        <v>0</v>
      </c>
      <c r="Y51" s="49">
        <f>MIN(ROUNDDOWN('CED - PAY'!I52*0.05/2,2),2500)</f>
        <v>0</v>
      </c>
      <c r="Z51" s="89"/>
      <c r="AA51" s="90"/>
      <c r="AB51" s="88"/>
      <c r="AC51" s="91"/>
      <c r="AD51" s="91"/>
      <c r="AE51" s="35">
        <f t="shared" si="9"/>
        <v>0</v>
      </c>
      <c r="AF51" s="62">
        <f t="shared" si="10"/>
        <v>0</v>
      </c>
    </row>
    <row r="52" spans="1:32" ht="18.75" customHeight="1" x14ac:dyDescent="0.25">
      <c r="A52" s="98"/>
      <c r="B52" s="33">
        <f t="shared" ref="B52:B68" si="11">+B34+1</f>
        <v>16</v>
      </c>
      <c r="C52" s="72">
        <f>'CED - PAY'!C53</f>
        <v>0</v>
      </c>
      <c r="D52" s="72" t="e">
        <f>'CED - PAY'!D53</f>
        <v>#N/A</v>
      </c>
      <c r="E52" s="306">
        <f>'CED - PAY'!E53</f>
        <v>0</v>
      </c>
      <c r="F52" s="49">
        <f>'CED - PAY'!L53</f>
        <v>0</v>
      </c>
      <c r="G52" s="36">
        <f>ROUND('CED - PAY'!I53*0.09,2)</f>
        <v>0</v>
      </c>
      <c r="H52" s="91"/>
      <c r="I52" s="91"/>
      <c r="J52" s="91"/>
      <c r="K52" s="91"/>
      <c r="L52" s="91"/>
      <c r="M52" s="91"/>
      <c r="N52" s="91"/>
      <c r="O52" s="91"/>
      <c r="P52" s="91"/>
      <c r="Q52" s="91"/>
      <c r="R52" s="41">
        <f t="shared" ref="R52:R68" si="12">SUM(G52:Q52)</f>
        <v>0</v>
      </c>
      <c r="S52" s="86"/>
      <c r="T52" s="90"/>
      <c r="U52" s="91"/>
      <c r="V52" s="91"/>
      <c r="W52" s="91"/>
      <c r="X52" s="38">
        <f t="shared" ref="X52:X68" si="13">SUM(S52:W52)</f>
        <v>0</v>
      </c>
      <c r="Y52" s="49">
        <f>MIN(ROUNDDOWN('CED - PAY'!I53*0.05/2,2),2500)</f>
        <v>0</v>
      </c>
      <c r="Z52" s="89"/>
      <c r="AA52" s="90"/>
      <c r="AB52" s="88"/>
      <c r="AC52" s="91"/>
      <c r="AD52" s="91"/>
      <c r="AE52" s="35">
        <f t="shared" ref="AE52:AE68" si="14">SUM(Z52:AD52)</f>
        <v>0</v>
      </c>
      <c r="AF52" s="62">
        <f t="shared" ref="AF52:AF68" si="15">SUM(F52,R52,X52,Y52,AE52)</f>
        <v>0</v>
      </c>
    </row>
    <row r="53" spans="1:32" ht="18.75" customHeight="1" x14ac:dyDescent="0.25">
      <c r="A53" s="98"/>
      <c r="B53" s="33">
        <f t="shared" si="11"/>
        <v>17</v>
      </c>
      <c r="C53" s="72">
        <f>'CED - PAY'!C54</f>
        <v>0</v>
      </c>
      <c r="D53" s="72" t="e">
        <f>'CED - PAY'!D54</f>
        <v>#N/A</v>
      </c>
      <c r="E53" s="306">
        <f>'CED - PAY'!E54</f>
        <v>0</v>
      </c>
      <c r="F53" s="49">
        <f>'CED - PAY'!L54</f>
        <v>0</v>
      </c>
      <c r="G53" s="36">
        <f>ROUND('CED - PAY'!I54*0.09,2)</f>
        <v>0</v>
      </c>
      <c r="H53" s="91"/>
      <c r="I53" s="91"/>
      <c r="J53" s="91"/>
      <c r="K53" s="91"/>
      <c r="L53" s="91"/>
      <c r="M53" s="91"/>
      <c r="N53" s="91"/>
      <c r="O53" s="91"/>
      <c r="P53" s="91"/>
      <c r="Q53" s="91"/>
      <c r="R53" s="41">
        <f t="shared" si="12"/>
        <v>0</v>
      </c>
      <c r="S53" s="86"/>
      <c r="T53" s="90"/>
      <c r="U53" s="91"/>
      <c r="V53" s="91"/>
      <c r="W53" s="91"/>
      <c r="X53" s="38">
        <f t="shared" si="13"/>
        <v>0</v>
      </c>
      <c r="Y53" s="49">
        <f>MIN(ROUNDDOWN('CED - PAY'!I54*0.05/2,2),2500)</f>
        <v>0</v>
      </c>
      <c r="Z53" s="89"/>
      <c r="AA53" s="90"/>
      <c r="AB53" s="88"/>
      <c r="AC53" s="91"/>
      <c r="AD53" s="91"/>
      <c r="AE53" s="35">
        <f t="shared" si="14"/>
        <v>0</v>
      </c>
      <c r="AF53" s="62">
        <f t="shared" si="15"/>
        <v>0</v>
      </c>
    </row>
    <row r="54" spans="1:32" ht="18.75" customHeight="1" x14ac:dyDescent="0.25">
      <c r="A54" s="98"/>
      <c r="B54" s="33">
        <f t="shared" si="11"/>
        <v>18</v>
      </c>
      <c r="C54" s="72">
        <f>'CED - PAY'!C55</f>
        <v>0</v>
      </c>
      <c r="D54" s="72" t="e">
        <f>'CED - PAY'!D55</f>
        <v>#N/A</v>
      </c>
      <c r="E54" s="306">
        <f>'CED - PAY'!E55</f>
        <v>0</v>
      </c>
      <c r="F54" s="49">
        <f>'CED - PAY'!L55</f>
        <v>0</v>
      </c>
      <c r="G54" s="36">
        <f>ROUND('CED - PAY'!I55*0.09,2)</f>
        <v>0</v>
      </c>
      <c r="H54" s="91"/>
      <c r="I54" s="91"/>
      <c r="J54" s="91"/>
      <c r="K54" s="91"/>
      <c r="L54" s="91"/>
      <c r="M54" s="91"/>
      <c r="N54" s="91"/>
      <c r="O54" s="91"/>
      <c r="P54" s="91"/>
      <c r="Q54" s="91"/>
      <c r="R54" s="41">
        <f t="shared" si="12"/>
        <v>0</v>
      </c>
      <c r="S54" s="86"/>
      <c r="T54" s="90"/>
      <c r="U54" s="91"/>
      <c r="V54" s="91"/>
      <c r="W54" s="91"/>
      <c r="X54" s="38">
        <f t="shared" si="13"/>
        <v>0</v>
      </c>
      <c r="Y54" s="49">
        <f>MIN(ROUNDDOWN('CED - PAY'!I55*0.05/2,2),2500)</f>
        <v>0</v>
      </c>
      <c r="Z54" s="89"/>
      <c r="AA54" s="90"/>
      <c r="AB54" s="88"/>
      <c r="AC54" s="91"/>
      <c r="AD54" s="91"/>
      <c r="AE54" s="35">
        <f t="shared" si="14"/>
        <v>0</v>
      </c>
      <c r="AF54" s="62">
        <f t="shared" si="15"/>
        <v>0</v>
      </c>
    </row>
    <row r="55" spans="1:32" ht="18.75" customHeight="1" x14ac:dyDescent="0.25">
      <c r="A55" s="98"/>
      <c r="B55" s="33">
        <f t="shared" si="11"/>
        <v>19</v>
      </c>
      <c r="C55" s="72">
        <f>'CED - PAY'!C56</f>
        <v>0</v>
      </c>
      <c r="D55" s="72" t="e">
        <f>'CED - PAY'!D56</f>
        <v>#N/A</v>
      </c>
      <c r="E55" s="306">
        <f>'CED - PAY'!E56</f>
        <v>0</v>
      </c>
      <c r="F55" s="49">
        <f>'CED - PAY'!L56</f>
        <v>0</v>
      </c>
      <c r="G55" s="36">
        <f>ROUND('CED - PAY'!I56*0.09,2)</f>
        <v>0</v>
      </c>
      <c r="H55" s="91"/>
      <c r="I55" s="91"/>
      <c r="J55" s="91"/>
      <c r="K55" s="91"/>
      <c r="L55" s="91"/>
      <c r="M55" s="91"/>
      <c r="N55" s="91"/>
      <c r="O55" s="91"/>
      <c r="P55" s="91"/>
      <c r="Q55" s="91"/>
      <c r="R55" s="41">
        <f t="shared" si="12"/>
        <v>0</v>
      </c>
      <c r="S55" s="86"/>
      <c r="T55" s="90"/>
      <c r="U55" s="91"/>
      <c r="V55" s="91"/>
      <c r="W55" s="91"/>
      <c r="X55" s="38">
        <f t="shared" si="13"/>
        <v>0</v>
      </c>
      <c r="Y55" s="49">
        <f>MIN(ROUNDDOWN('CED - PAY'!I56*0.05/2,2),2500)</f>
        <v>0</v>
      </c>
      <c r="Z55" s="89"/>
      <c r="AA55" s="90"/>
      <c r="AB55" s="88"/>
      <c r="AC55" s="91"/>
      <c r="AD55" s="91"/>
      <c r="AE55" s="35">
        <f t="shared" si="14"/>
        <v>0</v>
      </c>
      <c r="AF55" s="62">
        <f t="shared" si="15"/>
        <v>0</v>
      </c>
    </row>
    <row r="56" spans="1:32" ht="18.75" customHeight="1" x14ac:dyDescent="0.25">
      <c r="A56" s="98"/>
      <c r="B56" s="33">
        <f t="shared" si="11"/>
        <v>20</v>
      </c>
      <c r="C56" s="72">
        <f>'CED - PAY'!C57</f>
        <v>0</v>
      </c>
      <c r="D56" s="72" t="e">
        <f>'CED - PAY'!D57</f>
        <v>#N/A</v>
      </c>
      <c r="E56" s="306">
        <f>'CED - PAY'!E57</f>
        <v>0</v>
      </c>
      <c r="F56" s="49">
        <f>'CED - PAY'!L57</f>
        <v>0</v>
      </c>
      <c r="G56" s="36">
        <f>ROUND('CED - PAY'!I57*0.09,2)</f>
        <v>0</v>
      </c>
      <c r="H56" s="91"/>
      <c r="I56" s="91"/>
      <c r="J56" s="91"/>
      <c r="K56" s="91"/>
      <c r="L56" s="91"/>
      <c r="M56" s="91"/>
      <c r="N56" s="91"/>
      <c r="O56" s="91"/>
      <c r="P56" s="91"/>
      <c r="Q56" s="91"/>
      <c r="R56" s="41">
        <f t="shared" si="12"/>
        <v>0</v>
      </c>
      <c r="S56" s="86"/>
      <c r="T56" s="90"/>
      <c r="U56" s="91"/>
      <c r="V56" s="91"/>
      <c r="W56" s="91"/>
      <c r="X56" s="38">
        <f t="shared" si="13"/>
        <v>0</v>
      </c>
      <c r="Y56" s="49">
        <f>MIN(ROUNDDOWN('CED - PAY'!I57*0.05/2,2),2500)</f>
        <v>0</v>
      </c>
      <c r="Z56" s="89"/>
      <c r="AA56" s="90"/>
      <c r="AB56" s="88"/>
      <c r="AC56" s="91"/>
      <c r="AD56" s="91"/>
      <c r="AE56" s="35">
        <f t="shared" si="14"/>
        <v>0</v>
      </c>
      <c r="AF56" s="62">
        <f t="shared" si="15"/>
        <v>0</v>
      </c>
    </row>
    <row r="57" spans="1:32" ht="18.75" customHeight="1" x14ac:dyDescent="0.25">
      <c r="A57" s="98"/>
      <c r="B57" s="33">
        <f t="shared" si="11"/>
        <v>21</v>
      </c>
      <c r="C57" s="72">
        <f>'CED - PAY'!C58</f>
        <v>0</v>
      </c>
      <c r="D57" s="72" t="e">
        <f>'CED - PAY'!D58</f>
        <v>#N/A</v>
      </c>
      <c r="E57" s="306">
        <f>'CED - PAY'!E58</f>
        <v>0</v>
      </c>
      <c r="F57" s="49">
        <f>'CED - PAY'!L58</f>
        <v>0</v>
      </c>
      <c r="G57" s="36">
        <f>ROUND('CED - PAY'!I58*0.09,2)</f>
        <v>0</v>
      </c>
      <c r="H57" s="91"/>
      <c r="I57" s="91"/>
      <c r="J57" s="91"/>
      <c r="K57" s="91"/>
      <c r="L57" s="91"/>
      <c r="M57" s="91"/>
      <c r="N57" s="91"/>
      <c r="O57" s="91"/>
      <c r="P57" s="91"/>
      <c r="Q57" s="91"/>
      <c r="R57" s="41">
        <f t="shared" si="12"/>
        <v>0</v>
      </c>
      <c r="S57" s="86"/>
      <c r="T57" s="90"/>
      <c r="U57" s="91"/>
      <c r="V57" s="91"/>
      <c r="W57" s="91"/>
      <c r="X57" s="38">
        <f t="shared" si="13"/>
        <v>0</v>
      </c>
      <c r="Y57" s="49">
        <f>MIN(ROUNDDOWN('CED - PAY'!I58*0.05/2,2),2500)</f>
        <v>0</v>
      </c>
      <c r="Z57" s="89"/>
      <c r="AA57" s="90"/>
      <c r="AB57" s="88"/>
      <c r="AC57" s="91"/>
      <c r="AD57" s="91"/>
      <c r="AE57" s="35">
        <f t="shared" si="14"/>
        <v>0</v>
      </c>
      <c r="AF57" s="62">
        <f t="shared" si="15"/>
        <v>0</v>
      </c>
    </row>
    <row r="58" spans="1:32" ht="18.75" customHeight="1" x14ac:dyDescent="0.25">
      <c r="A58" s="98"/>
      <c r="B58" s="33">
        <f t="shared" si="11"/>
        <v>22</v>
      </c>
      <c r="C58" s="72">
        <f>'CED - PAY'!C59</f>
        <v>0</v>
      </c>
      <c r="D58" s="72" t="e">
        <f>'CED - PAY'!D59</f>
        <v>#N/A</v>
      </c>
      <c r="E58" s="306">
        <f>'CED - PAY'!E59</f>
        <v>0</v>
      </c>
      <c r="F58" s="49">
        <f>'CED - PAY'!L59</f>
        <v>0</v>
      </c>
      <c r="G58" s="36">
        <f>ROUND('CED - PAY'!I59*0.09,2)</f>
        <v>0</v>
      </c>
      <c r="H58" s="91"/>
      <c r="I58" s="91"/>
      <c r="J58" s="91"/>
      <c r="K58" s="91"/>
      <c r="L58" s="91"/>
      <c r="M58" s="91"/>
      <c r="N58" s="91"/>
      <c r="O58" s="91"/>
      <c r="P58" s="91"/>
      <c r="Q58" s="91"/>
      <c r="R58" s="41">
        <f t="shared" si="12"/>
        <v>0</v>
      </c>
      <c r="S58" s="86"/>
      <c r="T58" s="90"/>
      <c r="U58" s="91"/>
      <c r="V58" s="91"/>
      <c r="W58" s="91"/>
      <c r="X58" s="38">
        <f t="shared" si="13"/>
        <v>0</v>
      </c>
      <c r="Y58" s="49">
        <f>MIN(ROUNDDOWN('CED - PAY'!I59*0.05/2,2),2500)</f>
        <v>0</v>
      </c>
      <c r="Z58" s="89"/>
      <c r="AA58" s="90"/>
      <c r="AB58" s="88"/>
      <c r="AC58" s="91"/>
      <c r="AD58" s="91"/>
      <c r="AE58" s="35">
        <f t="shared" si="14"/>
        <v>0</v>
      </c>
      <c r="AF58" s="62">
        <f t="shared" si="15"/>
        <v>0</v>
      </c>
    </row>
    <row r="59" spans="1:32" ht="18.75" customHeight="1" x14ac:dyDescent="0.25">
      <c r="A59" s="98"/>
      <c r="B59" s="33">
        <f t="shared" si="11"/>
        <v>23</v>
      </c>
      <c r="C59" s="72">
        <f>'CED - PAY'!C60</f>
        <v>0</v>
      </c>
      <c r="D59" s="72" t="e">
        <f>'CED - PAY'!D60</f>
        <v>#N/A</v>
      </c>
      <c r="E59" s="306">
        <f>'CED - PAY'!E60</f>
        <v>0</v>
      </c>
      <c r="F59" s="49">
        <f>'CED - PAY'!L60</f>
        <v>0</v>
      </c>
      <c r="G59" s="36">
        <f>ROUND('CED - PAY'!I60*0.09,2)</f>
        <v>0</v>
      </c>
      <c r="H59" s="91"/>
      <c r="I59" s="91"/>
      <c r="J59" s="91"/>
      <c r="K59" s="91"/>
      <c r="L59" s="91"/>
      <c r="M59" s="91"/>
      <c r="N59" s="91"/>
      <c r="O59" s="91"/>
      <c r="P59" s="91"/>
      <c r="Q59" s="91"/>
      <c r="R59" s="41">
        <f t="shared" si="12"/>
        <v>0</v>
      </c>
      <c r="S59" s="86"/>
      <c r="T59" s="90"/>
      <c r="U59" s="91"/>
      <c r="V59" s="91"/>
      <c r="W59" s="91"/>
      <c r="X59" s="38">
        <f t="shared" si="13"/>
        <v>0</v>
      </c>
      <c r="Y59" s="49">
        <f>MIN(ROUNDDOWN('CED - PAY'!I60*0.05/2,2),2500)</f>
        <v>0</v>
      </c>
      <c r="Z59" s="89"/>
      <c r="AA59" s="90"/>
      <c r="AB59" s="88"/>
      <c r="AC59" s="91"/>
      <c r="AD59" s="91"/>
      <c r="AE59" s="35">
        <f t="shared" si="14"/>
        <v>0</v>
      </c>
      <c r="AF59" s="62">
        <f t="shared" si="15"/>
        <v>0</v>
      </c>
    </row>
    <row r="60" spans="1:32" ht="18.75" customHeight="1" x14ac:dyDescent="0.25">
      <c r="A60" s="98"/>
      <c r="B60" s="33">
        <f t="shared" si="11"/>
        <v>24</v>
      </c>
      <c r="C60" s="72">
        <f>'CED - PAY'!C61</f>
        <v>0</v>
      </c>
      <c r="D60" s="72" t="e">
        <f>'CED - PAY'!D61</f>
        <v>#N/A</v>
      </c>
      <c r="E60" s="306">
        <f>'CED - PAY'!E61</f>
        <v>0</v>
      </c>
      <c r="F60" s="49">
        <f>'CED - PAY'!L61</f>
        <v>0</v>
      </c>
      <c r="G60" s="36">
        <f>ROUND('CED - PAY'!I61*0.09,2)</f>
        <v>0</v>
      </c>
      <c r="H60" s="91"/>
      <c r="I60" s="91"/>
      <c r="J60" s="91"/>
      <c r="K60" s="91"/>
      <c r="L60" s="91"/>
      <c r="M60" s="91"/>
      <c r="N60" s="91"/>
      <c r="O60" s="91"/>
      <c r="P60" s="91"/>
      <c r="Q60" s="91"/>
      <c r="R60" s="41">
        <f t="shared" si="12"/>
        <v>0</v>
      </c>
      <c r="S60" s="86"/>
      <c r="T60" s="90"/>
      <c r="U60" s="91"/>
      <c r="V60" s="91"/>
      <c r="W60" s="91"/>
      <c r="X60" s="38">
        <f t="shared" si="13"/>
        <v>0</v>
      </c>
      <c r="Y60" s="49">
        <f>MIN(ROUNDDOWN('CED - PAY'!I61*0.05/2,2),2500)</f>
        <v>0</v>
      </c>
      <c r="Z60" s="89"/>
      <c r="AA60" s="90"/>
      <c r="AB60" s="88"/>
      <c r="AC60" s="91"/>
      <c r="AD60" s="91"/>
      <c r="AE60" s="35">
        <f t="shared" si="14"/>
        <v>0</v>
      </c>
      <c r="AF60" s="62">
        <f t="shared" si="15"/>
        <v>0</v>
      </c>
    </row>
    <row r="61" spans="1:32" ht="18.75" customHeight="1" x14ac:dyDescent="0.25">
      <c r="A61" s="98"/>
      <c r="B61" s="33">
        <f t="shared" si="11"/>
        <v>25</v>
      </c>
      <c r="C61" s="72">
        <f>'CED - PAY'!C62</f>
        <v>0</v>
      </c>
      <c r="D61" s="72" t="e">
        <f>'CED - PAY'!D62</f>
        <v>#N/A</v>
      </c>
      <c r="E61" s="306">
        <f>'CED - PAY'!E62</f>
        <v>0</v>
      </c>
      <c r="F61" s="49">
        <f>'CED - PAY'!L62</f>
        <v>0</v>
      </c>
      <c r="G61" s="36">
        <f>ROUND('CED - PAY'!I62*0.09,2)</f>
        <v>0</v>
      </c>
      <c r="H61" s="91"/>
      <c r="I61" s="91"/>
      <c r="J61" s="91"/>
      <c r="K61" s="91"/>
      <c r="L61" s="91"/>
      <c r="M61" s="91"/>
      <c r="N61" s="91"/>
      <c r="O61" s="91"/>
      <c r="P61" s="91"/>
      <c r="Q61" s="91"/>
      <c r="R61" s="41">
        <f t="shared" si="12"/>
        <v>0</v>
      </c>
      <c r="S61" s="86"/>
      <c r="T61" s="90"/>
      <c r="U61" s="91"/>
      <c r="V61" s="91"/>
      <c r="W61" s="91"/>
      <c r="X61" s="38">
        <f t="shared" si="13"/>
        <v>0</v>
      </c>
      <c r="Y61" s="49">
        <f>MIN(ROUNDDOWN('CED - PAY'!I62*0.05/2,2),2500)</f>
        <v>0</v>
      </c>
      <c r="Z61" s="89"/>
      <c r="AA61" s="90"/>
      <c r="AB61" s="88"/>
      <c r="AC61" s="91"/>
      <c r="AD61" s="91"/>
      <c r="AE61" s="35">
        <f t="shared" si="14"/>
        <v>0</v>
      </c>
      <c r="AF61" s="62">
        <f t="shared" si="15"/>
        <v>0</v>
      </c>
    </row>
    <row r="62" spans="1:32" ht="18.75" customHeight="1" x14ac:dyDescent="0.25">
      <c r="A62" s="98"/>
      <c r="B62" s="33">
        <f t="shared" si="11"/>
        <v>26</v>
      </c>
      <c r="C62" s="72">
        <f>'CED - PAY'!C63</f>
        <v>0</v>
      </c>
      <c r="D62" s="72" t="e">
        <f>'CED - PAY'!D63</f>
        <v>#N/A</v>
      </c>
      <c r="E62" s="306">
        <f>'CED - PAY'!E63</f>
        <v>0</v>
      </c>
      <c r="F62" s="49">
        <f>'CED - PAY'!L63</f>
        <v>0</v>
      </c>
      <c r="G62" s="36">
        <f>ROUND('CED - PAY'!I63*0.09,2)</f>
        <v>0</v>
      </c>
      <c r="H62" s="91"/>
      <c r="I62" s="91"/>
      <c r="J62" s="91"/>
      <c r="K62" s="91"/>
      <c r="L62" s="91"/>
      <c r="M62" s="91"/>
      <c r="N62" s="91"/>
      <c r="O62" s="91"/>
      <c r="P62" s="91"/>
      <c r="Q62" s="91"/>
      <c r="R62" s="41">
        <f t="shared" si="12"/>
        <v>0</v>
      </c>
      <c r="S62" s="86"/>
      <c r="T62" s="90"/>
      <c r="U62" s="91"/>
      <c r="V62" s="91"/>
      <c r="W62" s="91"/>
      <c r="X62" s="38">
        <f t="shared" si="13"/>
        <v>0</v>
      </c>
      <c r="Y62" s="49">
        <f>MIN(ROUNDDOWN('CED - PAY'!I63*0.05/2,2),2500)</f>
        <v>0</v>
      </c>
      <c r="Z62" s="89"/>
      <c r="AA62" s="90"/>
      <c r="AB62" s="88"/>
      <c r="AC62" s="91"/>
      <c r="AD62" s="91"/>
      <c r="AE62" s="35">
        <f t="shared" si="14"/>
        <v>0</v>
      </c>
      <c r="AF62" s="62">
        <f t="shared" si="15"/>
        <v>0</v>
      </c>
    </row>
    <row r="63" spans="1:32" ht="18.75" customHeight="1" x14ac:dyDescent="0.25">
      <c r="A63" s="98"/>
      <c r="B63" s="33">
        <f t="shared" si="11"/>
        <v>27</v>
      </c>
      <c r="C63" s="72">
        <f>'CED - PAY'!C64</f>
        <v>0</v>
      </c>
      <c r="D63" s="72" t="e">
        <f>'CED - PAY'!D64</f>
        <v>#N/A</v>
      </c>
      <c r="E63" s="306">
        <f>'CED - PAY'!E64</f>
        <v>0</v>
      </c>
      <c r="F63" s="49">
        <f>'CED - PAY'!L64</f>
        <v>0</v>
      </c>
      <c r="G63" s="36">
        <f>ROUND('CED - PAY'!I64*0.09,2)</f>
        <v>0</v>
      </c>
      <c r="H63" s="91"/>
      <c r="I63" s="91"/>
      <c r="J63" s="91"/>
      <c r="K63" s="91"/>
      <c r="L63" s="91"/>
      <c r="M63" s="91"/>
      <c r="N63" s="91"/>
      <c r="O63" s="91"/>
      <c r="P63" s="91"/>
      <c r="Q63" s="91"/>
      <c r="R63" s="41">
        <f t="shared" si="12"/>
        <v>0</v>
      </c>
      <c r="S63" s="86"/>
      <c r="T63" s="90"/>
      <c r="U63" s="91"/>
      <c r="V63" s="91"/>
      <c r="W63" s="91"/>
      <c r="X63" s="38">
        <f t="shared" si="13"/>
        <v>0</v>
      </c>
      <c r="Y63" s="49">
        <f>MIN(ROUNDDOWN('CED - PAY'!I64*0.05/2,2),2500)</f>
        <v>0</v>
      </c>
      <c r="Z63" s="89"/>
      <c r="AA63" s="90"/>
      <c r="AB63" s="88"/>
      <c r="AC63" s="91"/>
      <c r="AD63" s="91"/>
      <c r="AE63" s="35">
        <f t="shared" si="14"/>
        <v>0</v>
      </c>
      <c r="AF63" s="62">
        <f t="shared" si="15"/>
        <v>0</v>
      </c>
    </row>
    <row r="64" spans="1:32" ht="18.75" customHeight="1" x14ac:dyDescent="0.25">
      <c r="A64" s="98"/>
      <c r="B64" s="33">
        <f t="shared" si="11"/>
        <v>28</v>
      </c>
      <c r="C64" s="72">
        <f>'CED - PAY'!C65</f>
        <v>0</v>
      </c>
      <c r="D64" s="72" t="e">
        <f>'CED - PAY'!D65</f>
        <v>#N/A</v>
      </c>
      <c r="E64" s="306">
        <f>'CED - PAY'!E65</f>
        <v>0</v>
      </c>
      <c r="F64" s="49">
        <f>'CED - PAY'!L65</f>
        <v>0</v>
      </c>
      <c r="G64" s="36">
        <f>ROUND('CED - PAY'!I65*0.09,2)</f>
        <v>0</v>
      </c>
      <c r="H64" s="91"/>
      <c r="I64" s="91"/>
      <c r="J64" s="91"/>
      <c r="K64" s="91"/>
      <c r="L64" s="91"/>
      <c r="M64" s="91"/>
      <c r="N64" s="91"/>
      <c r="O64" s="91"/>
      <c r="P64" s="91"/>
      <c r="Q64" s="91"/>
      <c r="R64" s="41">
        <f t="shared" si="12"/>
        <v>0</v>
      </c>
      <c r="S64" s="86"/>
      <c r="T64" s="90"/>
      <c r="U64" s="91"/>
      <c r="V64" s="91"/>
      <c r="W64" s="91"/>
      <c r="X64" s="38">
        <f t="shared" si="13"/>
        <v>0</v>
      </c>
      <c r="Y64" s="49">
        <f>MIN(ROUNDDOWN('CED - PAY'!I65*0.05/2,2),2500)</f>
        <v>0</v>
      </c>
      <c r="Z64" s="89"/>
      <c r="AA64" s="90"/>
      <c r="AB64" s="88"/>
      <c r="AC64" s="91"/>
      <c r="AD64" s="91"/>
      <c r="AE64" s="35">
        <f t="shared" si="14"/>
        <v>0</v>
      </c>
      <c r="AF64" s="62">
        <f t="shared" si="15"/>
        <v>0</v>
      </c>
    </row>
    <row r="65" spans="1:32" ht="18.75" customHeight="1" x14ac:dyDescent="0.25">
      <c r="A65" s="98"/>
      <c r="B65" s="33">
        <f t="shared" si="11"/>
        <v>29</v>
      </c>
      <c r="C65" s="72">
        <f>'CED - PAY'!C66</f>
        <v>0</v>
      </c>
      <c r="D65" s="72" t="e">
        <f>'CED - PAY'!D66</f>
        <v>#N/A</v>
      </c>
      <c r="E65" s="306">
        <f>'CED - PAY'!E66</f>
        <v>0</v>
      </c>
      <c r="F65" s="49">
        <f>'CED - PAY'!L66</f>
        <v>0</v>
      </c>
      <c r="G65" s="36">
        <f>ROUND('CED - PAY'!I66*0.09,2)</f>
        <v>0</v>
      </c>
      <c r="H65" s="91"/>
      <c r="I65" s="91"/>
      <c r="J65" s="91"/>
      <c r="K65" s="91"/>
      <c r="L65" s="91"/>
      <c r="M65" s="91"/>
      <c r="N65" s="91"/>
      <c r="O65" s="91"/>
      <c r="P65" s="91"/>
      <c r="Q65" s="91"/>
      <c r="R65" s="41">
        <f t="shared" si="12"/>
        <v>0</v>
      </c>
      <c r="S65" s="86"/>
      <c r="T65" s="90"/>
      <c r="U65" s="91"/>
      <c r="V65" s="91"/>
      <c r="W65" s="91"/>
      <c r="X65" s="38">
        <f t="shared" si="13"/>
        <v>0</v>
      </c>
      <c r="Y65" s="49">
        <f>MIN(ROUNDDOWN('CED - PAY'!I66*0.05/2,2),2500)</f>
        <v>0</v>
      </c>
      <c r="Z65" s="89"/>
      <c r="AA65" s="90"/>
      <c r="AB65" s="88"/>
      <c r="AC65" s="91"/>
      <c r="AD65" s="91"/>
      <c r="AE65" s="35">
        <f t="shared" si="14"/>
        <v>0</v>
      </c>
      <c r="AF65" s="62">
        <f t="shared" si="15"/>
        <v>0</v>
      </c>
    </row>
    <row r="66" spans="1:32" ht="18.75" customHeight="1" x14ac:dyDescent="0.25">
      <c r="A66" s="98"/>
      <c r="B66" s="33">
        <f t="shared" si="11"/>
        <v>30</v>
      </c>
      <c r="C66" s="72">
        <f>'CED - PAY'!C67</f>
        <v>0</v>
      </c>
      <c r="D66" s="72" t="e">
        <f>'CED - PAY'!D67</f>
        <v>#N/A</v>
      </c>
      <c r="E66" s="306">
        <f>'CED - PAY'!E67</f>
        <v>0</v>
      </c>
      <c r="F66" s="49">
        <f>'CED - PAY'!L67</f>
        <v>0</v>
      </c>
      <c r="G66" s="36">
        <f>ROUND('CED - PAY'!I67*0.09,2)</f>
        <v>0</v>
      </c>
      <c r="H66" s="91"/>
      <c r="I66" s="91"/>
      <c r="J66" s="91"/>
      <c r="K66" s="91"/>
      <c r="L66" s="91"/>
      <c r="M66" s="91"/>
      <c r="N66" s="91"/>
      <c r="O66" s="91"/>
      <c r="P66" s="91"/>
      <c r="Q66" s="91"/>
      <c r="R66" s="41">
        <f t="shared" si="12"/>
        <v>0</v>
      </c>
      <c r="S66" s="86"/>
      <c r="T66" s="90"/>
      <c r="U66" s="91"/>
      <c r="V66" s="91"/>
      <c r="W66" s="91"/>
      <c r="X66" s="38">
        <f t="shared" si="13"/>
        <v>0</v>
      </c>
      <c r="Y66" s="49">
        <f>MIN(ROUNDDOWN('CED - PAY'!I67*0.05/2,2),2500)</f>
        <v>0</v>
      </c>
      <c r="Z66" s="89"/>
      <c r="AA66" s="90"/>
      <c r="AB66" s="88"/>
      <c r="AC66" s="91"/>
      <c r="AD66" s="91"/>
      <c r="AE66" s="35">
        <f t="shared" si="14"/>
        <v>0</v>
      </c>
      <c r="AF66" s="62">
        <f t="shared" si="15"/>
        <v>0</v>
      </c>
    </row>
    <row r="67" spans="1:32" ht="18.75" customHeight="1" x14ac:dyDescent="0.25">
      <c r="A67" s="98"/>
      <c r="B67" s="33">
        <f t="shared" si="11"/>
        <v>31</v>
      </c>
      <c r="C67" s="72">
        <f>'CED - PAY'!C68</f>
        <v>0</v>
      </c>
      <c r="D67" s="72" t="e">
        <f>'CED - PAY'!D68</f>
        <v>#N/A</v>
      </c>
      <c r="E67" s="306">
        <f>'CED - PAY'!E68</f>
        <v>0</v>
      </c>
      <c r="F67" s="49">
        <f>'CED - PAY'!L68</f>
        <v>0</v>
      </c>
      <c r="G67" s="36">
        <f>ROUND('CED - PAY'!I68*0.09,2)</f>
        <v>0</v>
      </c>
      <c r="H67" s="91"/>
      <c r="I67" s="91"/>
      <c r="J67" s="91"/>
      <c r="K67" s="91"/>
      <c r="L67" s="91"/>
      <c r="M67" s="91"/>
      <c r="N67" s="91"/>
      <c r="O67" s="91"/>
      <c r="P67" s="91"/>
      <c r="Q67" s="91"/>
      <c r="R67" s="41">
        <f t="shared" si="12"/>
        <v>0</v>
      </c>
      <c r="S67" s="86"/>
      <c r="T67" s="90"/>
      <c r="U67" s="91"/>
      <c r="V67" s="91"/>
      <c r="W67" s="91"/>
      <c r="X67" s="38">
        <f t="shared" si="13"/>
        <v>0</v>
      </c>
      <c r="Y67" s="49">
        <f>MIN(ROUNDDOWN('CED - PAY'!I68*0.05/2,2),2500)</f>
        <v>0</v>
      </c>
      <c r="Z67" s="89"/>
      <c r="AA67" s="90"/>
      <c r="AB67" s="88"/>
      <c r="AC67" s="91"/>
      <c r="AD67" s="91"/>
      <c r="AE67" s="35">
        <f t="shared" si="14"/>
        <v>0</v>
      </c>
      <c r="AF67" s="62">
        <f t="shared" si="15"/>
        <v>0</v>
      </c>
    </row>
    <row r="68" spans="1:32" ht="18.75" customHeight="1" x14ac:dyDescent="0.25">
      <c r="A68" s="98"/>
      <c r="B68" s="33">
        <f t="shared" si="11"/>
        <v>32</v>
      </c>
      <c r="C68" s="72">
        <f>'CED - PAY'!C69</f>
        <v>0</v>
      </c>
      <c r="D68" s="72" t="e">
        <f>'CED - PAY'!D69</f>
        <v>#N/A</v>
      </c>
      <c r="E68" s="306">
        <f>'CED - PAY'!E69</f>
        <v>0</v>
      </c>
      <c r="F68" s="49">
        <f>'CED - PAY'!L69</f>
        <v>0</v>
      </c>
      <c r="G68" s="36">
        <f>ROUND('CED - PAY'!I69*0.09,2)</f>
        <v>0</v>
      </c>
      <c r="H68" s="91"/>
      <c r="I68" s="91"/>
      <c r="J68" s="91"/>
      <c r="K68" s="91"/>
      <c r="L68" s="91"/>
      <c r="M68" s="91"/>
      <c r="N68" s="91"/>
      <c r="O68" s="91"/>
      <c r="P68" s="91"/>
      <c r="Q68" s="91"/>
      <c r="R68" s="41">
        <f t="shared" si="12"/>
        <v>0</v>
      </c>
      <c r="S68" s="86"/>
      <c r="T68" s="90"/>
      <c r="U68" s="91"/>
      <c r="V68" s="91"/>
      <c r="W68" s="91"/>
      <c r="X68" s="38">
        <f t="shared" si="13"/>
        <v>0</v>
      </c>
      <c r="Y68" s="49">
        <f>MIN(ROUNDDOWN('CED - PAY'!I69*0.05/2,2),2500)</f>
        <v>0</v>
      </c>
      <c r="Z68" s="89"/>
      <c r="AA68" s="90"/>
      <c r="AB68" s="88"/>
      <c r="AC68" s="91"/>
      <c r="AD68" s="91"/>
      <c r="AE68" s="35">
        <f t="shared" si="14"/>
        <v>0</v>
      </c>
      <c r="AF68" s="62">
        <f t="shared" si="15"/>
        <v>0</v>
      </c>
    </row>
    <row r="69" spans="1:32" ht="18.75" customHeight="1" x14ac:dyDescent="0.25">
      <c r="A69" s="98"/>
      <c r="B69" s="33">
        <f>+B51+1</f>
        <v>33</v>
      </c>
      <c r="C69" s="72">
        <f>'CED - PAY'!C70</f>
        <v>0</v>
      </c>
      <c r="D69" s="72" t="e">
        <f>'CED - PAY'!D70</f>
        <v>#N/A</v>
      </c>
      <c r="E69" s="306">
        <f>'CED - PAY'!E70</f>
        <v>0</v>
      </c>
      <c r="F69" s="49">
        <f>'CED - PAY'!L70</f>
        <v>0</v>
      </c>
      <c r="G69" s="36">
        <f>ROUND('CED - PAY'!I70*0.09,2)</f>
        <v>0</v>
      </c>
      <c r="H69" s="91"/>
      <c r="I69" s="91"/>
      <c r="J69" s="91"/>
      <c r="K69" s="91"/>
      <c r="L69" s="91"/>
      <c r="M69" s="91"/>
      <c r="N69" s="91"/>
      <c r="O69" s="91"/>
      <c r="P69" s="91"/>
      <c r="Q69" s="91"/>
      <c r="R69" s="41">
        <f t="shared" si="8"/>
        <v>0</v>
      </c>
      <c r="S69" s="86"/>
      <c r="T69" s="90"/>
      <c r="U69" s="91"/>
      <c r="V69" s="91"/>
      <c r="W69" s="91"/>
      <c r="X69" s="38">
        <f t="shared" si="0"/>
        <v>0</v>
      </c>
      <c r="Y69" s="49">
        <f>MIN(ROUNDDOWN('CED - PAY'!I70*0.05/2,2),2500)</f>
        <v>0</v>
      </c>
      <c r="Z69" s="89"/>
      <c r="AA69" s="90"/>
      <c r="AB69" s="88"/>
      <c r="AC69" s="91"/>
      <c r="AD69" s="91"/>
      <c r="AE69" s="35">
        <f t="shared" si="9"/>
        <v>0</v>
      </c>
      <c r="AF69" s="62">
        <f t="shared" si="10"/>
        <v>0</v>
      </c>
    </row>
    <row r="70" spans="1:32" ht="18.75" customHeight="1" x14ac:dyDescent="0.25">
      <c r="A70" s="98"/>
      <c r="B70" s="33"/>
      <c r="C70" s="64"/>
      <c r="D70" s="64"/>
      <c r="E70" s="63"/>
      <c r="F70" s="70"/>
      <c r="G70" s="65"/>
      <c r="H70" s="91"/>
      <c r="I70" s="91"/>
      <c r="J70" s="91"/>
      <c r="K70" s="91"/>
      <c r="L70" s="91"/>
      <c r="M70" s="91"/>
      <c r="N70" s="91"/>
      <c r="O70" s="91"/>
      <c r="P70" s="91"/>
      <c r="Q70" s="91"/>
      <c r="R70" s="71"/>
      <c r="S70" s="89"/>
      <c r="T70" s="90"/>
      <c r="U70" s="91"/>
      <c r="V70" s="91"/>
      <c r="W70" s="91"/>
      <c r="X70" s="69"/>
      <c r="Y70" s="70"/>
      <c r="Z70" s="89"/>
      <c r="AA70" s="90"/>
      <c r="AB70" s="91"/>
      <c r="AC70" s="91"/>
      <c r="AD70" s="91"/>
      <c r="AE70" s="67"/>
      <c r="AF70" s="62">
        <f t="shared" si="10"/>
        <v>0</v>
      </c>
    </row>
    <row r="71" spans="1:32" ht="18.75" customHeight="1" thickBot="1" x14ac:dyDescent="0.3">
      <c r="A71" s="98"/>
      <c r="B71" s="16"/>
      <c r="C71" s="16"/>
      <c r="D71" s="16"/>
      <c r="E71" s="324"/>
      <c r="F71" s="81">
        <f t="shared" ref="F71:AF71" si="16">SUM(F20:F70)</f>
        <v>0</v>
      </c>
      <c r="G71" s="73">
        <f t="shared" si="16"/>
        <v>0</v>
      </c>
      <c r="H71" s="94">
        <f t="shared" si="16"/>
        <v>0</v>
      </c>
      <c r="I71" s="94">
        <f t="shared" si="16"/>
        <v>0</v>
      </c>
      <c r="J71" s="94">
        <f t="shared" si="16"/>
        <v>0</v>
      </c>
      <c r="K71" s="94">
        <f t="shared" si="16"/>
        <v>0</v>
      </c>
      <c r="L71" s="94">
        <f t="shared" si="16"/>
        <v>0</v>
      </c>
      <c r="M71" s="94">
        <f t="shared" si="16"/>
        <v>0</v>
      </c>
      <c r="N71" s="94">
        <f t="shared" si="16"/>
        <v>0</v>
      </c>
      <c r="O71" s="94">
        <f t="shared" si="16"/>
        <v>0</v>
      </c>
      <c r="P71" s="94">
        <f t="shared" si="16"/>
        <v>0</v>
      </c>
      <c r="Q71" s="94">
        <f t="shared" si="16"/>
        <v>0</v>
      </c>
      <c r="R71" s="74">
        <f t="shared" si="16"/>
        <v>0</v>
      </c>
      <c r="S71" s="95">
        <f t="shared" si="16"/>
        <v>0</v>
      </c>
      <c r="T71" s="96">
        <f t="shared" si="16"/>
        <v>0</v>
      </c>
      <c r="U71" s="94">
        <f t="shared" si="16"/>
        <v>0</v>
      </c>
      <c r="V71" s="94">
        <f t="shared" si="16"/>
        <v>0</v>
      </c>
      <c r="W71" s="94">
        <f t="shared" si="16"/>
        <v>0</v>
      </c>
      <c r="X71" s="80">
        <f t="shared" si="16"/>
        <v>0</v>
      </c>
      <c r="Y71" s="81">
        <f t="shared" si="16"/>
        <v>0</v>
      </c>
      <c r="Z71" s="95">
        <f t="shared" si="16"/>
        <v>0</v>
      </c>
      <c r="AA71" s="96">
        <f t="shared" si="16"/>
        <v>0</v>
      </c>
      <c r="AB71" s="94">
        <f t="shared" si="16"/>
        <v>0</v>
      </c>
      <c r="AC71" s="94">
        <f t="shared" si="16"/>
        <v>0</v>
      </c>
      <c r="AD71" s="94">
        <f t="shared" si="16"/>
        <v>0</v>
      </c>
      <c r="AE71" s="80">
        <f t="shared" si="16"/>
        <v>0</v>
      </c>
      <c r="AF71" s="81">
        <f t="shared" si="16"/>
        <v>0</v>
      </c>
    </row>
    <row r="72" spans="1:32" x14ac:dyDescent="0.25">
      <c r="R72" s="75">
        <f>R71-'CED - PAY'!M72</f>
        <v>0</v>
      </c>
      <c r="X72" s="75">
        <f>X71-'CED - PAY'!N72</f>
        <v>0</v>
      </c>
      <c r="Y72" s="75">
        <f>Y71-'CED - PAY'!O72</f>
        <v>0</v>
      </c>
      <c r="AE72" s="75">
        <f>AE71-'CED - PAY'!P72</f>
        <v>0</v>
      </c>
      <c r="AF72" s="75">
        <f>AF71-'CED - PAY'!Q72</f>
        <v>0</v>
      </c>
    </row>
    <row r="73" spans="1:32" x14ac:dyDescent="0.25">
      <c r="AE73" s="75"/>
      <c r="AF73" s="75"/>
    </row>
    <row r="74" spans="1:32" x14ac:dyDescent="0.25">
      <c r="C74" s="820" t="s">
        <v>47</v>
      </c>
      <c r="D74" s="820"/>
    </row>
    <row r="75" spans="1:32" x14ac:dyDescent="0.25">
      <c r="C75" s="827" t="s">
        <v>93</v>
      </c>
      <c r="D75" s="827"/>
    </row>
    <row r="77" spans="1:32" x14ac:dyDescent="0.25">
      <c r="C77" s="32"/>
    </row>
  </sheetData>
  <mergeCells count="48">
    <mergeCell ref="B14:Z14"/>
    <mergeCell ref="AE2:AF2"/>
    <mergeCell ref="B3:AF3"/>
    <mergeCell ref="B4:AF4"/>
    <mergeCell ref="B5:AF5"/>
    <mergeCell ref="B6:AF6"/>
    <mergeCell ref="B8:AF8"/>
    <mergeCell ref="B9:AF9"/>
    <mergeCell ref="B10:AF10"/>
    <mergeCell ref="D11:D13"/>
    <mergeCell ref="B12:C12"/>
    <mergeCell ref="AD12:AF12"/>
    <mergeCell ref="B16:B18"/>
    <mergeCell ref="C16:C18"/>
    <mergeCell ref="D16:D18"/>
    <mergeCell ref="E16:E18"/>
    <mergeCell ref="F16:F18"/>
    <mergeCell ref="S16:X16"/>
    <mergeCell ref="Y16:Y18"/>
    <mergeCell ref="Z16:AE16"/>
    <mergeCell ref="AF16:AF18"/>
    <mergeCell ref="G17:G18"/>
    <mergeCell ref="H17:H18"/>
    <mergeCell ref="I17:I18"/>
    <mergeCell ref="J17:J18"/>
    <mergeCell ref="K17:K18"/>
    <mergeCell ref="L17:L18"/>
    <mergeCell ref="G16:R16"/>
    <mergeCell ref="M17:M18"/>
    <mergeCell ref="N17:N18"/>
    <mergeCell ref="O17:O18"/>
    <mergeCell ref="P17:P18"/>
    <mergeCell ref="AD17:AD18"/>
    <mergeCell ref="AE17:AE18"/>
    <mergeCell ref="C74:D74"/>
    <mergeCell ref="C75:D75"/>
    <mergeCell ref="W17:W18"/>
    <mergeCell ref="X17:X18"/>
    <mergeCell ref="Z17:Z18"/>
    <mergeCell ref="AA17:AA18"/>
    <mergeCell ref="AB17:AB18"/>
    <mergeCell ref="AC17:AC18"/>
    <mergeCell ref="Q17:Q18"/>
    <mergeCell ref="R17:R18"/>
    <mergeCell ref="S17:S18"/>
    <mergeCell ref="T17:T18"/>
    <mergeCell ref="U17:U18"/>
    <mergeCell ref="V17:V18"/>
  </mergeCells>
  <printOptions horizontalCentered="1"/>
  <pageMargins left="0.39370078740157483" right="0.39370078740157483" top="0.39370078740157483" bottom="0.39370078740157483" header="0" footer="0.19685039370078741"/>
  <pageSetup paperSize="14" scale="41" fitToHeight="0" orientation="landscape" r:id="rId1"/>
  <headerFooter alignWithMargins="0">
    <oddHeader>&amp;R&amp;16
Sheet &amp;"Times New Roman,Bold"&amp;U&amp;P&amp;"Times New Roman,Regular"&amp;U of &amp;"Times New Roman,Bold"&amp;U&amp;N&amp;"Times New Roman,Regular"&amp;U Sheet/s</oddHeader>
  </headerFooter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7">
    <tabColor theme="8" tint="-0.249977111117893"/>
  </sheetPr>
  <dimension ref="B2:N22"/>
  <sheetViews>
    <sheetView topLeftCell="A11" workbookViewId="0">
      <selection activeCell="F11" sqref="F11"/>
    </sheetView>
  </sheetViews>
  <sheetFormatPr defaultRowHeight="15.75" x14ac:dyDescent="0.25"/>
  <cols>
    <col min="1" max="2" width="9" style="4"/>
    <col min="3" max="3" width="31.625" style="4" bestFit="1" customWidth="1"/>
    <col min="4" max="4" width="21.75" style="4" bestFit="1" customWidth="1"/>
    <col min="5" max="14" width="12.375" style="57" bestFit="1" customWidth="1"/>
    <col min="15" max="16384" width="9" style="4"/>
  </cols>
  <sheetData>
    <row r="2" spans="2:14" ht="27.75" customHeight="1" thickBot="1" x14ac:dyDescent="0.3">
      <c r="B2" s="785" t="s">
        <v>156</v>
      </c>
      <c r="C2" s="785"/>
      <c r="D2" s="785"/>
      <c r="E2" s="785"/>
      <c r="F2" s="785"/>
      <c r="G2" s="785"/>
      <c r="H2" s="785"/>
      <c r="I2" s="785"/>
      <c r="J2" s="785"/>
      <c r="K2" s="785"/>
      <c r="L2" s="785"/>
      <c r="M2" s="785"/>
      <c r="N2" s="785"/>
    </row>
    <row r="3" spans="2:14" ht="27.75" customHeight="1" thickBot="1" x14ac:dyDescent="0.3">
      <c r="B3" s="944" t="s">
        <v>121</v>
      </c>
      <c r="C3" s="944"/>
      <c r="D3" s="944"/>
      <c r="E3" s="944"/>
      <c r="F3" s="944"/>
      <c r="G3" s="944"/>
      <c r="H3" s="944"/>
      <c r="I3" s="944"/>
      <c r="J3" s="944"/>
      <c r="K3" s="944"/>
      <c r="L3" s="944"/>
      <c r="M3" s="944"/>
      <c r="N3" s="944"/>
    </row>
    <row r="4" spans="2:14" x14ac:dyDescent="0.25">
      <c r="B4" s="802" t="s">
        <v>6</v>
      </c>
      <c r="C4" s="806" t="s">
        <v>1</v>
      </c>
      <c r="D4" s="815" t="s">
        <v>2</v>
      </c>
      <c r="E4" s="780" t="s">
        <v>14</v>
      </c>
      <c r="F4" s="780" t="s">
        <v>54</v>
      </c>
      <c r="G4" s="802" t="s">
        <v>157</v>
      </c>
      <c r="H4" s="809" t="s">
        <v>153</v>
      </c>
      <c r="I4" s="810"/>
      <c r="J4" s="810"/>
      <c r="K4" s="810"/>
      <c r="L4" s="810"/>
      <c r="M4" s="810"/>
      <c r="N4" s="811"/>
    </row>
    <row r="5" spans="2:14" ht="16.5" thickBot="1" x14ac:dyDescent="0.3">
      <c r="B5" s="803"/>
      <c r="C5" s="807"/>
      <c r="D5" s="816"/>
      <c r="E5" s="781"/>
      <c r="F5" s="781"/>
      <c r="G5" s="803"/>
      <c r="H5" s="812"/>
      <c r="I5" s="813"/>
      <c r="J5" s="813"/>
      <c r="K5" s="813"/>
      <c r="L5" s="813"/>
      <c r="M5" s="813"/>
      <c r="N5" s="814"/>
    </row>
    <row r="6" spans="2:14" ht="16.5" thickBot="1" x14ac:dyDescent="0.3">
      <c r="B6" s="803"/>
      <c r="C6" s="807"/>
      <c r="D6" s="816"/>
      <c r="E6" s="781"/>
      <c r="F6" s="781"/>
      <c r="G6" s="804"/>
      <c r="H6" s="323" t="s">
        <v>150</v>
      </c>
      <c r="I6" s="319" t="s">
        <v>154</v>
      </c>
      <c r="J6" s="323" t="s">
        <v>151</v>
      </c>
      <c r="K6" s="319" t="s">
        <v>154</v>
      </c>
      <c r="L6" s="323" t="s">
        <v>152</v>
      </c>
      <c r="M6" s="319" t="s">
        <v>154</v>
      </c>
      <c r="N6" s="319" t="s">
        <v>155</v>
      </c>
    </row>
    <row r="7" spans="2:14" x14ac:dyDescent="0.25">
      <c r="B7" s="42"/>
      <c r="C7" s="320"/>
      <c r="D7" s="321"/>
      <c r="E7" s="322"/>
      <c r="F7" s="322"/>
      <c r="G7" s="55"/>
      <c r="H7" s="322"/>
      <c r="I7" s="55"/>
      <c r="J7" s="322"/>
      <c r="K7" s="55"/>
      <c r="L7" s="322"/>
      <c r="M7" s="55"/>
      <c r="N7" s="55"/>
    </row>
    <row r="8" spans="2:14" x14ac:dyDescent="0.25">
      <c r="B8" s="34">
        <v>1</v>
      </c>
      <c r="C8" s="184"/>
      <c r="D8" s="185"/>
      <c r="E8" s="225"/>
      <c r="F8" s="225"/>
      <c r="G8" s="328">
        <f>'PE - PAY'!I21/31</f>
        <v>0</v>
      </c>
      <c r="H8" s="313"/>
      <c r="I8" s="328">
        <f>ROUND(G8*H8,2)</f>
        <v>0</v>
      </c>
      <c r="J8" s="313"/>
      <c r="K8" s="328">
        <f>ROUND(G8/8*J8,2)</f>
        <v>0</v>
      </c>
      <c r="L8" s="313"/>
      <c r="M8" s="328">
        <f>ROUND(G8/8/60*L8,2)</f>
        <v>0</v>
      </c>
      <c r="N8" s="328">
        <f>I8+K8+M8</f>
        <v>0</v>
      </c>
    </row>
    <row r="9" spans="2:14" x14ac:dyDescent="0.25">
      <c r="B9" s="34">
        <f>+B8+1</f>
        <v>2</v>
      </c>
      <c r="C9" s="184"/>
      <c r="D9" s="185"/>
      <c r="E9" s="225"/>
      <c r="F9" s="225"/>
      <c r="G9" s="328">
        <f>'PE - PAY'!I22/31</f>
        <v>0</v>
      </c>
      <c r="H9" s="313"/>
      <c r="I9" s="328">
        <f>ROUND(G9*H9,2)</f>
        <v>0</v>
      </c>
      <c r="J9" s="313"/>
      <c r="K9" s="328">
        <f>ROUND(G9/8*J9,2)</f>
        <v>0</v>
      </c>
      <c r="L9" s="313"/>
      <c r="M9" s="328">
        <f>ROUND(G9/8/60*L9,2)</f>
        <v>0</v>
      </c>
      <c r="N9" s="328">
        <f>I9+K9+M9</f>
        <v>0</v>
      </c>
    </row>
    <row r="10" spans="2:14" x14ac:dyDescent="0.25">
      <c r="B10" s="34" t="e">
        <f>+#REF!+1</f>
        <v>#REF!</v>
      </c>
      <c r="C10" s="184"/>
      <c r="D10" s="185"/>
      <c r="E10" s="225"/>
      <c r="F10" s="225"/>
      <c r="G10" s="328">
        <f>'PE - PAY'!I13/31</f>
        <v>0</v>
      </c>
      <c r="H10" s="313"/>
      <c r="I10" s="328">
        <f t="shared" ref="I10:I19" si="0">ROUND(G10*H10,2)</f>
        <v>0</v>
      </c>
      <c r="J10" s="313"/>
      <c r="K10" s="328">
        <f t="shared" ref="K10:K19" si="1">ROUND(G10/8*J10,2)</f>
        <v>0</v>
      </c>
      <c r="L10" s="313"/>
      <c r="M10" s="328">
        <f t="shared" ref="M10:M19" si="2">ROUND(G10/8/60*L10,2)</f>
        <v>0</v>
      </c>
      <c r="N10" s="328">
        <f t="shared" ref="N10:N19" si="3">I10+K10+M10</f>
        <v>0</v>
      </c>
    </row>
    <row r="11" spans="2:14" x14ac:dyDescent="0.25">
      <c r="B11" s="34" t="e">
        <f>+#REF!+1</f>
        <v>#REF!</v>
      </c>
      <c r="C11" s="184"/>
      <c r="D11" s="185"/>
      <c r="E11" s="225"/>
      <c r="F11" s="225"/>
      <c r="G11" s="328">
        <f>'PE - PAY'!I14/31</f>
        <v>0</v>
      </c>
      <c r="H11" s="313"/>
      <c r="I11" s="328">
        <f t="shared" si="0"/>
        <v>0</v>
      </c>
      <c r="J11" s="313"/>
      <c r="K11" s="328">
        <f t="shared" si="1"/>
        <v>0</v>
      </c>
      <c r="L11" s="313"/>
      <c r="M11" s="328">
        <f t="shared" si="2"/>
        <v>0</v>
      </c>
      <c r="N11" s="328">
        <f t="shared" si="3"/>
        <v>0</v>
      </c>
    </row>
    <row r="12" spans="2:14" x14ac:dyDescent="0.25">
      <c r="B12" s="34">
        <f t="shared" ref="B12:B19" si="4">+B1+1</f>
        <v>1</v>
      </c>
      <c r="C12" s="184"/>
      <c r="D12" s="185"/>
      <c r="E12" s="225"/>
      <c r="F12" s="225"/>
      <c r="G12" s="328">
        <f>'PE - PAY'!I15/31</f>
        <v>0</v>
      </c>
      <c r="H12" s="313"/>
      <c r="I12" s="328">
        <f t="shared" si="0"/>
        <v>0</v>
      </c>
      <c r="J12" s="313"/>
      <c r="K12" s="328">
        <f t="shared" si="1"/>
        <v>0</v>
      </c>
      <c r="L12" s="313"/>
      <c r="M12" s="328">
        <f t="shared" si="2"/>
        <v>0</v>
      </c>
      <c r="N12" s="328">
        <f t="shared" si="3"/>
        <v>0</v>
      </c>
    </row>
    <row r="13" spans="2:14" x14ac:dyDescent="0.25">
      <c r="B13" s="34" t="e">
        <f t="shared" si="4"/>
        <v>#VALUE!</v>
      </c>
      <c r="C13" s="184"/>
      <c r="D13" s="185"/>
      <c r="E13" s="225"/>
      <c r="F13" s="225"/>
      <c r="G13" s="328">
        <f>'PE - PAY'!I16/31</f>
        <v>0</v>
      </c>
      <c r="H13" s="313"/>
      <c r="I13" s="328">
        <f t="shared" si="0"/>
        <v>0</v>
      </c>
      <c r="J13" s="313"/>
      <c r="K13" s="328">
        <f t="shared" si="1"/>
        <v>0</v>
      </c>
      <c r="L13" s="313"/>
      <c r="M13" s="328">
        <f t="shared" si="2"/>
        <v>0</v>
      </c>
      <c r="N13" s="328">
        <f t="shared" si="3"/>
        <v>0</v>
      </c>
    </row>
    <row r="14" spans="2:14" x14ac:dyDescent="0.25">
      <c r="B14" s="34" t="e">
        <f t="shared" si="4"/>
        <v>#VALUE!</v>
      </c>
      <c r="C14" s="184"/>
      <c r="D14" s="185"/>
      <c r="E14" s="225"/>
      <c r="F14" s="225"/>
      <c r="G14" s="328">
        <f>'PE - PAY'!I17/31</f>
        <v>0</v>
      </c>
      <c r="H14" s="313"/>
      <c r="I14" s="328">
        <f t="shared" si="0"/>
        <v>0</v>
      </c>
      <c r="J14" s="313"/>
      <c r="K14" s="328">
        <f t="shared" si="1"/>
        <v>0</v>
      </c>
      <c r="L14" s="313"/>
      <c r="M14" s="328">
        <f t="shared" si="2"/>
        <v>0</v>
      </c>
      <c r="N14" s="328">
        <f t="shared" si="3"/>
        <v>0</v>
      </c>
    </row>
    <row r="15" spans="2:14" x14ac:dyDescent="0.25">
      <c r="B15" s="34" t="e">
        <f t="shared" si="4"/>
        <v>#VALUE!</v>
      </c>
      <c r="C15" s="184"/>
      <c r="D15" s="185"/>
      <c r="E15" s="225"/>
      <c r="F15" s="225"/>
      <c r="G15" s="328" t="e">
        <f>'PE - PAY'!I18/31</f>
        <v>#VALUE!</v>
      </c>
      <c r="H15" s="313"/>
      <c r="I15" s="328" t="e">
        <f t="shared" si="0"/>
        <v>#VALUE!</v>
      </c>
      <c r="J15" s="313"/>
      <c r="K15" s="328" t="e">
        <f t="shared" si="1"/>
        <v>#VALUE!</v>
      </c>
      <c r="L15" s="313"/>
      <c r="M15" s="328" t="e">
        <f t="shared" si="2"/>
        <v>#VALUE!</v>
      </c>
      <c r="N15" s="328" t="e">
        <f t="shared" si="3"/>
        <v>#VALUE!</v>
      </c>
    </row>
    <row r="16" spans="2:14" x14ac:dyDescent="0.25">
      <c r="B16" s="34">
        <f t="shared" si="4"/>
        <v>1</v>
      </c>
      <c r="C16" s="184"/>
      <c r="D16" s="185"/>
      <c r="E16" s="225"/>
      <c r="F16" s="225"/>
      <c r="G16" s="328">
        <f>'PE - PAY'!I19/31</f>
        <v>0</v>
      </c>
      <c r="H16" s="313"/>
      <c r="I16" s="328">
        <f t="shared" si="0"/>
        <v>0</v>
      </c>
      <c r="J16" s="313"/>
      <c r="K16" s="328">
        <f t="shared" si="1"/>
        <v>0</v>
      </c>
      <c r="L16" s="313"/>
      <c r="M16" s="328">
        <f t="shared" si="2"/>
        <v>0</v>
      </c>
      <c r="N16" s="328">
        <f t="shared" si="3"/>
        <v>0</v>
      </c>
    </row>
    <row r="17" spans="2:14" x14ac:dyDescent="0.25">
      <c r="B17" s="34">
        <f t="shared" si="4"/>
        <v>1</v>
      </c>
      <c r="C17" s="184"/>
      <c r="D17" s="185"/>
      <c r="E17" s="225"/>
      <c r="F17" s="225"/>
      <c r="G17" s="328">
        <f>'PE - PAY'!I20/31</f>
        <v>0</v>
      </c>
      <c r="H17" s="313"/>
      <c r="I17" s="328">
        <f t="shared" si="0"/>
        <v>0</v>
      </c>
      <c r="J17" s="313"/>
      <c r="K17" s="328">
        <f t="shared" si="1"/>
        <v>0</v>
      </c>
      <c r="L17" s="313"/>
      <c r="M17" s="328">
        <f t="shared" si="2"/>
        <v>0</v>
      </c>
      <c r="N17" s="328">
        <f t="shared" si="3"/>
        <v>0</v>
      </c>
    </row>
    <row r="18" spans="2:14" x14ac:dyDescent="0.25">
      <c r="B18" s="34">
        <f t="shared" si="4"/>
        <v>1</v>
      </c>
      <c r="C18" s="184"/>
      <c r="D18" s="185"/>
      <c r="E18" s="225"/>
      <c r="F18" s="225"/>
      <c r="G18" s="328">
        <f>'PE - PAY'!I21/31</f>
        <v>0</v>
      </c>
      <c r="H18" s="313"/>
      <c r="I18" s="328">
        <f t="shared" si="0"/>
        <v>0</v>
      </c>
      <c r="J18" s="313"/>
      <c r="K18" s="328">
        <f t="shared" si="1"/>
        <v>0</v>
      </c>
      <c r="L18" s="313"/>
      <c r="M18" s="328">
        <f t="shared" si="2"/>
        <v>0</v>
      </c>
      <c r="N18" s="328">
        <f t="shared" si="3"/>
        <v>0</v>
      </c>
    </row>
    <row r="19" spans="2:14" x14ac:dyDescent="0.25">
      <c r="B19" s="34">
        <f t="shared" si="4"/>
        <v>2</v>
      </c>
      <c r="C19" s="184"/>
      <c r="D19" s="185"/>
      <c r="E19" s="225"/>
      <c r="F19" s="225"/>
      <c r="G19" s="328">
        <f>'PE - PAY'!I22/31</f>
        <v>0</v>
      </c>
      <c r="H19" s="313"/>
      <c r="I19" s="328">
        <f t="shared" si="0"/>
        <v>0</v>
      </c>
      <c r="J19" s="313"/>
      <c r="K19" s="328">
        <f t="shared" si="1"/>
        <v>0</v>
      </c>
      <c r="L19" s="313"/>
      <c r="M19" s="328">
        <f t="shared" si="2"/>
        <v>0</v>
      </c>
      <c r="N19" s="328">
        <f t="shared" si="3"/>
        <v>0</v>
      </c>
    </row>
    <row r="20" spans="2:14" x14ac:dyDescent="0.25">
      <c r="B20" s="34">
        <f>+B9+1</f>
        <v>3</v>
      </c>
      <c r="C20" s="184"/>
      <c r="D20" s="185"/>
      <c r="E20" s="225"/>
      <c r="F20" s="225"/>
      <c r="G20" s="328">
        <f>'PE - PAY'!I33/31</f>
        <v>0</v>
      </c>
      <c r="H20" s="313"/>
      <c r="I20" s="328">
        <f>ROUND(G20*H20,2)</f>
        <v>0</v>
      </c>
      <c r="J20" s="313"/>
      <c r="K20" s="328">
        <f>ROUND(G20/8*J20,2)</f>
        <v>0</v>
      </c>
      <c r="L20" s="313"/>
      <c r="M20" s="328">
        <f>ROUND(G20/8/60*L20,2)</f>
        <v>0</v>
      </c>
      <c r="N20" s="328">
        <f>I20+K20+M20</f>
        <v>0</v>
      </c>
    </row>
    <row r="21" spans="2:14" ht="16.5" thickBot="1" x14ac:dyDescent="0.3">
      <c r="B21" s="180"/>
      <c r="C21" s="181"/>
      <c r="D21" s="29"/>
      <c r="E21" s="329"/>
      <c r="F21" s="327">
        <f>SUM(F8:F20)</f>
        <v>0</v>
      </c>
      <c r="G21" s="327"/>
      <c r="H21" s="327"/>
      <c r="I21" s="327" t="e">
        <f>SUM(I7:I20)</f>
        <v>#VALUE!</v>
      </c>
      <c r="J21" s="327"/>
      <c r="K21" s="327" t="e">
        <f>SUM(K7:K20)</f>
        <v>#VALUE!</v>
      </c>
      <c r="L21" s="327"/>
      <c r="M21" s="327" t="e">
        <f>SUM(M7:M20)</f>
        <v>#VALUE!</v>
      </c>
      <c r="N21" s="327" t="e">
        <f>SUM(N7:N20)</f>
        <v>#VALUE!</v>
      </c>
    </row>
    <row r="22" spans="2:14" x14ac:dyDescent="0.25">
      <c r="E22" s="205"/>
      <c r="F22" s="205">
        <f>F21-'PE - PAY'!L35</f>
        <v>0</v>
      </c>
      <c r="G22" s="205"/>
      <c r="H22" s="205"/>
      <c r="I22" s="205"/>
      <c r="J22" s="205"/>
      <c r="K22" s="205"/>
      <c r="L22" s="205"/>
      <c r="M22" s="205"/>
      <c r="N22" s="205" t="e">
        <f>N21-'PE - PAY'!J35</f>
        <v>#VALUE!</v>
      </c>
    </row>
  </sheetData>
  <mergeCells count="9">
    <mergeCell ref="B2:N2"/>
    <mergeCell ref="B3:N3"/>
    <mergeCell ref="H4:N5"/>
    <mergeCell ref="G4:G6"/>
    <mergeCell ref="B4:B6"/>
    <mergeCell ref="C4:C6"/>
    <mergeCell ref="D4:D6"/>
    <mergeCell ref="F4:F6"/>
    <mergeCell ref="E4:E6"/>
  </mergeCell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>
    <tabColor theme="8" tint="-0.249977111117893"/>
    <pageSetUpPr fitToPage="1"/>
  </sheetPr>
  <dimension ref="A1:Z54"/>
  <sheetViews>
    <sheetView showWhiteSpace="0" topLeftCell="A16" zoomScaleNormal="100" zoomScaleSheetLayoutView="100" workbookViewId="0">
      <pane xSplit="10" ySplit="4" topLeftCell="T20" activePane="bottomRight" state="frozen"/>
      <selection activeCell="W34" sqref="W34:Y37"/>
      <selection pane="topRight" activeCell="W34" sqref="W34:Y37"/>
      <selection pane="bottomLeft" activeCell="W34" sqref="W34:Y37"/>
      <selection pane="bottomRight" activeCell="C21" sqref="C21:C23"/>
    </sheetView>
  </sheetViews>
  <sheetFormatPr defaultRowHeight="30.75" x14ac:dyDescent="0.25"/>
  <cols>
    <col min="1" max="1" width="9.375" style="31" customWidth="1"/>
    <col min="2" max="2" width="6.75" style="4" customWidth="1"/>
    <col min="3" max="3" width="24.625" style="4" customWidth="1"/>
    <col min="4" max="4" width="12.875" style="4" customWidth="1"/>
    <col min="5" max="5" width="9.625" style="57" customWidth="1"/>
    <col min="6" max="6" width="13.375" style="4" customWidth="1"/>
    <col min="7" max="7" width="8.5" style="4" customWidth="1"/>
    <col min="8" max="8" width="9.75" style="4" customWidth="1"/>
    <col min="9" max="9" width="13.125" style="4" customWidth="1"/>
    <col min="10" max="10" width="11.125" style="4" customWidth="1"/>
    <col min="11" max="11" width="12.625" style="4" customWidth="1"/>
    <col min="12" max="13" width="11.5" style="4" customWidth="1"/>
    <col min="14" max="14" width="10.375" style="4" customWidth="1"/>
    <col min="15" max="15" width="11" style="4" bestFit="1" customWidth="1"/>
    <col min="16" max="16" width="11.875" style="4" customWidth="1"/>
    <col min="17" max="17" width="15.125" style="4" bestFit="1" customWidth="1"/>
    <col min="18" max="18" width="13.125" style="4" customWidth="1"/>
    <col min="19" max="19" width="12.75" style="4" customWidth="1"/>
    <col min="20" max="20" width="12.125" style="4" bestFit="1" customWidth="1"/>
    <col min="21" max="21" width="3.75" style="57" customWidth="1"/>
    <col min="22" max="22" width="14.25" style="4" customWidth="1"/>
    <col min="23" max="23" width="10.625" style="4" customWidth="1"/>
    <col min="24" max="24" width="11.625" style="4" bestFit="1" customWidth="1"/>
    <col min="25" max="25" width="11" style="4" bestFit="1" customWidth="1"/>
    <col min="26" max="26" width="5.625" style="4" customWidth="1"/>
    <col min="27" max="16384" width="9" style="4"/>
  </cols>
  <sheetData>
    <row r="1" spans="1:25" ht="23.25" customHeight="1" x14ac:dyDescent="0.25">
      <c r="A1" s="98">
        <v>94</v>
      </c>
      <c r="Q1" s="5"/>
      <c r="R1" s="5"/>
      <c r="S1" s="5"/>
      <c r="T1" s="5"/>
      <c r="U1" s="52"/>
      <c r="V1" s="3"/>
      <c r="W1" s="3"/>
    </row>
    <row r="2" spans="1:25" ht="23.25" x14ac:dyDescent="0.25">
      <c r="A2" s="98"/>
      <c r="Q2" s="5"/>
      <c r="R2" s="5"/>
      <c r="S2" s="5"/>
      <c r="T2" s="5"/>
      <c r="U2" s="53"/>
      <c r="V2" s="2"/>
      <c r="W2" s="2"/>
      <c r="X2" s="864" t="s">
        <v>40</v>
      </c>
      <c r="Y2" s="864"/>
    </row>
    <row r="3" spans="1:25" ht="15.75" customHeight="1" x14ac:dyDescent="0.25">
      <c r="A3" s="98"/>
      <c r="B3" s="877" t="s">
        <v>42</v>
      </c>
      <c r="C3" s="877"/>
      <c r="D3" s="877"/>
      <c r="E3" s="877"/>
      <c r="F3" s="877"/>
      <c r="G3" s="877"/>
      <c r="H3" s="877"/>
      <c r="I3" s="877"/>
      <c r="J3" s="877"/>
      <c r="K3" s="877"/>
      <c r="L3" s="877"/>
      <c r="M3" s="877"/>
      <c r="N3" s="877"/>
      <c r="O3" s="877"/>
      <c r="P3" s="877"/>
      <c r="Q3" s="877"/>
      <c r="R3" s="877"/>
      <c r="S3" s="877"/>
      <c r="T3" s="877"/>
      <c r="U3" s="877"/>
      <c r="V3" s="877"/>
      <c r="W3" s="877"/>
      <c r="X3" s="877"/>
      <c r="Y3" s="877"/>
    </row>
    <row r="4" spans="1:25" ht="15.75" customHeight="1" x14ac:dyDescent="0.25">
      <c r="A4" s="98"/>
      <c r="B4" s="878" t="s">
        <v>43</v>
      </c>
      <c r="C4" s="878"/>
      <c r="D4" s="878"/>
      <c r="E4" s="878"/>
      <c r="F4" s="878"/>
      <c r="G4" s="878"/>
      <c r="H4" s="878"/>
      <c r="I4" s="878"/>
      <c r="J4" s="878"/>
      <c r="K4" s="878"/>
      <c r="L4" s="878"/>
      <c r="M4" s="878"/>
      <c r="N4" s="878"/>
      <c r="O4" s="878"/>
      <c r="P4" s="878"/>
      <c r="Q4" s="878"/>
      <c r="R4" s="878"/>
      <c r="S4" s="878"/>
      <c r="T4" s="878"/>
      <c r="U4" s="878"/>
      <c r="V4" s="878"/>
      <c r="W4" s="878"/>
      <c r="X4" s="878"/>
      <c r="Y4" s="878"/>
    </row>
    <row r="5" spans="1:25" ht="15.75" customHeight="1" x14ac:dyDescent="0.25">
      <c r="A5" s="98"/>
      <c r="B5" s="878" t="s">
        <v>44</v>
      </c>
      <c r="C5" s="878"/>
      <c r="D5" s="878"/>
      <c r="E5" s="878"/>
      <c r="F5" s="878"/>
      <c r="G5" s="878"/>
      <c r="H5" s="878"/>
      <c r="I5" s="878"/>
      <c r="J5" s="878"/>
      <c r="K5" s="878"/>
      <c r="L5" s="878"/>
      <c r="M5" s="878"/>
      <c r="N5" s="878"/>
      <c r="O5" s="878"/>
      <c r="P5" s="878"/>
      <c r="Q5" s="878"/>
      <c r="R5" s="878"/>
      <c r="S5" s="878"/>
      <c r="T5" s="878"/>
      <c r="U5" s="878"/>
      <c r="V5" s="878"/>
      <c r="W5" s="878"/>
      <c r="X5" s="878"/>
      <c r="Y5" s="878"/>
    </row>
    <row r="6" spans="1:25" ht="15.75" customHeight="1" x14ac:dyDescent="0.25">
      <c r="A6" s="98"/>
      <c r="B6" s="877" t="s">
        <v>45</v>
      </c>
      <c r="C6" s="877"/>
      <c r="D6" s="877"/>
      <c r="E6" s="877"/>
      <c r="F6" s="877"/>
      <c r="G6" s="877"/>
      <c r="H6" s="877"/>
      <c r="I6" s="877"/>
      <c r="J6" s="877"/>
      <c r="K6" s="877"/>
      <c r="L6" s="877"/>
      <c r="M6" s="877"/>
      <c r="N6" s="877"/>
      <c r="O6" s="877"/>
      <c r="P6" s="877"/>
      <c r="Q6" s="877"/>
      <c r="R6" s="877"/>
      <c r="S6" s="877"/>
      <c r="T6" s="877"/>
      <c r="U6" s="877"/>
      <c r="V6" s="877"/>
      <c r="W6" s="877"/>
      <c r="X6" s="877"/>
      <c r="Y6" s="877"/>
    </row>
    <row r="7" spans="1:25" ht="15.75" customHeight="1" x14ac:dyDescent="0.25">
      <c r="A7" s="98"/>
      <c r="Q7" s="2"/>
      <c r="R7" s="2"/>
      <c r="S7" s="2"/>
      <c r="T7" s="2"/>
      <c r="U7" s="53"/>
      <c r="V7" s="2"/>
      <c r="W7" s="2"/>
      <c r="X7" s="2"/>
      <c r="Y7" s="2"/>
    </row>
    <row r="8" spans="1:25" ht="22.5" x14ac:dyDescent="0.25">
      <c r="A8" s="98"/>
      <c r="B8" s="882" t="s">
        <v>13</v>
      </c>
      <c r="C8" s="882"/>
      <c r="D8" s="882"/>
      <c r="E8" s="882"/>
      <c r="F8" s="882"/>
      <c r="G8" s="882"/>
      <c r="H8" s="882"/>
      <c r="I8" s="882"/>
      <c r="J8" s="882"/>
      <c r="K8" s="882"/>
      <c r="L8" s="882"/>
      <c r="M8" s="882"/>
      <c r="N8" s="882"/>
      <c r="O8" s="882"/>
      <c r="P8" s="882"/>
      <c r="Q8" s="882"/>
      <c r="R8" s="882"/>
      <c r="S8" s="882"/>
      <c r="T8" s="882"/>
      <c r="U8" s="882"/>
      <c r="V8" s="882"/>
      <c r="W8" s="882"/>
      <c r="X8" s="882"/>
      <c r="Y8" s="882"/>
    </row>
    <row r="9" spans="1:25" ht="20.25" x14ac:dyDescent="0.25">
      <c r="A9" s="98"/>
      <c r="B9" s="867" t="s">
        <v>146</v>
      </c>
      <c r="C9" s="867"/>
      <c r="D9" s="867"/>
      <c r="E9" s="867"/>
      <c r="F9" s="867"/>
      <c r="G9" s="867"/>
      <c r="H9" s="867"/>
      <c r="I9" s="867"/>
      <c r="J9" s="867"/>
      <c r="K9" s="867"/>
      <c r="L9" s="867"/>
      <c r="M9" s="867"/>
      <c r="N9" s="867"/>
      <c r="O9" s="867"/>
      <c r="P9" s="867"/>
      <c r="Q9" s="867"/>
      <c r="R9" s="867"/>
      <c r="S9" s="867"/>
      <c r="T9" s="867"/>
      <c r="U9" s="867"/>
      <c r="V9" s="867"/>
      <c r="W9" s="867"/>
      <c r="X9" s="867"/>
      <c r="Y9" s="867"/>
    </row>
    <row r="10" spans="1:25" ht="20.25" x14ac:dyDescent="0.25">
      <c r="A10" s="98"/>
      <c r="B10" s="879" t="s">
        <v>41</v>
      </c>
      <c r="C10" s="879"/>
      <c r="D10" s="879"/>
      <c r="E10" s="879"/>
      <c r="F10" s="879"/>
      <c r="G10" s="879"/>
      <c r="H10" s="879"/>
      <c r="I10" s="879"/>
      <c r="J10" s="879"/>
      <c r="K10" s="879"/>
      <c r="L10" s="879"/>
      <c r="M10" s="879"/>
      <c r="N10" s="879"/>
      <c r="O10" s="879"/>
      <c r="P10" s="879"/>
      <c r="Q10" s="879"/>
      <c r="R10" s="879"/>
      <c r="S10" s="879"/>
      <c r="T10" s="879"/>
      <c r="U10" s="879"/>
      <c r="V10" s="879"/>
      <c r="W10" s="879"/>
      <c r="X10" s="879"/>
      <c r="Y10" s="879"/>
    </row>
    <row r="11" spans="1:25" ht="20.25" x14ac:dyDescent="0.25">
      <c r="A11" s="98"/>
      <c r="B11" s="879" t="s">
        <v>138</v>
      </c>
      <c r="C11" s="879"/>
      <c r="D11" s="879"/>
      <c r="E11" s="879"/>
      <c r="F11" s="879"/>
      <c r="G11" s="879"/>
      <c r="H11" s="879"/>
      <c r="I11" s="879"/>
      <c r="J11" s="879"/>
      <c r="K11" s="879"/>
      <c r="L11" s="879"/>
      <c r="M11" s="879"/>
      <c r="N11" s="879"/>
      <c r="O11" s="879"/>
      <c r="P11" s="879"/>
      <c r="Q11" s="879"/>
      <c r="R11" s="879"/>
      <c r="S11" s="879"/>
      <c r="T11" s="879"/>
      <c r="U11" s="879"/>
      <c r="V11" s="879"/>
      <c r="W11" s="879"/>
      <c r="X11" s="879"/>
      <c r="Y11" s="879"/>
    </row>
    <row r="12" spans="1:25" ht="15.75" x14ac:dyDescent="0.25">
      <c r="A12" s="98"/>
      <c r="B12" s="9"/>
      <c r="C12" s="6"/>
      <c r="D12" s="866" t="s">
        <v>106</v>
      </c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</row>
    <row r="13" spans="1:25" s="8" customFormat="1" ht="24.95" customHeight="1" x14ac:dyDescent="0.25">
      <c r="A13" s="98"/>
      <c r="B13" s="865" t="s">
        <v>88</v>
      </c>
      <c r="C13" s="865"/>
      <c r="D13" s="867"/>
      <c r="E13" s="178"/>
      <c r="F13" s="169"/>
      <c r="G13" s="169"/>
      <c r="H13" s="169"/>
      <c r="I13" s="169"/>
      <c r="J13" s="169"/>
      <c r="K13" s="169"/>
      <c r="L13" s="169"/>
      <c r="M13" s="169"/>
      <c r="N13" s="169"/>
      <c r="O13" s="169"/>
      <c r="P13" s="169"/>
      <c r="Q13" s="9"/>
      <c r="R13" s="9"/>
      <c r="S13" s="9"/>
      <c r="T13" s="9"/>
      <c r="U13" s="169" t="s">
        <v>103</v>
      </c>
      <c r="V13" s="169"/>
      <c r="W13" s="832" t="str">
        <f>SUMMARY!B16</f>
        <v>2026-01-022</v>
      </c>
      <c r="X13" s="832"/>
      <c r="Y13" s="832"/>
    </row>
    <row r="14" spans="1:25" s="8" customFormat="1" ht="24.95" customHeight="1" x14ac:dyDescent="0.25">
      <c r="A14" s="98"/>
      <c r="B14" s="9"/>
      <c r="C14" s="9"/>
      <c r="D14" s="867"/>
      <c r="E14" s="6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169"/>
      <c r="V14" s="169"/>
      <c r="W14" s="9"/>
      <c r="X14" s="9"/>
      <c r="Y14" s="9"/>
    </row>
    <row r="15" spans="1:25" s="8" customFormat="1" ht="15.75" customHeight="1" x14ac:dyDescent="0.25">
      <c r="A15" s="98"/>
      <c r="B15" s="872" t="s">
        <v>0</v>
      </c>
      <c r="C15" s="872"/>
      <c r="D15" s="872"/>
      <c r="E15" s="872"/>
      <c r="F15" s="872"/>
      <c r="G15" s="872"/>
      <c r="H15" s="872"/>
      <c r="I15" s="872"/>
      <c r="J15" s="872"/>
      <c r="K15" s="872"/>
      <c r="L15" s="872"/>
      <c r="M15" s="872"/>
      <c r="N15" s="872"/>
      <c r="O15" s="872"/>
      <c r="P15" s="872"/>
      <c r="Q15" s="872"/>
      <c r="R15" s="872"/>
      <c r="S15" s="872"/>
      <c r="T15" s="872"/>
      <c r="U15" s="872"/>
      <c r="V15" s="872"/>
      <c r="W15" s="872"/>
      <c r="X15" s="872"/>
      <c r="Y15" s="872"/>
    </row>
    <row r="16" spans="1:25" ht="9" customHeight="1" thickBot="1" x14ac:dyDescent="0.3">
      <c r="A16" s="98"/>
      <c r="B16" s="9"/>
      <c r="C16" s="10"/>
      <c r="D16" s="10"/>
      <c r="E16" s="54"/>
      <c r="F16" s="10"/>
      <c r="G16" s="10"/>
      <c r="H16" s="10"/>
      <c r="I16" s="10"/>
      <c r="J16" s="9"/>
      <c r="K16" s="9"/>
      <c r="L16" s="9"/>
      <c r="M16" s="9"/>
      <c r="N16" s="9"/>
      <c r="O16" s="9"/>
      <c r="P16" s="9"/>
      <c r="Q16" s="10"/>
      <c r="R16" s="10"/>
      <c r="S16" s="10"/>
      <c r="T16" s="10"/>
      <c r="U16" s="54"/>
      <c r="V16" s="10"/>
      <c r="W16" s="10"/>
      <c r="X16" s="10"/>
      <c r="Y16" s="10"/>
    </row>
    <row r="17" spans="1:26" ht="16.5" customHeight="1" thickBot="1" x14ac:dyDescent="0.3">
      <c r="A17" s="98"/>
      <c r="B17" s="802" t="s">
        <v>6</v>
      </c>
      <c r="C17" s="777" t="s">
        <v>1</v>
      </c>
      <c r="D17" s="777" t="s">
        <v>2</v>
      </c>
      <c r="E17" s="802" t="s">
        <v>14</v>
      </c>
      <c r="F17" s="841" t="s">
        <v>4</v>
      </c>
      <c r="G17" s="833"/>
      <c r="H17" s="833"/>
      <c r="I17" s="833"/>
      <c r="J17" s="833"/>
      <c r="K17" s="834"/>
      <c r="L17" s="833" t="s">
        <v>3</v>
      </c>
      <c r="M17" s="833"/>
      <c r="N17" s="833"/>
      <c r="O17" s="833"/>
      <c r="P17" s="833"/>
      <c r="Q17" s="834"/>
      <c r="R17" s="802" t="s">
        <v>16</v>
      </c>
      <c r="S17" s="856" t="s">
        <v>51</v>
      </c>
      <c r="T17" s="861" t="s">
        <v>52</v>
      </c>
      <c r="U17" s="777" t="s">
        <v>59</v>
      </c>
      <c r="V17" s="841" t="s">
        <v>60</v>
      </c>
      <c r="W17" s="833"/>
      <c r="X17" s="833"/>
      <c r="Y17" s="834"/>
      <c r="Z17" s="11"/>
    </row>
    <row r="18" spans="1:26" ht="19.5" customHeight="1" x14ac:dyDescent="0.25">
      <c r="A18" s="98"/>
      <c r="B18" s="803"/>
      <c r="C18" s="778"/>
      <c r="D18" s="778"/>
      <c r="E18" s="803"/>
      <c r="F18" s="844" t="s">
        <v>48</v>
      </c>
      <c r="G18" s="887" t="s">
        <v>50</v>
      </c>
      <c r="H18" s="892" t="s">
        <v>49</v>
      </c>
      <c r="I18" s="859" t="s">
        <v>5</v>
      </c>
      <c r="J18" s="859" t="s">
        <v>53</v>
      </c>
      <c r="K18" s="848" t="s">
        <v>137</v>
      </c>
      <c r="L18" s="873" t="s">
        <v>54</v>
      </c>
      <c r="M18" s="859" t="s">
        <v>55</v>
      </c>
      <c r="N18" s="859" t="s">
        <v>56</v>
      </c>
      <c r="O18" s="890" t="s">
        <v>57</v>
      </c>
      <c r="P18" s="859" t="s">
        <v>58</v>
      </c>
      <c r="Q18" s="846" t="s">
        <v>17</v>
      </c>
      <c r="R18" s="803"/>
      <c r="S18" s="857"/>
      <c r="T18" s="862"/>
      <c r="U18" s="778"/>
      <c r="V18" s="850" t="s">
        <v>61</v>
      </c>
      <c r="W18" s="852" t="s">
        <v>62</v>
      </c>
      <c r="X18" s="883" t="s">
        <v>57</v>
      </c>
      <c r="Y18" s="885" t="s">
        <v>63</v>
      </c>
      <c r="Z18" s="11"/>
    </row>
    <row r="19" spans="1:26" ht="26.25" customHeight="1" thickBot="1" x14ac:dyDescent="0.3">
      <c r="A19" s="98"/>
      <c r="B19" s="803"/>
      <c r="C19" s="778"/>
      <c r="D19" s="778"/>
      <c r="E19" s="803"/>
      <c r="F19" s="845"/>
      <c r="G19" s="888"/>
      <c r="H19" s="893"/>
      <c r="I19" s="860"/>
      <c r="J19" s="860"/>
      <c r="K19" s="849"/>
      <c r="L19" s="874"/>
      <c r="M19" s="860"/>
      <c r="N19" s="860"/>
      <c r="O19" s="891"/>
      <c r="P19" s="860"/>
      <c r="Q19" s="847"/>
      <c r="R19" s="804"/>
      <c r="S19" s="858"/>
      <c r="T19" s="863"/>
      <c r="U19" s="778"/>
      <c r="V19" s="851"/>
      <c r="W19" s="853"/>
      <c r="X19" s="884"/>
      <c r="Y19" s="886"/>
      <c r="Z19" s="11"/>
    </row>
    <row r="20" spans="1:26" ht="18.75" customHeight="1" x14ac:dyDescent="0.25">
      <c r="A20" s="98"/>
      <c r="B20" s="12"/>
      <c r="C20" s="12"/>
      <c r="D20" s="12"/>
      <c r="E20" s="55"/>
      <c r="F20" s="84"/>
      <c r="G20" s="85"/>
      <c r="H20" s="85"/>
      <c r="I20" s="13"/>
      <c r="J20" s="13"/>
      <c r="K20" s="210"/>
      <c r="L20" s="39"/>
      <c r="M20" s="13"/>
      <c r="N20" s="13"/>
      <c r="O20" s="13"/>
      <c r="P20" s="13"/>
      <c r="Q20" s="14"/>
      <c r="R20" s="12"/>
      <c r="S20" s="48"/>
      <c r="T20" s="43"/>
      <c r="U20" s="55"/>
      <c r="V20" s="46"/>
      <c r="W20" s="47"/>
      <c r="X20" s="47"/>
      <c r="Y20" s="43"/>
    </row>
    <row r="21" spans="1:26" ht="18.75" customHeight="1" x14ac:dyDescent="0.25">
      <c r="A21" s="98"/>
      <c r="B21" s="33">
        <v>1</v>
      </c>
      <c r="C21" s="72"/>
      <c r="D21" s="72" t="e">
        <f>VLOOKUP(C21,'WTAX-PE'!C:O,2,0)</f>
        <v>#N/A</v>
      </c>
      <c r="E21" s="306">
        <f>VLOOKUP(B21,'WTAX-PE'!B:N,4,0)</f>
        <v>0</v>
      </c>
      <c r="F21" s="86"/>
      <c r="G21" s="88"/>
      <c r="H21" s="88"/>
      <c r="I21" s="37">
        <f>SUM(F21:H21)</f>
        <v>0</v>
      </c>
      <c r="J21" s="332">
        <f>'WTAX-PE'!N8</f>
        <v>0</v>
      </c>
      <c r="K21" s="211">
        <f>ROUND(I21-J21,2)</f>
        <v>0</v>
      </c>
      <c r="L21" s="40">
        <f>'WTAX-PE'!F8</f>
        <v>0</v>
      </c>
      <c r="M21" s="37">
        <f>'PE - DEDS'!R20</f>
        <v>0</v>
      </c>
      <c r="N21" s="37">
        <f>'PE - DEDS'!X20</f>
        <v>0</v>
      </c>
      <c r="O21" s="37">
        <f>'PE - DEDS'!Y20</f>
        <v>0</v>
      </c>
      <c r="P21" s="37">
        <f>'PE - DEDS'!AE20</f>
        <v>0</v>
      </c>
      <c r="Q21" s="38">
        <f>ROUND(SUM(L21:P21),2)</f>
        <v>0</v>
      </c>
      <c r="R21" s="49">
        <f>K21-Q21</f>
        <v>0</v>
      </c>
      <c r="S21" s="76">
        <f>ROUND(R21/2,0)</f>
        <v>0</v>
      </c>
      <c r="T21" s="77">
        <f>R21-S21</f>
        <v>0</v>
      </c>
      <c r="U21" s="33">
        <f>B21</f>
        <v>1</v>
      </c>
      <c r="V21" s="36">
        <f>ROUND('PE - PAY'!I21*0.12,2)</f>
        <v>0</v>
      </c>
      <c r="W21" s="37">
        <v>100</v>
      </c>
      <c r="X21" s="37">
        <f>MIN((I21*0.05)-'PE - DEDS'!Y20,2500)</f>
        <v>0</v>
      </c>
      <c r="Y21" s="41">
        <v>200</v>
      </c>
    </row>
    <row r="22" spans="1:26" ht="18.75" customHeight="1" x14ac:dyDescent="0.25">
      <c r="A22" s="98"/>
      <c r="B22" s="33">
        <f>+B21+1</f>
        <v>2</v>
      </c>
      <c r="C22" s="72"/>
      <c r="D22" s="72" t="e">
        <f>VLOOKUP(C22,'WTAX-PE'!C:O,2,0)</f>
        <v>#N/A</v>
      </c>
      <c r="E22" s="306">
        <f>VLOOKUP(B22,'WTAX-PE'!B:N,4,0)</f>
        <v>0</v>
      </c>
      <c r="F22" s="86"/>
      <c r="G22" s="88"/>
      <c r="H22" s="88"/>
      <c r="I22" s="37">
        <f>SUM(F22:H22)</f>
        <v>0</v>
      </c>
      <c r="J22" s="332">
        <f>'WTAX-PE'!N9</f>
        <v>0</v>
      </c>
      <c r="K22" s="211">
        <f>ROUND(I22-J22,2)</f>
        <v>0</v>
      </c>
      <c r="L22" s="40">
        <f>'WTAX-PE'!F9</f>
        <v>0</v>
      </c>
      <c r="M22" s="37">
        <f>'PE - DEDS'!R21</f>
        <v>0</v>
      </c>
      <c r="N22" s="37">
        <f>'PE - DEDS'!X21</f>
        <v>0</v>
      </c>
      <c r="O22" s="37">
        <f>'PE - DEDS'!Y21</f>
        <v>0</v>
      </c>
      <c r="P22" s="37">
        <f>'PE - DEDS'!AE21</f>
        <v>0</v>
      </c>
      <c r="Q22" s="38">
        <f>ROUND(SUM(L22:P22),2)</f>
        <v>0</v>
      </c>
      <c r="R22" s="49">
        <f>K22-Q22</f>
        <v>0</v>
      </c>
      <c r="S22" s="76">
        <f>ROUND(R22/2,0)</f>
        <v>0</v>
      </c>
      <c r="T22" s="77">
        <f>R22-S22</f>
        <v>0</v>
      </c>
      <c r="U22" s="33">
        <f>B22</f>
        <v>2</v>
      </c>
      <c r="V22" s="36">
        <f>ROUND('PE - PAY'!I22*0.12,2)</f>
        <v>0</v>
      </c>
      <c r="W22" s="37">
        <f>W21</f>
        <v>100</v>
      </c>
      <c r="X22" s="37">
        <f>MIN((I22*0.05)-'PE - DEDS'!Y21,2500)</f>
        <v>0</v>
      </c>
      <c r="Y22" s="41">
        <f>Y21</f>
        <v>200</v>
      </c>
    </row>
    <row r="23" spans="1:26" ht="18.75" customHeight="1" x14ac:dyDescent="0.25">
      <c r="A23" s="98"/>
      <c r="B23" s="33">
        <f t="shared" ref="B23:B32" si="0">+B12+1</f>
        <v>1</v>
      </c>
      <c r="C23" s="72"/>
      <c r="D23" s="72" t="e">
        <f>VLOOKUP(C23,'WTAX-PE'!C:O,2,0)</f>
        <v>#N/A</v>
      </c>
      <c r="E23" s="306">
        <f>VLOOKUP(B23,'WTAX-PE'!B:N,4,0)</f>
        <v>0</v>
      </c>
      <c r="F23" s="86"/>
      <c r="G23" s="88"/>
      <c r="H23" s="88"/>
      <c r="I23" s="37">
        <f t="shared" ref="I23:I32" si="1">SUM(F23:H23)</f>
        <v>0</v>
      </c>
      <c r="J23" s="332">
        <f>'WTAX-PE'!N10</f>
        <v>0</v>
      </c>
      <c r="K23" s="211">
        <f t="shared" ref="K23:K32" si="2">ROUND(I23-J23,2)</f>
        <v>0</v>
      </c>
      <c r="L23" s="40">
        <f>'WTAX-PE'!F10</f>
        <v>0</v>
      </c>
      <c r="M23" s="37">
        <f>'PE - DEDS'!R12</f>
        <v>0</v>
      </c>
      <c r="N23" s="37">
        <f>'PE - DEDS'!X12</f>
        <v>0</v>
      </c>
      <c r="O23" s="37">
        <f>'PE - DEDS'!Y12</f>
        <v>0</v>
      </c>
      <c r="P23" s="37">
        <f>'PE - DEDS'!AE12</f>
        <v>0</v>
      </c>
      <c r="Q23" s="38">
        <f t="shared" ref="Q23:Q32" si="3">ROUND(SUM(L23:P23),2)</f>
        <v>0</v>
      </c>
      <c r="R23" s="49">
        <f t="shared" ref="R23:R32" si="4">K23-Q23</f>
        <v>0</v>
      </c>
      <c r="S23" s="76">
        <f t="shared" ref="S23:S32" si="5">ROUND(R23/2,0)</f>
        <v>0</v>
      </c>
      <c r="T23" s="77">
        <f t="shared" ref="T23:T32" si="6">R23-S23</f>
        <v>0</v>
      </c>
      <c r="U23" s="33">
        <f t="shared" ref="U23:U32" si="7">B23</f>
        <v>1</v>
      </c>
      <c r="V23" s="36">
        <f>ROUND('PE - PAY'!I23*0.12,2)</f>
        <v>0</v>
      </c>
      <c r="W23" s="37">
        <f t="shared" ref="W23:W32" si="8">W12</f>
        <v>0</v>
      </c>
      <c r="X23" s="37">
        <f>MIN((I23*0.05)-'PE - DEDS'!Y12,2500)</f>
        <v>0</v>
      </c>
      <c r="Y23" s="41">
        <f t="shared" ref="Y23:Y32" si="9">Y12</f>
        <v>0</v>
      </c>
    </row>
    <row r="24" spans="1:26" ht="18.75" customHeight="1" x14ac:dyDescent="0.25">
      <c r="A24" s="98"/>
      <c r="B24" s="33" t="e">
        <f t="shared" si="0"/>
        <v>#VALUE!</v>
      </c>
      <c r="C24" s="72"/>
      <c r="D24" s="72" t="e">
        <f>VLOOKUP(C24,'WTAX-PE'!C:O,2,0)</f>
        <v>#N/A</v>
      </c>
      <c r="E24" s="306" t="e">
        <f>VLOOKUP(B24,'WTAX-PE'!B:N,4,0)</f>
        <v>#VALUE!</v>
      </c>
      <c r="F24" s="86"/>
      <c r="G24" s="88"/>
      <c r="H24" s="88"/>
      <c r="I24" s="37">
        <f t="shared" si="1"/>
        <v>0</v>
      </c>
      <c r="J24" s="332">
        <f>'WTAX-PE'!N11</f>
        <v>0</v>
      </c>
      <c r="K24" s="211">
        <f t="shared" si="2"/>
        <v>0</v>
      </c>
      <c r="L24" s="40">
        <f>'WTAX-PE'!F11</f>
        <v>0</v>
      </c>
      <c r="M24" s="37">
        <f>'PE - DEDS'!R13</f>
        <v>0</v>
      </c>
      <c r="N24" s="37">
        <f>'PE - DEDS'!X13</f>
        <v>0</v>
      </c>
      <c r="O24" s="37">
        <f>'PE - DEDS'!Y13</f>
        <v>0</v>
      </c>
      <c r="P24" s="37">
        <f>'PE - DEDS'!AE13</f>
        <v>0</v>
      </c>
      <c r="Q24" s="38">
        <f t="shared" si="3"/>
        <v>0</v>
      </c>
      <c r="R24" s="49">
        <f t="shared" si="4"/>
        <v>0</v>
      </c>
      <c r="S24" s="76">
        <f t="shared" si="5"/>
        <v>0</v>
      </c>
      <c r="T24" s="77">
        <f t="shared" si="6"/>
        <v>0</v>
      </c>
      <c r="U24" s="33" t="e">
        <f t="shared" si="7"/>
        <v>#VALUE!</v>
      </c>
      <c r="V24" s="36">
        <f>ROUND('PE - PAY'!I24*0.12,2)</f>
        <v>0</v>
      </c>
      <c r="W24" s="37" t="str">
        <f t="shared" si="8"/>
        <v>2026-01-022</v>
      </c>
      <c r="X24" s="37">
        <f>MIN((I24*0.05)-'PE - DEDS'!Y13,2500)</f>
        <v>0</v>
      </c>
      <c r="Y24" s="41">
        <f t="shared" si="9"/>
        <v>0</v>
      </c>
    </row>
    <row r="25" spans="1:26" ht="18.75" customHeight="1" x14ac:dyDescent="0.25">
      <c r="A25" s="98"/>
      <c r="B25" s="33">
        <f t="shared" si="0"/>
        <v>1</v>
      </c>
      <c r="C25" s="72"/>
      <c r="D25" s="72" t="e">
        <f>VLOOKUP(C25,'WTAX-PE'!C:O,2,0)</f>
        <v>#N/A</v>
      </c>
      <c r="E25" s="306">
        <f>VLOOKUP(B25,'WTAX-PE'!B:N,4,0)</f>
        <v>0</v>
      </c>
      <c r="F25" s="86"/>
      <c r="G25" s="88"/>
      <c r="H25" s="88"/>
      <c r="I25" s="37">
        <f t="shared" si="1"/>
        <v>0</v>
      </c>
      <c r="J25" s="332">
        <f>'WTAX-PE'!N12</f>
        <v>0</v>
      </c>
      <c r="K25" s="211">
        <f t="shared" si="2"/>
        <v>0</v>
      </c>
      <c r="L25" s="40">
        <f>'WTAX-PE'!F12</f>
        <v>0</v>
      </c>
      <c r="M25" s="37">
        <f>'PE - DEDS'!R14</f>
        <v>0</v>
      </c>
      <c r="N25" s="37">
        <f>'PE - DEDS'!X14</f>
        <v>0</v>
      </c>
      <c r="O25" s="37">
        <f>'PE - DEDS'!Y14</f>
        <v>0</v>
      </c>
      <c r="P25" s="37">
        <f>'PE - DEDS'!AE14</f>
        <v>0</v>
      </c>
      <c r="Q25" s="38">
        <f t="shared" si="3"/>
        <v>0</v>
      </c>
      <c r="R25" s="49">
        <f t="shared" si="4"/>
        <v>0</v>
      </c>
      <c r="S25" s="76">
        <f t="shared" si="5"/>
        <v>0</v>
      </c>
      <c r="T25" s="77">
        <f t="shared" si="6"/>
        <v>0</v>
      </c>
      <c r="U25" s="33">
        <f t="shared" si="7"/>
        <v>1</v>
      </c>
      <c r="V25" s="36">
        <f>ROUND('PE - PAY'!I25*0.12,2)</f>
        <v>0</v>
      </c>
      <c r="W25" s="37">
        <f t="shared" si="8"/>
        <v>0</v>
      </c>
      <c r="X25" s="37">
        <f>MIN((I25*0.05)-'PE - DEDS'!Y14,2500)</f>
        <v>0</v>
      </c>
      <c r="Y25" s="41">
        <f t="shared" si="9"/>
        <v>0</v>
      </c>
    </row>
    <row r="26" spans="1:26" ht="18.75" customHeight="1" x14ac:dyDescent="0.25">
      <c r="A26" s="98"/>
      <c r="B26" s="33" t="e">
        <f t="shared" si="0"/>
        <v>#VALUE!</v>
      </c>
      <c r="C26" s="72"/>
      <c r="D26" s="72" t="e">
        <f>VLOOKUP(C26,'WTAX-PE'!C:O,2,0)</f>
        <v>#N/A</v>
      </c>
      <c r="E26" s="306" t="e">
        <f>VLOOKUP(B26,'WTAX-PE'!B:N,4,0)</f>
        <v>#VALUE!</v>
      </c>
      <c r="F26" s="86"/>
      <c r="G26" s="88"/>
      <c r="H26" s="88"/>
      <c r="I26" s="37">
        <f t="shared" si="1"/>
        <v>0</v>
      </c>
      <c r="J26" s="332">
        <f>'WTAX-PE'!N13</f>
        <v>0</v>
      </c>
      <c r="K26" s="211">
        <f t="shared" si="2"/>
        <v>0</v>
      </c>
      <c r="L26" s="40">
        <f>'WTAX-PE'!F13</f>
        <v>0</v>
      </c>
      <c r="M26" s="37">
        <f>'PE - DEDS'!R15</f>
        <v>0</v>
      </c>
      <c r="N26" s="37">
        <f>'PE - DEDS'!X15</f>
        <v>0</v>
      </c>
      <c r="O26" s="37">
        <f>'PE - DEDS'!Y15</f>
        <v>0</v>
      </c>
      <c r="P26" s="37">
        <f>'PE - DEDS'!AE15</f>
        <v>0</v>
      </c>
      <c r="Q26" s="38">
        <f t="shared" si="3"/>
        <v>0</v>
      </c>
      <c r="R26" s="49">
        <f t="shared" si="4"/>
        <v>0</v>
      </c>
      <c r="S26" s="76">
        <f t="shared" si="5"/>
        <v>0</v>
      </c>
      <c r="T26" s="77">
        <f t="shared" si="6"/>
        <v>0</v>
      </c>
      <c r="U26" s="33" t="e">
        <f t="shared" si="7"/>
        <v>#VALUE!</v>
      </c>
      <c r="V26" s="36">
        <f>ROUND('PE - PAY'!I26*0.12,2)</f>
        <v>0</v>
      </c>
      <c r="W26" s="37">
        <f t="shared" si="8"/>
        <v>0</v>
      </c>
      <c r="X26" s="37">
        <f>MIN((I26*0.05)-'PE - DEDS'!Y15,2500)</f>
        <v>0</v>
      </c>
      <c r="Y26" s="41">
        <f t="shared" si="9"/>
        <v>0</v>
      </c>
    </row>
    <row r="27" spans="1:26" ht="18.75" customHeight="1" x14ac:dyDescent="0.25">
      <c r="A27" s="98"/>
      <c r="B27" s="33">
        <f t="shared" si="0"/>
        <v>1</v>
      </c>
      <c r="C27" s="72"/>
      <c r="D27" s="72" t="e">
        <f>VLOOKUP(C27,'WTAX-PE'!C:O,2,0)</f>
        <v>#N/A</v>
      </c>
      <c r="E27" s="306">
        <f>VLOOKUP(B27,'WTAX-PE'!B:N,4,0)</f>
        <v>0</v>
      </c>
      <c r="F27" s="86"/>
      <c r="G27" s="88"/>
      <c r="H27" s="88"/>
      <c r="I27" s="37">
        <f t="shared" si="1"/>
        <v>0</v>
      </c>
      <c r="J27" s="332">
        <f>'WTAX-PE'!N14</f>
        <v>0</v>
      </c>
      <c r="K27" s="211">
        <f t="shared" si="2"/>
        <v>0</v>
      </c>
      <c r="L27" s="40">
        <f>'WTAX-PE'!F14</f>
        <v>0</v>
      </c>
      <c r="M27" s="37">
        <f>'PE - DEDS'!R16</f>
        <v>0</v>
      </c>
      <c r="N27" s="37">
        <f>'PE - DEDS'!X16</f>
        <v>0</v>
      </c>
      <c r="O27" s="37" t="str">
        <f>'PE - DEDS'!Y16</f>
        <v>PHILHEALTH</v>
      </c>
      <c r="P27" s="37">
        <f>'PE - DEDS'!AE16</f>
        <v>0</v>
      </c>
      <c r="Q27" s="38">
        <f t="shared" si="3"/>
        <v>0</v>
      </c>
      <c r="R27" s="49">
        <f t="shared" si="4"/>
        <v>0</v>
      </c>
      <c r="S27" s="76">
        <f t="shared" si="5"/>
        <v>0</v>
      </c>
      <c r="T27" s="77">
        <f t="shared" si="6"/>
        <v>0</v>
      </c>
      <c r="U27" s="33">
        <f t="shared" si="7"/>
        <v>1</v>
      </c>
      <c r="V27" s="36">
        <f>ROUND('PE - PAY'!I27*0.12,2)</f>
        <v>0</v>
      </c>
      <c r="W27" s="37">
        <f t="shared" si="8"/>
        <v>0</v>
      </c>
      <c r="X27" s="37" t="e">
        <f>MIN((I27*0.05)-'PE - DEDS'!Y16,2500)</f>
        <v>#VALUE!</v>
      </c>
      <c r="Y27" s="41">
        <f t="shared" si="9"/>
        <v>0</v>
      </c>
    </row>
    <row r="28" spans="1:26" ht="18.75" customHeight="1" x14ac:dyDescent="0.25">
      <c r="A28" s="98"/>
      <c r="B28" s="33" t="e">
        <f t="shared" si="0"/>
        <v>#VALUE!</v>
      </c>
      <c r="C28" s="72"/>
      <c r="D28" s="72" t="e">
        <f>VLOOKUP(C28,'WTAX-PE'!C:O,2,0)</f>
        <v>#N/A</v>
      </c>
      <c r="E28" s="306" t="e">
        <f>VLOOKUP(B28,'WTAX-PE'!B:N,4,0)</f>
        <v>#VALUE!</v>
      </c>
      <c r="F28" s="86"/>
      <c r="G28" s="88"/>
      <c r="H28" s="88"/>
      <c r="I28" s="37">
        <f t="shared" si="1"/>
        <v>0</v>
      </c>
      <c r="J28" s="332" t="e">
        <f>'WTAX-PE'!N15</f>
        <v>#VALUE!</v>
      </c>
      <c r="K28" s="211" t="e">
        <f t="shared" si="2"/>
        <v>#VALUE!</v>
      </c>
      <c r="L28" s="40">
        <f>'WTAX-PE'!F15</f>
        <v>0</v>
      </c>
      <c r="M28" s="37" t="str">
        <f>'PE - DEDS'!R17</f>
        <v>TOTAL GSIS DEDS.</v>
      </c>
      <c r="N28" s="37" t="str">
        <f>'PE - DEDS'!X17</f>
        <v>TOTAL PAG-IBIG DEDS.</v>
      </c>
      <c r="O28" s="37">
        <f>'PE - DEDS'!Y17</f>
        <v>0</v>
      </c>
      <c r="P28" s="37" t="str">
        <f>'PE - DEDS'!AE17</f>
        <v>TOTAL OTHER DEDS.</v>
      </c>
      <c r="Q28" s="38">
        <f t="shared" si="3"/>
        <v>0</v>
      </c>
      <c r="R28" s="49" t="e">
        <f t="shared" si="4"/>
        <v>#VALUE!</v>
      </c>
      <c r="S28" s="76" t="e">
        <f t="shared" si="5"/>
        <v>#VALUE!</v>
      </c>
      <c r="T28" s="77" t="e">
        <f t="shared" si="6"/>
        <v>#VALUE!</v>
      </c>
      <c r="U28" s="33" t="e">
        <f t="shared" si="7"/>
        <v>#VALUE!</v>
      </c>
      <c r="V28" s="36">
        <f>ROUND('PE - PAY'!I28*0.12,2)</f>
        <v>0</v>
      </c>
      <c r="W28" s="37">
        <f t="shared" si="8"/>
        <v>0</v>
      </c>
      <c r="X28" s="37">
        <f>MIN((I28*0.05)-'PE - DEDS'!Y17,2500)</f>
        <v>0</v>
      </c>
      <c r="Y28" s="41">
        <f t="shared" si="9"/>
        <v>0</v>
      </c>
    </row>
    <row r="29" spans="1:26" ht="18.75" customHeight="1" x14ac:dyDescent="0.25">
      <c r="A29" s="98"/>
      <c r="B29" s="33">
        <f t="shared" si="0"/>
        <v>1</v>
      </c>
      <c r="C29" s="72"/>
      <c r="D29" s="72" t="e">
        <f>VLOOKUP(C29,'WTAX-PE'!C:O,2,0)</f>
        <v>#N/A</v>
      </c>
      <c r="E29" s="306">
        <f>VLOOKUP(B29,'WTAX-PE'!B:N,4,0)</f>
        <v>0</v>
      </c>
      <c r="F29" s="86"/>
      <c r="G29" s="88"/>
      <c r="H29" s="88"/>
      <c r="I29" s="37">
        <f t="shared" si="1"/>
        <v>0</v>
      </c>
      <c r="J29" s="332">
        <f>'WTAX-PE'!N16</f>
        <v>0</v>
      </c>
      <c r="K29" s="211">
        <f t="shared" si="2"/>
        <v>0</v>
      </c>
      <c r="L29" s="40">
        <f>'WTAX-PE'!F16</f>
        <v>0</v>
      </c>
      <c r="M29" s="37">
        <f>'PE - DEDS'!R18</f>
        <v>0</v>
      </c>
      <c r="N29" s="37">
        <f>'PE - DEDS'!X18</f>
        <v>0</v>
      </c>
      <c r="O29" s="37">
        <f>'PE - DEDS'!Y18</f>
        <v>0</v>
      </c>
      <c r="P29" s="37">
        <f>'PE - DEDS'!AE18</f>
        <v>0</v>
      </c>
      <c r="Q29" s="38">
        <f t="shared" si="3"/>
        <v>0</v>
      </c>
      <c r="R29" s="49">
        <f t="shared" si="4"/>
        <v>0</v>
      </c>
      <c r="S29" s="76">
        <f t="shared" si="5"/>
        <v>0</v>
      </c>
      <c r="T29" s="77">
        <f t="shared" si="6"/>
        <v>0</v>
      </c>
      <c r="U29" s="33">
        <f t="shared" si="7"/>
        <v>1</v>
      </c>
      <c r="V29" s="36">
        <f>ROUND('PE - PAY'!I29*0.12,2)</f>
        <v>0</v>
      </c>
      <c r="W29" s="37" t="str">
        <f t="shared" si="8"/>
        <v>EC</v>
      </c>
      <c r="X29" s="37">
        <f>MIN((I29*0.05)-'PE - DEDS'!Y18,2500)</f>
        <v>0</v>
      </c>
      <c r="Y29" s="41" t="str">
        <f t="shared" si="9"/>
        <v>PAG-IBIG</v>
      </c>
    </row>
    <row r="30" spans="1:26" ht="18.75" customHeight="1" x14ac:dyDescent="0.25">
      <c r="A30" s="98"/>
      <c r="B30" s="33">
        <f t="shared" si="0"/>
        <v>1</v>
      </c>
      <c r="C30" s="72"/>
      <c r="D30" s="72" t="e">
        <f>VLOOKUP(C30,'WTAX-PE'!C:O,2,0)</f>
        <v>#N/A</v>
      </c>
      <c r="E30" s="306">
        <f>VLOOKUP(B30,'WTAX-PE'!B:N,4,0)</f>
        <v>0</v>
      </c>
      <c r="F30" s="86"/>
      <c r="G30" s="88"/>
      <c r="H30" s="88"/>
      <c r="I30" s="37">
        <f t="shared" si="1"/>
        <v>0</v>
      </c>
      <c r="J30" s="332">
        <f>'WTAX-PE'!N17</f>
        <v>0</v>
      </c>
      <c r="K30" s="211">
        <f t="shared" si="2"/>
        <v>0</v>
      </c>
      <c r="L30" s="40">
        <f>'WTAX-PE'!F17</f>
        <v>0</v>
      </c>
      <c r="M30" s="37">
        <f>'PE - DEDS'!R19</f>
        <v>0</v>
      </c>
      <c r="N30" s="37">
        <f>'PE - DEDS'!X19</f>
        <v>0</v>
      </c>
      <c r="O30" s="37">
        <f>'PE - DEDS'!Y19</f>
        <v>0</v>
      </c>
      <c r="P30" s="37">
        <f>'PE - DEDS'!AE19</f>
        <v>0</v>
      </c>
      <c r="Q30" s="38">
        <f t="shared" si="3"/>
        <v>0</v>
      </c>
      <c r="R30" s="49">
        <f t="shared" si="4"/>
        <v>0</v>
      </c>
      <c r="S30" s="76">
        <f t="shared" si="5"/>
        <v>0</v>
      </c>
      <c r="T30" s="77">
        <f t="shared" si="6"/>
        <v>0</v>
      </c>
      <c r="U30" s="33">
        <f t="shared" si="7"/>
        <v>1</v>
      </c>
      <c r="V30" s="36">
        <f>ROUND('PE - PAY'!I30*0.12,2)</f>
        <v>0</v>
      </c>
      <c r="W30" s="37">
        <f t="shared" si="8"/>
        <v>0</v>
      </c>
      <c r="X30" s="37">
        <f>MIN((I30*0.05)-'PE - DEDS'!Y19,2500)</f>
        <v>0</v>
      </c>
      <c r="Y30" s="41">
        <f t="shared" si="9"/>
        <v>0</v>
      </c>
    </row>
    <row r="31" spans="1:26" ht="18.75" customHeight="1" x14ac:dyDescent="0.25">
      <c r="A31" s="98"/>
      <c r="B31" s="33">
        <f t="shared" si="0"/>
        <v>1</v>
      </c>
      <c r="C31" s="72"/>
      <c r="D31" s="72" t="e">
        <f>VLOOKUP(C31,'WTAX-PE'!C:O,2,0)</f>
        <v>#N/A</v>
      </c>
      <c r="E31" s="306">
        <f>VLOOKUP(B31,'WTAX-PE'!B:N,4,0)</f>
        <v>0</v>
      </c>
      <c r="F31" s="86"/>
      <c r="G31" s="88"/>
      <c r="H31" s="88"/>
      <c r="I31" s="37">
        <f t="shared" si="1"/>
        <v>0</v>
      </c>
      <c r="J31" s="332">
        <f>'WTAX-PE'!N18</f>
        <v>0</v>
      </c>
      <c r="K31" s="211">
        <f t="shared" si="2"/>
        <v>0</v>
      </c>
      <c r="L31" s="40">
        <f>'WTAX-PE'!F18</f>
        <v>0</v>
      </c>
      <c r="M31" s="37">
        <f>'PE - DEDS'!R20</f>
        <v>0</v>
      </c>
      <c r="N31" s="37">
        <f>'PE - DEDS'!X20</f>
        <v>0</v>
      </c>
      <c r="O31" s="37">
        <f>'PE - DEDS'!Y20</f>
        <v>0</v>
      </c>
      <c r="P31" s="37">
        <f>'PE - DEDS'!AE20</f>
        <v>0</v>
      </c>
      <c r="Q31" s="38">
        <f t="shared" si="3"/>
        <v>0</v>
      </c>
      <c r="R31" s="49">
        <f t="shared" si="4"/>
        <v>0</v>
      </c>
      <c r="S31" s="76">
        <f t="shared" si="5"/>
        <v>0</v>
      </c>
      <c r="T31" s="77">
        <f t="shared" si="6"/>
        <v>0</v>
      </c>
      <c r="U31" s="33">
        <f t="shared" si="7"/>
        <v>1</v>
      </c>
      <c r="V31" s="36">
        <f>ROUND('PE - PAY'!I31*0.12,2)</f>
        <v>0</v>
      </c>
      <c r="W31" s="37">
        <f t="shared" si="8"/>
        <v>0</v>
      </c>
      <c r="X31" s="37">
        <f>MIN((I31*0.05)-'PE - DEDS'!Y20,2500)</f>
        <v>0</v>
      </c>
      <c r="Y31" s="41">
        <f t="shared" si="9"/>
        <v>0</v>
      </c>
    </row>
    <row r="32" spans="1:26" ht="18.75" customHeight="1" x14ac:dyDescent="0.25">
      <c r="A32" s="98"/>
      <c r="B32" s="33">
        <f t="shared" si="0"/>
        <v>2</v>
      </c>
      <c r="C32" s="72"/>
      <c r="D32" s="72" t="e">
        <f>VLOOKUP(C32,'WTAX-PE'!C:O,2,0)</f>
        <v>#N/A</v>
      </c>
      <c r="E32" s="306">
        <f>VLOOKUP(B32,'WTAX-PE'!B:N,4,0)</f>
        <v>0</v>
      </c>
      <c r="F32" s="86"/>
      <c r="G32" s="88"/>
      <c r="H32" s="88"/>
      <c r="I32" s="37">
        <f t="shared" si="1"/>
        <v>0</v>
      </c>
      <c r="J32" s="332">
        <f>'WTAX-PE'!N19</f>
        <v>0</v>
      </c>
      <c r="K32" s="211">
        <f t="shared" si="2"/>
        <v>0</v>
      </c>
      <c r="L32" s="40">
        <f>'WTAX-PE'!F19</f>
        <v>0</v>
      </c>
      <c r="M32" s="37">
        <f>'PE - DEDS'!R21</f>
        <v>0</v>
      </c>
      <c r="N32" s="37">
        <f>'PE - DEDS'!X21</f>
        <v>0</v>
      </c>
      <c r="O32" s="37">
        <f>'PE - DEDS'!Y21</f>
        <v>0</v>
      </c>
      <c r="P32" s="37">
        <f>'PE - DEDS'!AE21</f>
        <v>0</v>
      </c>
      <c r="Q32" s="38">
        <f t="shared" si="3"/>
        <v>0</v>
      </c>
      <c r="R32" s="49">
        <f t="shared" si="4"/>
        <v>0</v>
      </c>
      <c r="S32" s="76">
        <f t="shared" si="5"/>
        <v>0</v>
      </c>
      <c r="T32" s="77">
        <f t="shared" si="6"/>
        <v>0</v>
      </c>
      <c r="U32" s="33">
        <f t="shared" si="7"/>
        <v>2</v>
      </c>
      <c r="V32" s="36">
        <f>ROUND('PE - PAY'!I32*0.12,2)</f>
        <v>0</v>
      </c>
      <c r="W32" s="37">
        <f t="shared" si="8"/>
        <v>100</v>
      </c>
      <c r="X32" s="37">
        <f>MIN((I32*0.05)-'PE - DEDS'!Y21,2500)</f>
        <v>0</v>
      </c>
      <c r="Y32" s="41">
        <f t="shared" si="9"/>
        <v>200</v>
      </c>
    </row>
    <row r="33" spans="1:26" ht="18.75" customHeight="1" x14ac:dyDescent="0.25">
      <c r="A33" s="98"/>
      <c r="B33" s="33">
        <f>+B22+1</f>
        <v>3</v>
      </c>
      <c r="C33" s="72"/>
      <c r="D33" s="72" t="e">
        <f>VLOOKUP(C33,'WTAX-PE'!C:O,2,0)</f>
        <v>#N/A</v>
      </c>
      <c r="E33" s="306">
        <f>VLOOKUP(B33,'WTAX-PE'!B:N,4,0)</f>
        <v>0</v>
      </c>
      <c r="F33" s="86"/>
      <c r="G33" s="88"/>
      <c r="H33" s="88"/>
      <c r="I33" s="37">
        <f>SUM(F33:H33)</f>
        <v>0</v>
      </c>
      <c r="J33" s="332">
        <f>'WTAX-PE'!N20</f>
        <v>0</v>
      </c>
      <c r="K33" s="211">
        <f>ROUND(I33-J33,2)</f>
        <v>0</v>
      </c>
      <c r="L33" s="40">
        <f>'WTAX-PE'!F20</f>
        <v>0</v>
      </c>
      <c r="M33" s="37">
        <f>'PE - DEDS'!R32</f>
        <v>0</v>
      </c>
      <c r="N33" s="37">
        <f>'PE - DEDS'!X32</f>
        <v>0</v>
      </c>
      <c r="O33" s="37">
        <f>'PE - DEDS'!Y32</f>
        <v>0</v>
      </c>
      <c r="P33" s="37">
        <f>'PE - DEDS'!AE32</f>
        <v>0</v>
      </c>
      <c r="Q33" s="38">
        <f>ROUND(SUM(L33:P33),2)</f>
        <v>0</v>
      </c>
      <c r="R33" s="49">
        <f>K33-Q33</f>
        <v>0</v>
      </c>
      <c r="S33" s="76">
        <f>ROUND(R33/2,0)</f>
        <v>0</v>
      </c>
      <c r="T33" s="77">
        <f>R33-S33</f>
        <v>0</v>
      </c>
      <c r="U33" s="33">
        <f>B33</f>
        <v>3</v>
      </c>
      <c r="V33" s="36">
        <f>ROUND('PE - PAY'!I33*0.12,2)</f>
        <v>0</v>
      </c>
      <c r="W33" s="37">
        <f>W22</f>
        <v>100</v>
      </c>
      <c r="X33" s="37">
        <f>MIN((I33*0.05)-'PE - DEDS'!Y32,2500)</f>
        <v>0</v>
      </c>
      <c r="Y33" s="41">
        <f>Y22</f>
        <v>200</v>
      </c>
    </row>
    <row r="34" spans="1:26" ht="18.75" customHeight="1" x14ac:dyDescent="0.25">
      <c r="A34" s="98"/>
      <c r="B34" s="63"/>
      <c r="C34" s="64"/>
      <c r="D34" s="64"/>
      <c r="E34" s="63"/>
      <c r="F34" s="89"/>
      <c r="G34" s="91"/>
      <c r="H34" s="91"/>
      <c r="I34" s="66"/>
      <c r="J34" s="333"/>
      <c r="K34" s="212"/>
      <c r="L34" s="68"/>
      <c r="M34" s="66"/>
      <c r="N34" s="66"/>
      <c r="O34" s="66"/>
      <c r="P34" s="66"/>
      <c r="Q34" s="69"/>
      <c r="R34" s="70"/>
      <c r="S34" s="68"/>
      <c r="T34" s="71"/>
      <c r="U34" s="63"/>
      <c r="V34" s="65"/>
      <c r="W34" s="66"/>
      <c r="X34" s="66"/>
      <c r="Y34" s="71"/>
    </row>
    <row r="35" spans="1:26" ht="18.75" customHeight="1" thickBot="1" x14ac:dyDescent="0.3">
      <c r="A35" s="98"/>
      <c r="B35" s="64"/>
      <c r="C35" s="64"/>
      <c r="D35" s="64"/>
      <c r="E35" s="63"/>
      <c r="F35" s="92">
        <f>SUM(F21:F34)</f>
        <v>0</v>
      </c>
      <c r="G35" s="93"/>
      <c r="H35" s="93">
        <f t="shared" ref="H35:T35" si="10">SUM(H21:H34)</f>
        <v>0</v>
      </c>
      <c r="I35" s="79">
        <f t="shared" si="10"/>
        <v>0</v>
      </c>
      <c r="J35" s="334" t="e">
        <f t="shared" si="10"/>
        <v>#VALUE!</v>
      </c>
      <c r="K35" s="213" t="e">
        <f t="shared" si="10"/>
        <v>#VALUE!</v>
      </c>
      <c r="L35" s="155">
        <f t="shared" si="10"/>
        <v>0</v>
      </c>
      <c r="M35" s="152">
        <f t="shared" si="10"/>
        <v>0</v>
      </c>
      <c r="N35" s="152">
        <f t="shared" si="10"/>
        <v>0</v>
      </c>
      <c r="O35" s="152">
        <f t="shared" si="10"/>
        <v>0</v>
      </c>
      <c r="P35" s="152">
        <f t="shared" si="10"/>
        <v>0</v>
      </c>
      <c r="Q35" s="153">
        <f t="shared" si="10"/>
        <v>0</v>
      </c>
      <c r="R35" s="154" t="e">
        <f t="shared" si="10"/>
        <v>#VALUE!</v>
      </c>
      <c r="S35" s="155" t="e">
        <f t="shared" si="10"/>
        <v>#VALUE!</v>
      </c>
      <c r="T35" s="156" t="e">
        <f t="shared" si="10"/>
        <v>#VALUE!</v>
      </c>
      <c r="U35" s="63"/>
      <c r="V35" s="157">
        <f>SUM(V21:V34)</f>
        <v>0</v>
      </c>
      <c r="W35" s="152">
        <f>SUM(W21:W34)</f>
        <v>400</v>
      </c>
      <c r="X35" s="152" t="e">
        <f>SUM(X21:X34)</f>
        <v>#VALUE!</v>
      </c>
      <c r="Y35" s="156">
        <f>SUM(Y21:Y34)</f>
        <v>800</v>
      </c>
    </row>
    <row r="36" spans="1:26" ht="21" customHeight="1" thickBot="1" x14ac:dyDescent="0.3">
      <c r="A36" s="98"/>
      <c r="B36" s="1" t="s">
        <v>21</v>
      </c>
      <c r="C36" s="854" t="s">
        <v>104</v>
      </c>
      <c r="D36" s="855"/>
      <c r="E36" s="855"/>
      <c r="F36" s="855"/>
      <c r="G36" s="855"/>
      <c r="H36" s="167"/>
      <c r="I36" s="167"/>
      <c r="J36" s="167"/>
      <c r="K36" s="158"/>
      <c r="L36" s="158"/>
      <c r="M36" s="158"/>
      <c r="N36" s="159"/>
      <c r="O36" s="1" t="s">
        <v>23</v>
      </c>
      <c r="P36" s="170" t="s">
        <v>89</v>
      </c>
      <c r="Q36" s="158"/>
      <c r="R36" s="158"/>
      <c r="S36" s="875"/>
      <c r="T36" s="875"/>
      <c r="U36" s="875"/>
      <c r="V36" s="875"/>
      <c r="W36" s="875"/>
      <c r="X36" s="875"/>
      <c r="Y36" s="876"/>
    </row>
    <row r="37" spans="1:26" ht="30.75" customHeight="1" x14ac:dyDescent="0.25">
      <c r="A37" s="98"/>
      <c r="B37" s="17" t="s">
        <v>22</v>
      </c>
      <c r="D37" s="8"/>
      <c r="E37" s="50"/>
      <c r="F37" s="8"/>
      <c r="G37" s="8"/>
      <c r="H37" s="8"/>
      <c r="I37" s="160"/>
      <c r="J37" s="160"/>
      <c r="K37" s="160"/>
      <c r="L37" s="160"/>
      <c r="M37" s="160"/>
      <c r="N37" s="147"/>
      <c r="O37" s="870" t="e" cm="1">
        <f t="array" aca="1" ref="O37" ca="1">PesosInWords2Caps(W37)</f>
        <v>#NAME?</v>
      </c>
      <c r="P37" s="871"/>
      <c r="Q37" s="871"/>
      <c r="R37" s="871"/>
      <c r="S37" s="871"/>
      <c r="T37" s="871"/>
      <c r="U37" s="871"/>
      <c r="V37" s="871"/>
      <c r="W37" s="868" t="e">
        <f>S35</f>
        <v>#VALUE!</v>
      </c>
      <c r="X37" s="868"/>
      <c r="Y37" s="869"/>
    </row>
    <row r="38" spans="1:26" ht="21.75" customHeight="1" x14ac:dyDescent="0.25">
      <c r="A38" s="98"/>
      <c r="B38" s="17"/>
      <c r="C38" s="8"/>
      <c r="D38" s="8"/>
      <c r="E38" s="50"/>
      <c r="F38" s="8"/>
      <c r="G38" s="8"/>
      <c r="H38" s="8"/>
      <c r="I38" s="8"/>
      <c r="J38" s="8"/>
      <c r="K38" s="8"/>
      <c r="L38" s="8"/>
      <c r="M38" s="8"/>
      <c r="N38" s="18"/>
      <c r="O38" s="25"/>
      <c r="P38" s="8"/>
      <c r="Q38" s="8"/>
      <c r="R38" s="8"/>
      <c r="S38" s="9"/>
      <c r="T38" s="9"/>
      <c r="U38" s="6"/>
      <c r="V38" s="9"/>
      <c r="W38" s="9"/>
      <c r="X38" s="9"/>
      <c r="Y38" s="19"/>
    </row>
    <row r="39" spans="1:26" ht="21.75" customHeight="1" x14ac:dyDescent="0.25">
      <c r="A39" s="98"/>
      <c r="B39" s="17"/>
      <c r="N39" s="56"/>
      <c r="O39" s="149"/>
      <c r="P39" s="50"/>
      <c r="U39" s="6"/>
      <c r="Y39" s="19"/>
    </row>
    <row r="40" spans="1:26" ht="16.5" customHeight="1" x14ac:dyDescent="0.25">
      <c r="A40" s="98"/>
      <c r="B40" s="17"/>
      <c r="C40" s="820" t="s">
        <v>47</v>
      </c>
      <c r="D40" s="820"/>
      <c r="E40" s="325"/>
      <c r="F40" s="342">
        <f ca="1">NOW()</f>
        <v>46275.505203009256</v>
      </c>
      <c r="G40" s="164"/>
      <c r="H40" s="820" t="s">
        <v>95</v>
      </c>
      <c r="I40" s="820"/>
      <c r="J40" s="820"/>
      <c r="K40" s="820"/>
      <c r="L40" s="8"/>
      <c r="M40" s="342">
        <f ca="1">NOW()</f>
        <v>46275.505203009256</v>
      </c>
      <c r="N40" s="165"/>
      <c r="O40" s="161"/>
      <c r="P40" s="51"/>
      <c r="Q40" s="820" t="s">
        <v>97</v>
      </c>
      <c r="R40" s="820"/>
      <c r="S40" s="820"/>
      <c r="U40" s="6"/>
      <c r="V40" s="839"/>
      <c r="W40" s="839"/>
      <c r="X40" s="839"/>
      <c r="Y40" s="19"/>
    </row>
    <row r="41" spans="1:26" ht="15.75" x14ac:dyDescent="0.25">
      <c r="A41" s="98"/>
      <c r="B41" s="17"/>
      <c r="C41" s="827" t="s">
        <v>93</v>
      </c>
      <c r="D41" s="827"/>
      <c r="E41" s="6"/>
      <c r="F41" s="171" t="s">
        <v>29</v>
      </c>
      <c r="G41" s="9"/>
      <c r="H41" s="827" t="s">
        <v>94</v>
      </c>
      <c r="I41" s="827"/>
      <c r="J41" s="827"/>
      <c r="K41" s="827"/>
      <c r="L41" s="9"/>
      <c r="M41" s="171" t="s">
        <v>29</v>
      </c>
      <c r="N41" s="172"/>
      <c r="O41" s="161"/>
      <c r="P41" s="51"/>
      <c r="Q41" s="827" t="s">
        <v>96</v>
      </c>
      <c r="R41" s="827"/>
      <c r="S41" s="827"/>
      <c r="T41" s="9"/>
      <c r="U41" s="6"/>
      <c r="V41" s="840" t="s">
        <v>29</v>
      </c>
      <c r="W41" s="840"/>
      <c r="X41" s="840"/>
      <c r="Y41" s="19"/>
    </row>
    <row r="42" spans="1:26" ht="16.5" thickBot="1" x14ac:dyDescent="0.3">
      <c r="A42" s="98"/>
      <c r="B42" s="20"/>
      <c r="C42" s="21"/>
      <c r="D42" s="21"/>
      <c r="E42" s="326"/>
      <c r="F42" s="21"/>
      <c r="G42" s="21"/>
      <c r="H42" s="21"/>
      <c r="I42" s="21"/>
      <c r="J42" s="21"/>
      <c r="K42" s="29"/>
      <c r="L42" s="29"/>
      <c r="M42" s="29"/>
      <c r="N42" s="168"/>
      <c r="O42" s="162"/>
      <c r="P42" s="22"/>
      <c r="Q42" s="30"/>
      <c r="R42" s="30"/>
      <c r="S42" s="30"/>
      <c r="T42" s="10"/>
      <c r="U42" s="54"/>
      <c r="V42" s="10"/>
      <c r="W42" s="10"/>
      <c r="X42" s="10"/>
      <c r="Y42" s="23"/>
      <c r="Z42" s="842"/>
    </row>
    <row r="43" spans="1:26" ht="21" customHeight="1" thickBot="1" x14ac:dyDescent="0.3">
      <c r="A43" s="98"/>
      <c r="B43" s="1" t="s">
        <v>24</v>
      </c>
      <c r="C43" s="818" t="s">
        <v>105</v>
      </c>
      <c r="D43" s="818" t="s">
        <v>100</v>
      </c>
      <c r="E43" s="818"/>
      <c r="F43" s="818"/>
      <c r="G43" s="818"/>
      <c r="H43" s="818"/>
      <c r="I43" s="818"/>
      <c r="J43" s="818"/>
      <c r="K43" s="818"/>
      <c r="L43" s="828" t="e">
        <f>S35</f>
        <v>#VALUE!</v>
      </c>
      <c r="M43" s="828"/>
      <c r="N43" s="829"/>
      <c r="O43" s="1" t="s">
        <v>25</v>
      </c>
      <c r="P43" s="835" t="s">
        <v>35</v>
      </c>
      <c r="Q43" s="835"/>
      <c r="R43" s="835"/>
      <c r="S43" s="835"/>
      <c r="T43" s="836"/>
      <c r="U43" s="1" t="s">
        <v>27</v>
      </c>
      <c r="V43" s="148"/>
      <c r="W43" s="148"/>
      <c r="X43" s="148"/>
      <c r="Y43" s="24"/>
      <c r="Z43" s="843"/>
    </row>
    <row r="44" spans="1:26" ht="30.75" customHeight="1" x14ac:dyDescent="0.25">
      <c r="A44" s="98"/>
      <c r="B44" s="17" t="s">
        <v>26</v>
      </c>
      <c r="C44" s="819"/>
      <c r="D44" s="819"/>
      <c r="E44" s="819"/>
      <c r="F44" s="819"/>
      <c r="G44" s="819"/>
      <c r="H44" s="819"/>
      <c r="I44" s="819"/>
      <c r="J44" s="819"/>
      <c r="K44" s="819"/>
      <c r="L44" s="830"/>
      <c r="M44" s="830"/>
      <c r="N44" s="831"/>
      <c r="O44" s="25"/>
      <c r="P44" s="837"/>
      <c r="Q44" s="837"/>
      <c r="R44" s="837"/>
      <c r="S44" s="837"/>
      <c r="T44" s="838"/>
      <c r="U44" s="149"/>
      <c r="V44" s="61" t="s">
        <v>90</v>
      </c>
      <c r="W44" s="820" t="str">
        <f>'GEN.AD - PAY'!$W$172</f>
        <v>01-101101-2026-01-0003</v>
      </c>
      <c r="X44" s="820"/>
      <c r="Y44" s="822"/>
      <c r="Z44" s="843"/>
    </row>
    <row r="45" spans="1:26" ht="24.95" customHeight="1" x14ac:dyDescent="0.25">
      <c r="A45" s="98"/>
      <c r="B45" s="17"/>
      <c r="C45" s="8" t="s">
        <v>28</v>
      </c>
      <c r="D45" s="8"/>
      <c r="E45" s="50"/>
      <c r="F45" s="8"/>
      <c r="G45" s="8"/>
      <c r="H45" s="8"/>
      <c r="I45" s="8"/>
      <c r="J45" s="8"/>
      <c r="K45" s="8"/>
      <c r="L45" s="8"/>
      <c r="M45" s="8"/>
      <c r="N45" s="18"/>
      <c r="O45" s="25"/>
      <c r="P45" s="8"/>
      <c r="T45" s="26"/>
      <c r="U45" s="150"/>
      <c r="V45" s="61" t="s">
        <v>91</v>
      </c>
      <c r="W45" s="918">
        <f>'GEN.AD - PAY'!$W$173</f>
        <v>46038</v>
      </c>
      <c r="X45" s="918"/>
      <c r="Y45" s="919"/>
      <c r="Z45" s="843"/>
    </row>
    <row r="46" spans="1:26" ht="24.95" customHeight="1" x14ac:dyDescent="0.25">
      <c r="A46" s="98"/>
      <c r="B46" s="17"/>
      <c r="E46" s="820" t="s">
        <v>102</v>
      </c>
      <c r="F46" s="820"/>
      <c r="G46" s="820"/>
      <c r="H46" s="820"/>
      <c r="I46" s="820"/>
      <c r="K46" s="821"/>
      <c r="L46" s="821"/>
      <c r="M46" s="8"/>
      <c r="N46" s="18"/>
      <c r="O46" s="25"/>
      <c r="P46" s="820" t="s">
        <v>99</v>
      </c>
      <c r="Q46" s="820"/>
      <c r="R46" s="820"/>
      <c r="S46" s="820"/>
      <c r="T46" s="26"/>
      <c r="U46" s="149"/>
      <c r="V46" s="61" t="s">
        <v>92</v>
      </c>
      <c r="W46" s="820" t="str">
        <f>'GEN.AD - PAY'!$W$174</f>
        <v>01-2026-01-0019</v>
      </c>
      <c r="X46" s="820"/>
      <c r="Y46" s="822"/>
      <c r="Z46" s="843"/>
    </row>
    <row r="47" spans="1:26" ht="24.95" customHeight="1" x14ac:dyDescent="0.25">
      <c r="A47" s="98"/>
      <c r="B47" s="17"/>
      <c r="E47" s="881" t="s">
        <v>101</v>
      </c>
      <c r="F47" s="881"/>
      <c r="G47" s="881"/>
      <c r="H47" s="881"/>
      <c r="I47" s="881"/>
      <c r="J47" s="9"/>
      <c r="K47" s="889" t="s">
        <v>29</v>
      </c>
      <c r="L47" s="889"/>
      <c r="M47" s="27"/>
      <c r="N47" s="165"/>
      <c r="O47" s="161"/>
      <c r="P47" s="827" t="s">
        <v>98</v>
      </c>
      <c r="Q47" s="827"/>
      <c r="R47" s="827"/>
      <c r="S47" s="827"/>
      <c r="T47" s="26"/>
      <c r="U47" s="150"/>
      <c r="V47" s="61" t="s">
        <v>91</v>
      </c>
      <c r="W47" s="918">
        <f>'GEN.AD - PAY'!$W$175</f>
        <v>46038</v>
      </c>
      <c r="X47" s="918"/>
      <c r="Y47" s="919"/>
      <c r="Z47" s="28"/>
    </row>
    <row r="48" spans="1:26" ht="16.5" thickBot="1" x14ac:dyDescent="0.3">
      <c r="A48" s="98"/>
      <c r="B48" s="20"/>
      <c r="C48" s="29"/>
      <c r="D48" s="29"/>
      <c r="E48" s="880"/>
      <c r="F48" s="880"/>
      <c r="G48" s="880"/>
      <c r="H48" s="880"/>
      <c r="I48" s="29"/>
      <c r="J48" s="29"/>
      <c r="K48" s="30"/>
      <c r="L48" s="30"/>
      <c r="M48" s="30"/>
      <c r="N48" s="168"/>
      <c r="O48" s="162"/>
      <c r="P48" s="30"/>
      <c r="Q48" s="30"/>
      <c r="R48" s="30"/>
      <c r="S48" s="30"/>
      <c r="T48" s="23"/>
      <c r="U48" s="151"/>
      <c r="V48" s="10"/>
      <c r="W48" s="10"/>
      <c r="X48" s="10"/>
      <c r="Y48" s="23"/>
    </row>
    <row r="50" spans="3:3" x14ac:dyDescent="0.25">
      <c r="C50" s="32"/>
    </row>
    <row r="51" spans="3:3" x14ac:dyDescent="0.25">
      <c r="C51" s="32"/>
    </row>
    <row r="52" spans="3:3" x14ac:dyDescent="0.25">
      <c r="C52" s="32"/>
    </row>
    <row r="53" spans="3:3" x14ac:dyDescent="0.25">
      <c r="C53" s="32"/>
    </row>
    <row r="54" spans="3:3" x14ac:dyDescent="0.25">
      <c r="C54" s="32"/>
    </row>
  </sheetData>
  <mergeCells count="68">
    <mergeCell ref="B8:Y8"/>
    <mergeCell ref="V18:V19"/>
    <mergeCell ref="W18:W19"/>
    <mergeCell ref="X2:Y2"/>
    <mergeCell ref="B3:Y3"/>
    <mergeCell ref="B4:Y4"/>
    <mergeCell ref="B5:Y5"/>
    <mergeCell ref="B6:Y6"/>
    <mergeCell ref="B9:Y9"/>
    <mergeCell ref="B10:Y10"/>
    <mergeCell ref="B11:Y11"/>
    <mergeCell ref="D12:D14"/>
    <mergeCell ref="B13:C13"/>
    <mergeCell ref="W13:Y13"/>
    <mergeCell ref="B15:Y15"/>
    <mergeCell ref="B17:B19"/>
    <mergeCell ref="S17:S19"/>
    <mergeCell ref="T17:T19"/>
    <mergeCell ref="C17:C19"/>
    <mergeCell ref="D17:D19"/>
    <mergeCell ref="E17:E19"/>
    <mergeCell ref="F17:K17"/>
    <mergeCell ref="L17:Q17"/>
    <mergeCell ref="J18:J19"/>
    <mergeCell ref="K18:K19"/>
    <mergeCell ref="R17:R19"/>
    <mergeCell ref="F18:F19"/>
    <mergeCell ref="G18:G19"/>
    <mergeCell ref="C36:G36"/>
    <mergeCell ref="O37:V37"/>
    <mergeCell ref="W37:Y37"/>
    <mergeCell ref="N18:N19"/>
    <mergeCell ref="O18:O19"/>
    <mergeCell ref="P18:P19"/>
    <mergeCell ref="Q18:Q19"/>
    <mergeCell ref="U17:U19"/>
    <mergeCell ref="V17:Y17"/>
    <mergeCell ref="S36:Y36"/>
    <mergeCell ref="X18:X19"/>
    <mergeCell ref="Y18:Y19"/>
    <mergeCell ref="L18:L19"/>
    <mergeCell ref="M18:M19"/>
    <mergeCell ref="H18:H19"/>
    <mergeCell ref="I18:I19"/>
    <mergeCell ref="C40:D40"/>
    <mergeCell ref="H40:K40"/>
    <mergeCell ref="Q40:S40"/>
    <mergeCell ref="V40:X40"/>
    <mergeCell ref="C41:D41"/>
    <mergeCell ref="H41:K41"/>
    <mergeCell ref="Q41:S41"/>
    <mergeCell ref="V41:X41"/>
    <mergeCell ref="E48:H48"/>
    <mergeCell ref="Z42:Z46"/>
    <mergeCell ref="C43:C44"/>
    <mergeCell ref="D43:K44"/>
    <mergeCell ref="L43:N44"/>
    <mergeCell ref="P43:T44"/>
    <mergeCell ref="W44:Y44"/>
    <mergeCell ref="W45:Y45"/>
    <mergeCell ref="E46:I46"/>
    <mergeCell ref="K46:L46"/>
    <mergeCell ref="P46:S46"/>
    <mergeCell ref="W46:Y46"/>
    <mergeCell ref="E47:I47"/>
    <mergeCell ref="K47:L47"/>
    <mergeCell ref="P47:S47"/>
    <mergeCell ref="W47:Y47"/>
  </mergeCells>
  <conditionalFormatting sqref="S21:T33">
    <cfRule type="cellIs" dxfId="5" priority="1" stopIfTrue="1" operator="equal">
      <formula>2500</formula>
    </cfRule>
  </conditionalFormatting>
  <printOptions horizontalCentered="1"/>
  <pageMargins left="0.39370078740157483" right="0.39370078740157483" top="0.39370078740157483" bottom="0.19685039370078741" header="0" footer="0"/>
  <pageSetup paperSize="14" scale="51" fitToHeight="0" orientation="landscape" r:id="rId1"/>
  <headerFooter alignWithMargins="0">
    <oddHeader>&amp;R
&amp;16Sheet &amp;"Times New Roman,Bold"&amp;U&amp;P&amp;"Times New Roman,Regular"&amp;U of &amp;"Times New Roman,Bold"&amp;U&amp;N&amp;"Times New Roman,Regular"&amp;U Sheet/s</oddHeader>
  </headerFooter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9">
    <tabColor theme="8" tint="-0.249977111117893"/>
    <pageSetUpPr fitToPage="1"/>
  </sheetPr>
  <dimension ref="A1:AG40"/>
  <sheetViews>
    <sheetView showWhiteSpace="0" topLeftCell="A14" zoomScaleNormal="100" zoomScaleSheetLayoutView="100" workbookViewId="0">
      <pane xSplit="7" ySplit="5" topLeftCell="Z19" activePane="bottomRight" state="frozen"/>
      <selection activeCell="W34" sqref="W34:Y37"/>
      <selection pane="topRight" activeCell="W34" sqref="W34:Y37"/>
      <selection pane="bottomLeft" activeCell="W34" sqref="W34:Y37"/>
      <selection pane="bottomRight" activeCell="W34" sqref="W34:Y37"/>
    </sheetView>
  </sheetViews>
  <sheetFormatPr defaultRowHeight="30.75" x14ac:dyDescent="0.25"/>
  <cols>
    <col min="1" max="1" width="9.375" style="31" customWidth="1"/>
    <col min="2" max="2" width="6.75" style="4" customWidth="1"/>
    <col min="3" max="3" width="24.625" style="4" customWidth="1"/>
    <col min="4" max="4" width="12.875" style="4" customWidth="1"/>
    <col min="5" max="5" width="9.625" style="57" customWidth="1"/>
    <col min="6" max="6" width="10.875" style="4" customWidth="1"/>
    <col min="7" max="7" width="12" style="4" customWidth="1"/>
    <col min="8" max="12" width="10.625" style="4" customWidth="1"/>
    <col min="13" max="13" width="12.25" style="4" customWidth="1"/>
    <col min="14" max="17" width="10.625" style="4" customWidth="1"/>
    <col min="18" max="18" width="11.75" style="4" customWidth="1"/>
    <col min="19" max="19" width="11.25" style="4" customWidth="1"/>
    <col min="20" max="20" width="10.625" style="4" customWidth="1"/>
    <col min="21" max="21" width="10.75" style="4" customWidth="1"/>
    <col min="22" max="23" width="9.875" style="4" customWidth="1"/>
    <col min="24" max="24" width="11.125" style="4" customWidth="1"/>
    <col min="25" max="25" width="10.875" style="4" customWidth="1"/>
    <col min="26" max="26" width="12.375" style="4" customWidth="1"/>
    <col min="27" max="27" width="11.125" style="4" customWidth="1"/>
    <col min="28" max="28" width="11.25" style="4" customWidth="1"/>
    <col min="29" max="30" width="9.875" style="4" customWidth="1"/>
    <col min="31" max="31" width="11.5" style="4" customWidth="1"/>
    <col min="32" max="32" width="13.875" style="4" customWidth="1"/>
    <col min="33" max="33" width="10.375" style="4" bestFit="1" customWidth="1"/>
    <col min="34" max="16384" width="9" style="4"/>
  </cols>
  <sheetData>
    <row r="1" spans="1:33" ht="23.25" customHeight="1" x14ac:dyDescent="0.25">
      <c r="A1" s="98">
        <v>94</v>
      </c>
      <c r="F1" s="5"/>
      <c r="X1" s="5"/>
      <c r="Y1" s="5"/>
      <c r="AE1" s="5"/>
      <c r="AF1" s="3"/>
    </row>
    <row r="2" spans="1:33" ht="23.25" x14ac:dyDescent="0.25">
      <c r="A2" s="98"/>
      <c r="F2" s="5"/>
      <c r="X2" s="5"/>
      <c r="Y2" s="5"/>
      <c r="AE2" s="864" t="s">
        <v>40</v>
      </c>
      <c r="AF2" s="864"/>
    </row>
    <row r="3" spans="1:33" ht="15.75" customHeight="1" x14ac:dyDescent="0.25">
      <c r="A3" s="98"/>
      <c r="B3" s="877" t="s">
        <v>42</v>
      </c>
      <c r="C3" s="877"/>
      <c r="D3" s="877"/>
      <c r="E3" s="877"/>
      <c r="F3" s="877"/>
      <c r="G3" s="877"/>
      <c r="H3" s="877"/>
      <c r="I3" s="877"/>
      <c r="J3" s="877"/>
      <c r="K3" s="877"/>
      <c r="L3" s="877"/>
      <c r="M3" s="877"/>
      <c r="N3" s="877"/>
      <c r="O3" s="877"/>
      <c r="P3" s="877"/>
      <c r="Q3" s="877"/>
      <c r="R3" s="877"/>
      <c r="S3" s="877"/>
      <c r="T3" s="877"/>
      <c r="U3" s="877"/>
      <c r="V3" s="877"/>
      <c r="W3" s="877"/>
      <c r="X3" s="877"/>
      <c r="Y3" s="877"/>
      <c r="Z3" s="877"/>
      <c r="AA3" s="877"/>
      <c r="AB3" s="877"/>
      <c r="AC3" s="877"/>
      <c r="AD3" s="877"/>
      <c r="AE3" s="877"/>
      <c r="AF3" s="877"/>
    </row>
    <row r="4" spans="1:33" ht="15.75" customHeight="1" x14ac:dyDescent="0.25">
      <c r="A4" s="98"/>
      <c r="B4" s="878" t="s">
        <v>43</v>
      </c>
      <c r="C4" s="878"/>
      <c r="D4" s="878"/>
      <c r="E4" s="878"/>
      <c r="F4" s="878"/>
      <c r="G4" s="878"/>
      <c r="H4" s="878"/>
      <c r="I4" s="878"/>
      <c r="J4" s="878"/>
      <c r="K4" s="878"/>
      <c r="L4" s="878"/>
      <c r="M4" s="878"/>
      <c r="N4" s="878"/>
      <c r="O4" s="878"/>
      <c r="P4" s="878"/>
      <c r="Q4" s="878"/>
      <c r="R4" s="878"/>
      <c r="S4" s="878"/>
      <c r="T4" s="878"/>
      <c r="U4" s="878"/>
      <c r="V4" s="878"/>
      <c r="W4" s="878"/>
      <c r="X4" s="878"/>
      <c r="Y4" s="878"/>
      <c r="Z4" s="878"/>
      <c r="AA4" s="878"/>
      <c r="AB4" s="878"/>
      <c r="AC4" s="878"/>
      <c r="AD4" s="878"/>
      <c r="AE4" s="878"/>
      <c r="AF4" s="878"/>
    </row>
    <row r="5" spans="1:33" ht="15.75" customHeight="1" x14ac:dyDescent="0.25">
      <c r="A5" s="98"/>
      <c r="B5" s="878" t="s">
        <v>44</v>
      </c>
      <c r="C5" s="878"/>
      <c r="D5" s="878"/>
      <c r="E5" s="878"/>
      <c r="F5" s="878"/>
      <c r="G5" s="878"/>
      <c r="H5" s="878"/>
      <c r="I5" s="878"/>
      <c r="J5" s="878"/>
      <c r="K5" s="878"/>
      <c r="L5" s="878"/>
      <c r="M5" s="878"/>
      <c r="N5" s="878"/>
      <c r="O5" s="878"/>
      <c r="P5" s="878"/>
      <c r="Q5" s="878"/>
      <c r="R5" s="878"/>
      <c r="S5" s="878"/>
      <c r="T5" s="878"/>
      <c r="U5" s="878"/>
      <c r="V5" s="878"/>
      <c r="W5" s="878"/>
      <c r="X5" s="878"/>
      <c r="Y5" s="878"/>
      <c r="Z5" s="878"/>
      <c r="AA5" s="878"/>
      <c r="AB5" s="878"/>
      <c r="AC5" s="878"/>
      <c r="AD5" s="878"/>
      <c r="AE5" s="878"/>
      <c r="AF5" s="878"/>
    </row>
    <row r="6" spans="1:33" ht="15.75" customHeight="1" x14ac:dyDescent="0.25">
      <c r="A6" s="98"/>
      <c r="B6" s="877" t="s">
        <v>45</v>
      </c>
      <c r="C6" s="877"/>
      <c r="D6" s="877"/>
      <c r="E6" s="877"/>
      <c r="F6" s="877"/>
      <c r="G6" s="877"/>
      <c r="H6" s="877"/>
      <c r="I6" s="877"/>
      <c r="J6" s="877"/>
      <c r="K6" s="877"/>
      <c r="L6" s="877"/>
      <c r="M6" s="877"/>
      <c r="N6" s="877"/>
      <c r="O6" s="877"/>
      <c r="P6" s="877"/>
      <c r="Q6" s="877"/>
      <c r="R6" s="877"/>
      <c r="S6" s="877"/>
      <c r="T6" s="877"/>
      <c r="U6" s="877"/>
      <c r="V6" s="877"/>
      <c r="W6" s="877"/>
      <c r="X6" s="877"/>
      <c r="Y6" s="877"/>
      <c r="Z6" s="877"/>
      <c r="AA6" s="877"/>
      <c r="AB6" s="877"/>
      <c r="AC6" s="877"/>
      <c r="AD6" s="877"/>
      <c r="AE6" s="877"/>
      <c r="AF6" s="877"/>
    </row>
    <row r="7" spans="1:33" ht="15.75" customHeight="1" x14ac:dyDescent="0.25">
      <c r="A7" s="98"/>
      <c r="F7" s="2"/>
      <c r="X7" s="2"/>
      <c r="Y7" s="2"/>
      <c r="AE7" s="2"/>
      <c r="AF7" s="2"/>
    </row>
    <row r="8" spans="1:33" ht="22.5" x14ac:dyDescent="0.25">
      <c r="A8" s="98"/>
      <c r="B8" s="882" t="s">
        <v>64</v>
      </c>
      <c r="C8" s="882"/>
      <c r="D8" s="882"/>
      <c r="E8" s="882"/>
      <c r="F8" s="882"/>
      <c r="G8" s="882"/>
      <c r="H8" s="882"/>
      <c r="I8" s="882"/>
      <c r="J8" s="882"/>
      <c r="K8" s="882"/>
      <c r="L8" s="882"/>
      <c r="M8" s="882"/>
      <c r="N8" s="882"/>
      <c r="O8" s="882"/>
      <c r="P8" s="882"/>
      <c r="Q8" s="882"/>
      <c r="R8" s="882"/>
      <c r="S8" s="882"/>
      <c r="T8" s="882"/>
      <c r="U8" s="882"/>
      <c r="V8" s="882"/>
      <c r="W8" s="882"/>
      <c r="X8" s="882"/>
      <c r="Y8" s="882"/>
      <c r="Z8" s="882"/>
      <c r="AA8" s="882"/>
      <c r="AB8" s="882"/>
      <c r="AC8" s="882"/>
      <c r="AD8" s="882"/>
      <c r="AE8" s="882"/>
      <c r="AF8" s="882"/>
    </row>
    <row r="9" spans="1:33" ht="20.25" x14ac:dyDescent="0.25">
      <c r="A9" s="98"/>
      <c r="B9" s="867" t="str">
        <f>'PE - PAY'!B9</f>
        <v>Regular Employees - PHYSICAL EDUCATION</v>
      </c>
      <c r="C9" s="867"/>
      <c r="D9" s="867"/>
      <c r="E9" s="867"/>
      <c r="F9" s="867"/>
      <c r="G9" s="867"/>
      <c r="H9" s="867"/>
      <c r="I9" s="867"/>
      <c r="J9" s="867"/>
      <c r="K9" s="867"/>
      <c r="L9" s="867"/>
      <c r="M9" s="867"/>
      <c r="N9" s="867"/>
      <c r="O9" s="867"/>
      <c r="P9" s="867"/>
      <c r="Q9" s="867"/>
      <c r="R9" s="867"/>
      <c r="S9" s="867"/>
      <c r="T9" s="867"/>
      <c r="U9" s="867"/>
      <c r="V9" s="867"/>
      <c r="W9" s="867"/>
      <c r="X9" s="867"/>
      <c r="Y9" s="867"/>
      <c r="Z9" s="867"/>
      <c r="AA9" s="867"/>
      <c r="AB9" s="867"/>
      <c r="AC9" s="867"/>
      <c r="AD9" s="867"/>
      <c r="AE9" s="867"/>
      <c r="AF9" s="867"/>
    </row>
    <row r="10" spans="1:33" ht="20.25" x14ac:dyDescent="0.25">
      <c r="A10" s="98"/>
      <c r="B10" s="879" t="str">
        <f>'PE - PAY'!B10</f>
        <v>For the period JANUARY 1-31, 2026</v>
      </c>
      <c r="C10" s="879"/>
      <c r="D10" s="879"/>
      <c r="E10" s="879"/>
      <c r="F10" s="879"/>
      <c r="G10" s="879"/>
      <c r="H10" s="879"/>
      <c r="I10" s="879"/>
      <c r="J10" s="879"/>
      <c r="K10" s="879"/>
      <c r="L10" s="879"/>
      <c r="M10" s="879"/>
      <c r="N10" s="879"/>
      <c r="O10" s="879"/>
      <c r="P10" s="879"/>
      <c r="Q10" s="879"/>
      <c r="R10" s="879"/>
      <c r="S10" s="879"/>
      <c r="T10" s="879"/>
      <c r="U10" s="879"/>
      <c r="V10" s="879"/>
      <c r="W10" s="879"/>
      <c r="X10" s="879"/>
      <c r="Y10" s="879"/>
      <c r="Z10" s="879"/>
      <c r="AA10" s="879"/>
      <c r="AB10" s="879"/>
      <c r="AC10" s="879"/>
      <c r="AD10" s="879"/>
      <c r="AE10" s="879"/>
      <c r="AF10" s="879"/>
    </row>
    <row r="11" spans="1:33" ht="15.75" x14ac:dyDescent="0.25">
      <c r="A11" s="98"/>
      <c r="B11" s="9"/>
      <c r="C11" s="6"/>
      <c r="D11" s="866" t="str">
        <f>+'PE - PAY'!D12</f>
        <v>01</v>
      </c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</row>
    <row r="12" spans="1:33" s="8" customFormat="1" ht="24.95" customHeight="1" x14ac:dyDescent="0.25">
      <c r="A12" s="98"/>
      <c r="B12" s="865" t="s">
        <v>88</v>
      </c>
      <c r="C12" s="865"/>
      <c r="D12" s="867"/>
      <c r="E12" s="178"/>
      <c r="F12" s="169"/>
      <c r="G12" s="169"/>
      <c r="H12" s="169"/>
      <c r="I12" s="169"/>
      <c r="J12" s="169"/>
      <c r="K12" s="169"/>
      <c r="L12" s="169"/>
      <c r="M12" s="169"/>
      <c r="N12" s="169"/>
      <c r="O12" s="169"/>
      <c r="P12" s="169"/>
      <c r="Q12" s="169"/>
      <c r="R12" s="9"/>
      <c r="S12" s="9"/>
      <c r="T12" s="9"/>
      <c r="U12" s="9"/>
      <c r="AA12" s="7"/>
      <c r="AB12" s="169" t="s">
        <v>103</v>
      </c>
      <c r="AC12" s="169"/>
      <c r="AD12" s="832" t="str">
        <f>'PE - PAY'!W13</f>
        <v>2026-01-022</v>
      </c>
      <c r="AE12" s="832"/>
      <c r="AF12" s="832"/>
    </row>
    <row r="13" spans="1:33" s="8" customFormat="1" ht="24.95" customHeight="1" x14ac:dyDescent="0.25">
      <c r="A13" s="98"/>
      <c r="B13" s="9"/>
      <c r="C13" s="9"/>
      <c r="D13" s="867"/>
      <c r="E13" s="6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AB13" s="169"/>
      <c r="AC13" s="169"/>
      <c r="AD13" s="9"/>
      <c r="AE13" s="9"/>
      <c r="AF13" s="9"/>
    </row>
    <row r="14" spans="1:33" s="8" customFormat="1" ht="15.75" customHeight="1" x14ac:dyDescent="0.25">
      <c r="A14" s="98"/>
      <c r="B14" s="872"/>
      <c r="C14" s="872"/>
      <c r="D14" s="872"/>
      <c r="E14" s="872"/>
      <c r="F14" s="872"/>
      <c r="G14" s="872"/>
      <c r="H14" s="872"/>
      <c r="I14" s="872"/>
      <c r="J14" s="872"/>
      <c r="K14" s="872"/>
      <c r="L14" s="872"/>
      <c r="M14" s="872"/>
      <c r="N14" s="872"/>
      <c r="O14" s="872"/>
      <c r="P14" s="872"/>
      <c r="Q14" s="872"/>
      <c r="R14" s="872"/>
      <c r="S14" s="872"/>
      <c r="T14" s="872"/>
      <c r="U14" s="872"/>
      <c r="V14" s="872"/>
      <c r="W14" s="872"/>
      <c r="X14" s="872"/>
      <c r="Y14" s="872"/>
      <c r="Z14" s="872"/>
    </row>
    <row r="15" spans="1:33" ht="9" customHeight="1" thickBot="1" x14ac:dyDescent="0.3">
      <c r="A15" s="98"/>
      <c r="B15" s="9"/>
      <c r="C15" s="10"/>
      <c r="D15" s="10"/>
      <c r="E15" s="54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9"/>
      <c r="T15" s="9"/>
      <c r="U15" s="9"/>
      <c r="V15" s="9"/>
      <c r="W15" s="9"/>
      <c r="X15" s="10"/>
      <c r="Y15" s="10"/>
      <c r="Z15" s="9"/>
      <c r="AA15" s="9"/>
      <c r="AB15" s="9"/>
      <c r="AC15" s="9"/>
      <c r="AD15" s="9"/>
      <c r="AE15" s="10"/>
      <c r="AF15" s="10"/>
    </row>
    <row r="16" spans="1:33" ht="16.5" customHeight="1" thickBot="1" x14ac:dyDescent="0.3">
      <c r="A16" s="98"/>
      <c r="B16" s="802" t="s">
        <v>6</v>
      </c>
      <c r="C16" s="777" t="s">
        <v>1</v>
      </c>
      <c r="D16" s="777" t="s">
        <v>2</v>
      </c>
      <c r="E16" s="802" t="s">
        <v>14</v>
      </c>
      <c r="F16" s="904" t="s">
        <v>54</v>
      </c>
      <c r="G16" s="841" t="s">
        <v>66</v>
      </c>
      <c r="H16" s="833"/>
      <c r="I16" s="833"/>
      <c r="J16" s="833"/>
      <c r="K16" s="833"/>
      <c r="L16" s="833"/>
      <c r="M16" s="833"/>
      <c r="N16" s="833"/>
      <c r="O16" s="833"/>
      <c r="P16" s="833"/>
      <c r="Q16" s="833"/>
      <c r="R16" s="834"/>
      <c r="S16" s="841" t="s">
        <v>63</v>
      </c>
      <c r="T16" s="833"/>
      <c r="U16" s="833"/>
      <c r="V16" s="833"/>
      <c r="W16" s="833"/>
      <c r="X16" s="834"/>
      <c r="Y16" s="904" t="s">
        <v>57</v>
      </c>
      <c r="Z16" s="841" t="s">
        <v>80</v>
      </c>
      <c r="AA16" s="833"/>
      <c r="AB16" s="833"/>
      <c r="AC16" s="833"/>
      <c r="AD16" s="833"/>
      <c r="AE16" s="834"/>
      <c r="AF16" s="802" t="s">
        <v>87</v>
      </c>
      <c r="AG16" s="11"/>
    </row>
    <row r="17" spans="1:33" ht="19.5" customHeight="1" x14ac:dyDescent="0.25">
      <c r="A17" s="98"/>
      <c r="B17" s="803"/>
      <c r="C17" s="778"/>
      <c r="D17" s="778"/>
      <c r="E17" s="803"/>
      <c r="F17" s="905"/>
      <c r="G17" s="911" t="s">
        <v>65</v>
      </c>
      <c r="H17" s="894" t="s">
        <v>110</v>
      </c>
      <c r="I17" s="887" t="s">
        <v>67</v>
      </c>
      <c r="J17" s="892" t="s">
        <v>68</v>
      </c>
      <c r="K17" s="896" t="s">
        <v>69</v>
      </c>
      <c r="L17" s="896" t="s">
        <v>70</v>
      </c>
      <c r="M17" s="896" t="s">
        <v>71</v>
      </c>
      <c r="N17" s="896" t="s">
        <v>72</v>
      </c>
      <c r="O17" s="894" t="s">
        <v>73</v>
      </c>
      <c r="P17" s="894" t="s">
        <v>111</v>
      </c>
      <c r="Q17" s="894" t="s">
        <v>78</v>
      </c>
      <c r="R17" s="909" t="s">
        <v>74</v>
      </c>
      <c r="S17" s="844" t="s">
        <v>75</v>
      </c>
      <c r="T17" s="913" t="s">
        <v>76</v>
      </c>
      <c r="U17" s="896" t="s">
        <v>71</v>
      </c>
      <c r="V17" s="896" t="s">
        <v>77</v>
      </c>
      <c r="W17" s="907" t="s">
        <v>78</v>
      </c>
      <c r="X17" s="902" t="s">
        <v>79</v>
      </c>
      <c r="Y17" s="905"/>
      <c r="Z17" s="898" t="s">
        <v>81</v>
      </c>
      <c r="AA17" s="900" t="s">
        <v>82</v>
      </c>
      <c r="AB17" s="896" t="s">
        <v>83</v>
      </c>
      <c r="AC17" s="892" t="s">
        <v>84</v>
      </c>
      <c r="AD17" s="942" t="s">
        <v>145</v>
      </c>
      <c r="AE17" s="915" t="s">
        <v>85</v>
      </c>
      <c r="AF17" s="803"/>
      <c r="AG17" s="11"/>
    </row>
    <row r="18" spans="1:33" ht="26.25" customHeight="1" thickBot="1" x14ac:dyDescent="0.3">
      <c r="A18" s="98"/>
      <c r="B18" s="803"/>
      <c r="C18" s="778"/>
      <c r="D18" s="778"/>
      <c r="E18" s="803"/>
      <c r="F18" s="906"/>
      <c r="G18" s="912"/>
      <c r="H18" s="895"/>
      <c r="I18" s="888"/>
      <c r="J18" s="893"/>
      <c r="K18" s="897"/>
      <c r="L18" s="897"/>
      <c r="M18" s="897"/>
      <c r="N18" s="897"/>
      <c r="O18" s="895"/>
      <c r="P18" s="895"/>
      <c r="Q18" s="895"/>
      <c r="R18" s="910"/>
      <c r="S18" s="845"/>
      <c r="T18" s="914"/>
      <c r="U18" s="897"/>
      <c r="V18" s="897"/>
      <c r="W18" s="908"/>
      <c r="X18" s="903"/>
      <c r="Y18" s="906"/>
      <c r="Z18" s="899"/>
      <c r="AA18" s="901"/>
      <c r="AB18" s="897"/>
      <c r="AC18" s="893"/>
      <c r="AD18" s="943"/>
      <c r="AE18" s="916"/>
      <c r="AF18" s="804"/>
      <c r="AG18" s="11"/>
    </row>
    <row r="19" spans="1:33" ht="18.75" customHeight="1" x14ac:dyDescent="0.25">
      <c r="A19" s="98"/>
      <c r="B19" s="12"/>
      <c r="C19" s="12"/>
      <c r="D19" s="12"/>
      <c r="E19" s="55"/>
      <c r="F19" s="12"/>
      <c r="G19" s="46"/>
      <c r="H19" s="173"/>
      <c r="I19" s="173"/>
      <c r="J19" s="173"/>
      <c r="K19" s="173"/>
      <c r="L19" s="173"/>
      <c r="M19" s="173"/>
      <c r="N19" s="173"/>
      <c r="O19" s="173"/>
      <c r="P19" s="173"/>
      <c r="Q19" s="173"/>
      <c r="R19" s="43"/>
      <c r="S19" s="174"/>
      <c r="T19" s="175"/>
      <c r="U19" s="173"/>
      <c r="V19" s="173"/>
      <c r="W19" s="173"/>
      <c r="X19" s="176"/>
      <c r="Y19" s="12"/>
      <c r="Z19" s="174"/>
      <c r="AA19" s="175"/>
      <c r="AB19" s="173"/>
      <c r="AC19" s="173"/>
      <c r="AD19" s="173"/>
      <c r="AE19" s="177"/>
      <c r="AF19" s="43"/>
    </row>
    <row r="20" spans="1:33" ht="18.75" customHeight="1" x14ac:dyDescent="0.25">
      <c r="A20" s="98"/>
      <c r="B20" s="33">
        <v>1</v>
      </c>
      <c r="C20" s="72">
        <f>'PE - PAY'!C21</f>
        <v>0</v>
      </c>
      <c r="D20" s="72" t="e">
        <f>'PE - PAY'!D21</f>
        <v>#N/A</v>
      </c>
      <c r="E20" s="306">
        <f>'PE - PAY'!E21</f>
        <v>0</v>
      </c>
      <c r="F20" s="49">
        <f>'PE - PAY'!L21</f>
        <v>0</v>
      </c>
      <c r="G20" s="36">
        <f>ROUND('PE - PAY'!I21*0.09,2)</f>
        <v>0</v>
      </c>
      <c r="H20" s="88"/>
      <c r="I20" s="88"/>
      <c r="J20" s="88"/>
      <c r="K20" s="88"/>
      <c r="L20" s="88"/>
      <c r="M20" s="88"/>
      <c r="N20" s="88"/>
      <c r="O20" s="88"/>
      <c r="P20" s="88"/>
      <c r="Q20" s="88"/>
      <c r="R20" s="41">
        <f>SUM(G20:Q20)</f>
        <v>0</v>
      </c>
      <c r="S20" s="86"/>
      <c r="T20" s="87"/>
      <c r="U20" s="88"/>
      <c r="V20" s="88"/>
      <c r="W20" s="88"/>
      <c r="X20" s="38">
        <f>SUM(S20:W20)</f>
        <v>0</v>
      </c>
      <c r="Y20" s="49">
        <f>MIN(ROUNDDOWN('PE - PAY'!I21*0.05/2,2),2500)</f>
        <v>0</v>
      </c>
      <c r="Z20" s="86"/>
      <c r="AA20" s="87"/>
      <c r="AB20" s="88"/>
      <c r="AC20" s="88"/>
      <c r="AD20" s="88"/>
      <c r="AE20" s="35">
        <f>SUM(Z20:AD20)</f>
        <v>0</v>
      </c>
      <c r="AF20" s="62">
        <f>SUM(F20,R20,X20,Y20,AE20)</f>
        <v>0</v>
      </c>
    </row>
    <row r="21" spans="1:33" ht="18.75" customHeight="1" x14ac:dyDescent="0.25">
      <c r="A21" s="98"/>
      <c r="B21" s="33">
        <f>+B20+1</f>
        <v>2</v>
      </c>
      <c r="C21" s="72">
        <f>'PE - PAY'!C22</f>
        <v>0</v>
      </c>
      <c r="D21" s="72" t="e">
        <f>'PE - PAY'!D22</f>
        <v>#N/A</v>
      </c>
      <c r="E21" s="306">
        <f>'PE - PAY'!E22</f>
        <v>0</v>
      </c>
      <c r="F21" s="49">
        <f>'PE - PAY'!L22</f>
        <v>0</v>
      </c>
      <c r="G21" s="36">
        <f>ROUND('PE - PAY'!I22*0.09,2)</f>
        <v>0</v>
      </c>
      <c r="H21" s="88"/>
      <c r="I21" s="88"/>
      <c r="J21" s="88"/>
      <c r="K21" s="88"/>
      <c r="L21" s="88"/>
      <c r="M21" s="88"/>
      <c r="N21" s="88"/>
      <c r="O21" s="88"/>
      <c r="P21" s="88"/>
      <c r="Q21" s="88"/>
      <c r="R21" s="41">
        <f>SUM(G21:Q21)</f>
        <v>0</v>
      </c>
      <c r="S21" s="86"/>
      <c r="T21" s="87"/>
      <c r="U21" s="88"/>
      <c r="V21" s="88"/>
      <c r="W21" s="88"/>
      <c r="X21" s="38">
        <f>SUM(S21:W21)</f>
        <v>0</v>
      </c>
      <c r="Y21" s="49">
        <f>MIN(ROUNDDOWN('PE - PAY'!I22*0.05/2,2),2500)</f>
        <v>0</v>
      </c>
      <c r="Z21" s="86"/>
      <c r="AA21" s="87"/>
      <c r="AB21" s="88"/>
      <c r="AC21" s="88"/>
      <c r="AD21" s="88"/>
      <c r="AE21" s="35">
        <f>SUM(Z21:AD21)</f>
        <v>0</v>
      </c>
      <c r="AF21" s="62">
        <f>SUM(F21,R21,X21,Y21,AE21)</f>
        <v>0</v>
      </c>
    </row>
    <row r="22" spans="1:33" ht="18.75" customHeight="1" x14ac:dyDescent="0.25">
      <c r="A22" s="98"/>
      <c r="B22" s="33">
        <f t="shared" ref="B22:B31" si="0">+B11+1</f>
        <v>1</v>
      </c>
      <c r="C22" s="72">
        <f>'PE - PAY'!C23</f>
        <v>0</v>
      </c>
      <c r="D22" s="72" t="e">
        <f>'PE - PAY'!D23</f>
        <v>#N/A</v>
      </c>
      <c r="E22" s="306">
        <f>'PE - PAY'!E23</f>
        <v>0</v>
      </c>
      <c r="F22" s="49">
        <f>'PE - PAY'!L23</f>
        <v>0</v>
      </c>
      <c r="G22" s="36">
        <f>ROUND('PE - PAY'!I23*0.09,2)</f>
        <v>0</v>
      </c>
      <c r="H22" s="88"/>
      <c r="I22" s="88"/>
      <c r="J22" s="88"/>
      <c r="K22" s="88"/>
      <c r="L22" s="88"/>
      <c r="M22" s="88"/>
      <c r="N22" s="88"/>
      <c r="O22" s="88"/>
      <c r="P22" s="88"/>
      <c r="Q22" s="88"/>
      <c r="R22" s="41">
        <f t="shared" ref="R22:R31" si="1">SUM(G22:Q22)</f>
        <v>0</v>
      </c>
      <c r="S22" s="86"/>
      <c r="T22" s="87"/>
      <c r="U22" s="88"/>
      <c r="V22" s="88"/>
      <c r="W22" s="88"/>
      <c r="X22" s="38">
        <f t="shared" ref="X22:X31" si="2">SUM(S22:W22)</f>
        <v>0</v>
      </c>
      <c r="Y22" s="49">
        <f>MIN(ROUNDDOWN('PE - PAY'!I23*0.05/2,2),2500)</f>
        <v>0</v>
      </c>
      <c r="Z22" s="86"/>
      <c r="AA22" s="87"/>
      <c r="AB22" s="88"/>
      <c r="AC22" s="88"/>
      <c r="AD22" s="88"/>
      <c r="AE22" s="35">
        <f t="shared" ref="AE22:AE31" si="3">SUM(Z22:AD22)</f>
        <v>0</v>
      </c>
      <c r="AF22" s="62">
        <f t="shared" ref="AF22:AF31" si="4">SUM(F22,R22,X22,Y22,AE22)</f>
        <v>0</v>
      </c>
    </row>
    <row r="23" spans="1:33" ht="18.75" customHeight="1" x14ac:dyDescent="0.25">
      <c r="A23" s="98"/>
      <c r="B23" s="33" t="e">
        <f t="shared" si="0"/>
        <v>#VALUE!</v>
      </c>
      <c r="C23" s="72">
        <f>'PE - PAY'!C24</f>
        <v>0</v>
      </c>
      <c r="D23" s="72" t="e">
        <f>'PE - PAY'!D24</f>
        <v>#N/A</v>
      </c>
      <c r="E23" s="306" t="e">
        <f>'PE - PAY'!E24</f>
        <v>#VALUE!</v>
      </c>
      <c r="F23" s="49">
        <f>'PE - PAY'!L24</f>
        <v>0</v>
      </c>
      <c r="G23" s="36">
        <f>ROUND('PE - PAY'!I24*0.09,2)</f>
        <v>0</v>
      </c>
      <c r="H23" s="88"/>
      <c r="I23" s="88"/>
      <c r="J23" s="88"/>
      <c r="K23" s="88"/>
      <c r="L23" s="88"/>
      <c r="M23" s="88"/>
      <c r="N23" s="88"/>
      <c r="O23" s="88"/>
      <c r="P23" s="88"/>
      <c r="Q23" s="88"/>
      <c r="R23" s="41">
        <f t="shared" si="1"/>
        <v>0</v>
      </c>
      <c r="S23" s="86"/>
      <c r="T23" s="87"/>
      <c r="U23" s="88"/>
      <c r="V23" s="88"/>
      <c r="W23" s="88"/>
      <c r="X23" s="38">
        <f t="shared" si="2"/>
        <v>0</v>
      </c>
      <c r="Y23" s="49">
        <f>MIN(ROUNDDOWN('PE - PAY'!I24*0.05/2,2),2500)</f>
        <v>0</v>
      </c>
      <c r="Z23" s="86"/>
      <c r="AA23" s="87"/>
      <c r="AB23" s="88"/>
      <c r="AC23" s="88"/>
      <c r="AD23" s="88"/>
      <c r="AE23" s="35">
        <f t="shared" si="3"/>
        <v>0</v>
      </c>
      <c r="AF23" s="62">
        <f t="shared" si="4"/>
        <v>0</v>
      </c>
    </row>
    <row r="24" spans="1:33" ht="18.75" customHeight="1" x14ac:dyDescent="0.25">
      <c r="A24" s="98"/>
      <c r="B24" s="33">
        <f t="shared" si="0"/>
        <v>1</v>
      </c>
      <c r="C24" s="72">
        <f>'PE - PAY'!C25</f>
        <v>0</v>
      </c>
      <c r="D24" s="72" t="e">
        <f>'PE - PAY'!D25</f>
        <v>#N/A</v>
      </c>
      <c r="E24" s="306">
        <f>'PE - PAY'!E25</f>
        <v>0</v>
      </c>
      <c r="F24" s="49">
        <f>'PE - PAY'!L25</f>
        <v>0</v>
      </c>
      <c r="G24" s="36">
        <f>ROUND('PE - PAY'!I25*0.09,2)</f>
        <v>0</v>
      </c>
      <c r="H24" s="88"/>
      <c r="I24" s="88"/>
      <c r="J24" s="88"/>
      <c r="K24" s="88"/>
      <c r="L24" s="88"/>
      <c r="M24" s="88"/>
      <c r="N24" s="88"/>
      <c r="O24" s="88"/>
      <c r="P24" s="88"/>
      <c r="Q24" s="88"/>
      <c r="R24" s="41">
        <f t="shared" si="1"/>
        <v>0</v>
      </c>
      <c r="S24" s="86"/>
      <c r="T24" s="87"/>
      <c r="U24" s="88"/>
      <c r="V24" s="88"/>
      <c r="W24" s="88"/>
      <c r="X24" s="38">
        <f t="shared" si="2"/>
        <v>0</v>
      </c>
      <c r="Y24" s="49">
        <f>MIN(ROUNDDOWN('PE - PAY'!I25*0.05/2,2),2500)</f>
        <v>0</v>
      </c>
      <c r="Z24" s="86"/>
      <c r="AA24" s="87"/>
      <c r="AB24" s="88"/>
      <c r="AC24" s="88"/>
      <c r="AD24" s="88"/>
      <c r="AE24" s="35">
        <f t="shared" si="3"/>
        <v>0</v>
      </c>
      <c r="AF24" s="62">
        <f t="shared" si="4"/>
        <v>0</v>
      </c>
    </row>
    <row r="25" spans="1:33" ht="18.75" customHeight="1" x14ac:dyDescent="0.25">
      <c r="A25" s="98"/>
      <c r="B25" s="33">
        <f t="shared" si="0"/>
        <v>1</v>
      </c>
      <c r="C25" s="72">
        <f>'PE - PAY'!C26</f>
        <v>0</v>
      </c>
      <c r="D25" s="72" t="e">
        <f>'PE - PAY'!D26</f>
        <v>#N/A</v>
      </c>
      <c r="E25" s="306" t="e">
        <f>'PE - PAY'!E26</f>
        <v>#VALUE!</v>
      </c>
      <c r="F25" s="49">
        <f>'PE - PAY'!L26</f>
        <v>0</v>
      </c>
      <c r="G25" s="36">
        <f>ROUND('PE - PAY'!I26*0.09,2)</f>
        <v>0</v>
      </c>
      <c r="H25" s="88"/>
      <c r="I25" s="88"/>
      <c r="J25" s="88"/>
      <c r="K25" s="88"/>
      <c r="L25" s="88"/>
      <c r="M25" s="88"/>
      <c r="N25" s="88"/>
      <c r="O25" s="88"/>
      <c r="P25" s="88"/>
      <c r="Q25" s="88"/>
      <c r="R25" s="41">
        <f t="shared" si="1"/>
        <v>0</v>
      </c>
      <c r="S25" s="86"/>
      <c r="T25" s="87"/>
      <c r="U25" s="88"/>
      <c r="V25" s="88"/>
      <c r="W25" s="88"/>
      <c r="X25" s="38">
        <f t="shared" si="2"/>
        <v>0</v>
      </c>
      <c r="Y25" s="49">
        <f>MIN(ROUNDDOWN('PE - PAY'!I26*0.05/2,2),2500)</f>
        <v>0</v>
      </c>
      <c r="Z25" s="86"/>
      <c r="AA25" s="87"/>
      <c r="AB25" s="88"/>
      <c r="AC25" s="88"/>
      <c r="AD25" s="88"/>
      <c r="AE25" s="35">
        <f t="shared" si="3"/>
        <v>0</v>
      </c>
      <c r="AF25" s="62">
        <f t="shared" si="4"/>
        <v>0</v>
      </c>
    </row>
    <row r="26" spans="1:33" ht="18.75" customHeight="1" x14ac:dyDescent="0.25">
      <c r="A26" s="98"/>
      <c r="B26" s="33">
        <f t="shared" si="0"/>
        <v>1</v>
      </c>
      <c r="C26" s="72">
        <f>'PE - PAY'!C27</f>
        <v>0</v>
      </c>
      <c r="D26" s="72" t="e">
        <f>'PE - PAY'!D27</f>
        <v>#N/A</v>
      </c>
      <c r="E26" s="306">
        <f>'PE - PAY'!E27</f>
        <v>0</v>
      </c>
      <c r="F26" s="49">
        <f>'PE - PAY'!L27</f>
        <v>0</v>
      </c>
      <c r="G26" s="36">
        <f>ROUND('PE - PAY'!I27*0.09,2)</f>
        <v>0</v>
      </c>
      <c r="H26" s="88"/>
      <c r="I26" s="88"/>
      <c r="J26" s="88"/>
      <c r="K26" s="88"/>
      <c r="L26" s="88"/>
      <c r="M26" s="88"/>
      <c r="N26" s="88"/>
      <c r="O26" s="88"/>
      <c r="P26" s="88"/>
      <c r="Q26" s="88"/>
      <c r="R26" s="41">
        <f t="shared" si="1"/>
        <v>0</v>
      </c>
      <c r="S26" s="86"/>
      <c r="T26" s="87"/>
      <c r="U26" s="88"/>
      <c r="V26" s="88"/>
      <c r="W26" s="88"/>
      <c r="X26" s="38">
        <f t="shared" si="2"/>
        <v>0</v>
      </c>
      <c r="Y26" s="49">
        <f>MIN(ROUNDDOWN('PE - PAY'!I27*0.05/2,2),2500)</f>
        <v>0</v>
      </c>
      <c r="Z26" s="86"/>
      <c r="AA26" s="87"/>
      <c r="AB26" s="88"/>
      <c r="AC26" s="88"/>
      <c r="AD26" s="88"/>
      <c r="AE26" s="35">
        <f t="shared" si="3"/>
        <v>0</v>
      </c>
      <c r="AF26" s="62">
        <f t="shared" si="4"/>
        <v>0</v>
      </c>
    </row>
    <row r="27" spans="1:33" ht="18.75" customHeight="1" x14ac:dyDescent="0.25">
      <c r="A27" s="98"/>
      <c r="B27" s="33" t="e">
        <f t="shared" si="0"/>
        <v>#VALUE!</v>
      </c>
      <c r="C27" s="72">
        <f>'PE - PAY'!C28</f>
        <v>0</v>
      </c>
      <c r="D27" s="72" t="e">
        <f>'PE - PAY'!D28</f>
        <v>#N/A</v>
      </c>
      <c r="E27" s="306" t="e">
        <f>'PE - PAY'!E28</f>
        <v>#VALUE!</v>
      </c>
      <c r="F27" s="49">
        <f>'PE - PAY'!L28</f>
        <v>0</v>
      </c>
      <c r="G27" s="36">
        <f>ROUND('PE - PAY'!I28*0.09,2)</f>
        <v>0</v>
      </c>
      <c r="H27" s="88"/>
      <c r="I27" s="88"/>
      <c r="J27" s="88"/>
      <c r="K27" s="88"/>
      <c r="L27" s="88"/>
      <c r="M27" s="88"/>
      <c r="N27" s="88"/>
      <c r="O27" s="88"/>
      <c r="P27" s="88"/>
      <c r="Q27" s="88"/>
      <c r="R27" s="41">
        <f t="shared" si="1"/>
        <v>0</v>
      </c>
      <c r="S27" s="86"/>
      <c r="T27" s="87"/>
      <c r="U27" s="88"/>
      <c r="V27" s="88"/>
      <c r="W27" s="88"/>
      <c r="X27" s="38">
        <f t="shared" si="2"/>
        <v>0</v>
      </c>
      <c r="Y27" s="49">
        <f>MIN(ROUNDDOWN('PE - PAY'!I28*0.05/2,2),2500)</f>
        <v>0</v>
      </c>
      <c r="Z27" s="86"/>
      <c r="AA27" s="87"/>
      <c r="AB27" s="88"/>
      <c r="AC27" s="88"/>
      <c r="AD27" s="88"/>
      <c r="AE27" s="35">
        <f t="shared" si="3"/>
        <v>0</v>
      </c>
      <c r="AF27" s="62">
        <f t="shared" si="4"/>
        <v>0</v>
      </c>
    </row>
    <row r="28" spans="1:33" ht="18.75" customHeight="1" x14ac:dyDescent="0.25">
      <c r="A28" s="98"/>
      <c r="B28" s="33">
        <f t="shared" si="0"/>
        <v>1</v>
      </c>
      <c r="C28" s="72">
        <f>'PE - PAY'!C29</f>
        <v>0</v>
      </c>
      <c r="D28" s="72" t="e">
        <f>'PE - PAY'!D29</f>
        <v>#N/A</v>
      </c>
      <c r="E28" s="306">
        <f>'PE - PAY'!E29</f>
        <v>0</v>
      </c>
      <c r="F28" s="49">
        <f>'PE - PAY'!L29</f>
        <v>0</v>
      </c>
      <c r="G28" s="36">
        <f>ROUND('PE - PAY'!I29*0.09,2)</f>
        <v>0</v>
      </c>
      <c r="H28" s="88"/>
      <c r="I28" s="88"/>
      <c r="J28" s="88"/>
      <c r="K28" s="88"/>
      <c r="L28" s="88"/>
      <c r="M28" s="88"/>
      <c r="N28" s="88"/>
      <c r="O28" s="88"/>
      <c r="P28" s="88"/>
      <c r="Q28" s="88"/>
      <c r="R28" s="41">
        <f t="shared" si="1"/>
        <v>0</v>
      </c>
      <c r="S28" s="86"/>
      <c r="T28" s="87"/>
      <c r="U28" s="88"/>
      <c r="V28" s="88"/>
      <c r="W28" s="88"/>
      <c r="X28" s="38">
        <f t="shared" si="2"/>
        <v>0</v>
      </c>
      <c r="Y28" s="49">
        <f>MIN(ROUNDDOWN('PE - PAY'!I29*0.05/2,2),2500)</f>
        <v>0</v>
      </c>
      <c r="Z28" s="86"/>
      <c r="AA28" s="87"/>
      <c r="AB28" s="88"/>
      <c r="AC28" s="88"/>
      <c r="AD28" s="88"/>
      <c r="AE28" s="35">
        <f t="shared" si="3"/>
        <v>0</v>
      </c>
      <c r="AF28" s="62">
        <f t="shared" si="4"/>
        <v>0</v>
      </c>
    </row>
    <row r="29" spans="1:33" ht="18.75" customHeight="1" x14ac:dyDescent="0.25">
      <c r="A29" s="98"/>
      <c r="B29" s="33">
        <f t="shared" si="0"/>
        <v>1</v>
      </c>
      <c r="C29" s="72">
        <f>'PE - PAY'!C30</f>
        <v>0</v>
      </c>
      <c r="D29" s="72" t="e">
        <f>'PE - PAY'!D30</f>
        <v>#N/A</v>
      </c>
      <c r="E29" s="306">
        <f>'PE - PAY'!E30</f>
        <v>0</v>
      </c>
      <c r="F29" s="49">
        <f>'PE - PAY'!L30</f>
        <v>0</v>
      </c>
      <c r="G29" s="36">
        <f>ROUND('PE - PAY'!I30*0.09,2)</f>
        <v>0</v>
      </c>
      <c r="H29" s="88"/>
      <c r="I29" s="88"/>
      <c r="J29" s="88"/>
      <c r="K29" s="88"/>
      <c r="L29" s="88"/>
      <c r="M29" s="88"/>
      <c r="N29" s="88"/>
      <c r="O29" s="88"/>
      <c r="P29" s="88"/>
      <c r="Q29" s="88"/>
      <c r="R29" s="41">
        <f t="shared" si="1"/>
        <v>0</v>
      </c>
      <c r="S29" s="86"/>
      <c r="T29" s="87"/>
      <c r="U29" s="88"/>
      <c r="V29" s="88"/>
      <c r="W29" s="88"/>
      <c r="X29" s="38">
        <f t="shared" si="2"/>
        <v>0</v>
      </c>
      <c r="Y29" s="49">
        <f>MIN(ROUNDDOWN('PE - PAY'!I30*0.05/2,2),2500)</f>
        <v>0</v>
      </c>
      <c r="Z29" s="86"/>
      <c r="AA29" s="87"/>
      <c r="AB29" s="88"/>
      <c r="AC29" s="88"/>
      <c r="AD29" s="88"/>
      <c r="AE29" s="35">
        <f t="shared" si="3"/>
        <v>0</v>
      </c>
      <c r="AF29" s="62">
        <f t="shared" si="4"/>
        <v>0</v>
      </c>
    </row>
    <row r="30" spans="1:33" ht="18.75" customHeight="1" x14ac:dyDescent="0.25">
      <c r="A30" s="98"/>
      <c r="B30" s="33">
        <f t="shared" si="0"/>
        <v>1</v>
      </c>
      <c r="C30" s="72">
        <f>'PE - PAY'!C31</f>
        <v>0</v>
      </c>
      <c r="D30" s="72" t="e">
        <f>'PE - PAY'!D31</f>
        <v>#N/A</v>
      </c>
      <c r="E30" s="306">
        <f>'PE - PAY'!E31</f>
        <v>0</v>
      </c>
      <c r="F30" s="49">
        <f>'PE - PAY'!L31</f>
        <v>0</v>
      </c>
      <c r="G30" s="36">
        <f>ROUND('PE - PAY'!I31*0.09,2)</f>
        <v>0</v>
      </c>
      <c r="H30" s="88"/>
      <c r="I30" s="88"/>
      <c r="J30" s="88"/>
      <c r="K30" s="88"/>
      <c r="L30" s="88"/>
      <c r="M30" s="88"/>
      <c r="N30" s="88"/>
      <c r="O30" s="88"/>
      <c r="P30" s="88"/>
      <c r="Q30" s="88"/>
      <c r="R30" s="41">
        <f t="shared" si="1"/>
        <v>0</v>
      </c>
      <c r="S30" s="86"/>
      <c r="T30" s="87"/>
      <c r="U30" s="88"/>
      <c r="V30" s="88"/>
      <c r="W30" s="88"/>
      <c r="X30" s="38">
        <f t="shared" si="2"/>
        <v>0</v>
      </c>
      <c r="Y30" s="49">
        <f>MIN(ROUNDDOWN('PE - PAY'!I31*0.05/2,2),2500)</f>
        <v>0</v>
      </c>
      <c r="Z30" s="86"/>
      <c r="AA30" s="87"/>
      <c r="AB30" s="88"/>
      <c r="AC30" s="88"/>
      <c r="AD30" s="88"/>
      <c r="AE30" s="35">
        <f t="shared" si="3"/>
        <v>0</v>
      </c>
      <c r="AF30" s="62">
        <f t="shared" si="4"/>
        <v>0</v>
      </c>
    </row>
    <row r="31" spans="1:33" ht="18.75" customHeight="1" x14ac:dyDescent="0.25">
      <c r="A31" s="98"/>
      <c r="B31" s="33">
        <f t="shared" si="0"/>
        <v>2</v>
      </c>
      <c r="C31" s="72">
        <f>'PE - PAY'!C32</f>
        <v>0</v>
      </c>
      <c r="D31" s="72" t="e">
        <f>'PE - PAY'!D32</f>
        <v>#N/A</v>
      </c>
      <c r="E31" s="306">
        <f>'PE - PAY'!E32</f>
        <v>0</v>
      </c>
      <c r="F31" s="49">
        <f>'PE - PAY'!L32</f>
        <v>0</v>
      </c>
      <c r="G31" s="36">
        <f>ROUND('PE - PAY'!I32*0.09,2)</f>
        <v>0</v>
      </c>
      <c r="H31" s="88"/>
      <c r="I31" s="88"/>
      <c r="J31" s="88"/>
      <c r="K31" s="88"/>
      <c r="L31" s="88"/>
      <c r="M31" s="88"/>
      <c r="N31" s="88"/>
      <c r="O31" s="88"/>
      <c r="P31" s="88"/>
      <c r="Q31" s="88"/>
      <c r="R31" s="41">
        <f t="shared" si="1"/>
        <v>0</v>
      </c>
      <c r="S31" s="86"/>
      <c r="T31" s="87"/>
      <c r="U31" s="88"/>
      <c r="V31" s="88"/>
      <c r="W31" s="88"/>
      <c r="X31" s="38">
        <f t="shared" si="2"/>
        <v>0</v>
      </c>
      <c r="Y31" s="49">
        <f>MIN(ROUNDDOWN('PE - PAY'!I32*0.05/2,2),2500)</f>
        <v>0</v>
      </c>
      <c r="Z31" s="86"/>
      <c r="AA31" s="87"/>
      <c r="AB31" s="88"/>
      <c r="AC31" s="88"/>
      <c r="AD31" s="88"/>
      <c r="AE31" s="35">
        <f t="shared" si="3"/>
        <v>0</v>
      </c>
      <c r="AF31" s="62">
        <f t="shared" si="4"/>
        <v>0</v>
      </c>
    </row>
    <row r="32" spans="1:33" ht="18.75" customHeight="1" x14ac:dyDescent="0.25">
      <c r="A32" s="98"/>
      <c r="B32" s="33">
        <f>+B21+1</f>
        <v>3</v>
      </c>
      <c r="C32" s="72">
        <f>'PE - PAY'!C33</f>
        <v>0</v>
      </c>
      <c r="D32" s="72" t="e">
        <f>'PE - PAY'!D33</f>
        <v>#N/A</v>
      </c>
      <c r="E32" s="306">
        <f>'PE - PAY'!E33</f>
        <v>0</v>
      </c>
      <c r="F32" s="49">
        <f>'PE - PAY'!L33</f>
        <v>0</v>
      </c>
      <c r="G32" s="36">
        <f>ROUND('PE - PAY'!I33*0.09,2)</f>
        <v>0</v>
      </c>
      <c r="H32" s="88"/>
      <c r="I32" s="88"/>
      <c r="J32" s="88"/>
      <c r="K32" s="88"/>
      <c r="L32" s="88"/>
      <c r="M32" s="88"/>
      <c r="N32" s="88"/>
      <c r="O32" s="88"/>
      <c r="P32" s="88"/>
      <c r="Q32" s="88"/>
      <c r="R32" s="41">
        <f>SUM(G32:Q32)</f>
        <v>0</v>
      </c>
      <c r="S32" s="86"/>
      <c r="T32" s="87"/>
      <c r="U32" s="88"/>
      <c r="V32" s="88"/>
      <c r="W32" s="88"/>
      <c r="X32" s="38">
        <f>SUM(S32:W32)</f>
        <v>0</v>
      </c>
      <c r="Y32" s="49">
        <f>MIN(ROUNDDOWN('PE - PAY'!I33*0.05/2,2),2500)</f>
        <v>0</v>
      </c>
      <c r="Z32" s="86"/>
      <c r="AA32" s="87"/>
      <c r="AB32" s="88"/>
      <c r="AC32" s="88"/>
      <c r="AD32" s="88"/>
      <c r="AE32" s="35">
        <f>SUM(Z32:AD32)</f>
        <v>0</v>
      </c>
      <c r="AF32" s="62">
        <f>SUM(F32,R32,X32,Y32,AE32)</f>
        <v>0</v>
      </c>
    </row>
    <row r="33" spans="1:32" ht="18.75" customHeight="1" x14ac:dyDescent="0.25">
      <c r="A33" s="98"/>
      <c r="B33" s="33"/>
      <c r="C33" s="64"/>
      <c r="D33" s="64"/>
      <c r="E33" s="63"/>
      <c r="F33" s="70"/>
      <c r="G33" s="65"/>
      <c r="H33" s="91"/>
      <c r="I33" s="91"/>
      <c r="J33" s="91"/>
      <c r="K33" s="91"/>
      <c r="L33" s="91"/>
      <c r="M33" s="91"/>
      <c r="N33" s="91"/>
      <c r="O33" s="91"/>
      <c r="P33" s="91"/>
      <c r="Q33" s="91"/>
      <c r="R33" s="71"/>
      <c r="S33" s="89"/>
      <c r="T33" s="90"/>
      <c r="U33" s="91"/>
      <c r="V33" s="91"/>
      <c r="W33" s="91"/>
      <c r="X33" s="69"/>
      <c r="Y33" s="70"/>
      <c r="Z33" s="89"/>
      <c r="AA33" s="90"/>
      <c r="AB33" s="91"/>
      <c r="AC33" s="91"/>
      <c r="AD33" s="91"/>
      <c r="AE33" s="67"/>
      <c r="AF33" s="62">
        <f>SUM(F33,R33,X33,Y33,AE33)</f>
        <v>0</v>
      </c>
    </row>
    <row r="34" spans="1:32" ht="18.75" customHeight="1" thickBot="1" x14ac:dyDescent="0.3">
      <c r="A34" s="98"/>
      <c r="B34" s="16"/>
      <c r="C34" s="16"/>
      <c r="D34" s="16"/>
      <c r="E34" s="324"/>
      <c r="F34" s="81">
        <f t="shared" ref="F34:AF34" si="5">SUM(F20:F33)</f>
        <v>0</v>
      </c>
      <c r="G34" s="73">
        <f t="shared" si="5"/>
        <v>0</v>
      </c>
      <c r="H34" s="94">
        <f t="shared" si="5"/>
        <v>0</v>
      </c>
      <c r="I34" s="94">
        <f t="shared" si="5"/>
        <v>0</v>
      </c>
      <c r="J34" s="94">
        <f t="shared" si="5"/>
        <v>0</v>
      </c>
      <c r="K34" s="94">
        <f t="shared" si="5"/>
        <v>0</v>
      </c>
      <c r="L34" s="94">
        <f t="shared" si="5"/>
        <v>0</v>
      </c>
      <c r="M34" s="94">
        <f t="shared" si="5"/>
        <v>0</v>
      </c>
      <c r="N34" s="94">
        <f t="shared" si="5"/>
        <v>0</v>
      </c>
      <c r="O34" s="94">
        <f t="shared" si="5"/>
        <v>0</v>
      </c>
      <c r="P34" s="94">
        <f t="shared" si="5"/>
        <v>0</v>
      </c>
      <c r="Q34" s="94">
        <f t="shared" si="5"/>
        <v>0</v>
      </c>
      <c r="R34" s="74">
        <f t="shared" si="5"/>
        <v>0</v>
      </c>
      <c r="S34" s="95">
        <f t="shared" si="5"/>
        <v>0</v>
      </c>
      <c r="T34" s="96">
        <f t="shared" si="5"/>
        <v>0</v>
      </c>
      <c r="U34" s="94">
        <f t="shared" si="5"/>
        <v>0</v>
      </c>
      <c r="V34" s="94">
        <f t="shared" si="5"/>
        <v>0</v>
      </c>
      <c r="W34" s="94">
        <f t="shared" si="5"/>
        <v>0</v>
      </c>
      <c r="X34" s="80">
        <f t="shared" si="5"/>
        <v>0</v>
      </c>
      <c r="Y34" s="81">
        <f t="shared" si="5"/>
        <v>0</v>
      </c>
      <c r="Z34" s="95">
        <f t="shared" si="5"/>
        <v>0</v>
      </c>
      <c r="AA34" s="96">
        <f t="shared" si="5"/>
        <v>0</v>
      </c>
      <c r="AB34" s="94">
        <f t="shared" si="5"/>
        <v>0</v>
      </c>
      <c r="AC34" s="94">
        <f t="shared" si="5"/>
        <v>0</v>
      </c>
      <c r="AD34" s="94">
        <f t="shared" si="5"/>
        <v>0</v>
      </c>
      <c r="AE34" s="80">
        <f t="shared" si="5"/>
        <v>0</v>
      </c>
      <c r="AF34" s="81">
        <f t="shared" si="5"/>
        <v>0</v>
      </c>
    </row>
    <row r="35" spans="1:32" x14ac:dyDescent="0.25">
      <c r="R35" s="75">
        <f>R34-'PE - PAY'!M35</f>
        <v>0</v>
      </c>
      <c r="X35" s="75">
        <f>X34-'PE - PAY'!N35</f>
        <v>0</v>
      </c>
      <c r="Y35" s="75">
        <f>Y34-'PE - PAY'!O35</f>
        <v>0</v>
      </c>
      <c r="AE35" s="75">
        <f>AE34-'PE - PAY'!P35</f>
        <v>0</v>
      </c>
      <c r="AF35" s="75">
        <f>AF34-'PE - PAY'!Q35</f>
        <v>0</v>
      </c>
    </row>
    <row r="36" spans="1:32" x14ac:dyDescent="0.25">
      <c r="AF36" s="75"/>
    </row>
    <row r="37" spans="1:32" x14ac:dyDescent="0.25">
      <c r="C37" s="820" t="s">
        <v>47</v>
      </c>
      <c r="D37" s="820"/>
    </row>
    <row r="38" spans="1:32" x14ac:dyDescent="0.25">
      <c r="C38" s="827" t="s">
        <v>93</v>
      </c>
      <c r="D38" s="827"/>
    </row>
    <row r="40" spans="1:32" x14ac:dyDescent="0.25">
      <c r="C40" s="32"/>
    </row>
  </sheetData>
  <mergeCells count="48">
    <mergeCell ref="B14:Z14"/>
    <mergeCell ref="AE2:AF2"/>
    <mergeCell ref="B3:AF3"/>
    <mergeCell ref="B4:AF4"/>
    <mergeCell ref="B5:AF5"/>
    <mergeCell ref="B6:AF6"/>
    <mergeCell ref="B8:AF8"/>
    <mergeCell ref="B9:AF9"/>
    <mergeCell ref="B10:AF10"/>
    <mergeCell ref="D11:D13"/>
    <mergeCell ref="B12:C12"/>
    <mergeCell ref="AD12:AF12"/>
    <mergeCell ref="B16:B18"/>
    <mergeCell ref="C16:C18"/>
    <mergeCell ref="D16:D18"/>
    <mergeCell ref="E16:E18"/>
    <mergeCell ref="F16:F18"/>
    <mergeCell ref="S16:X16"/>
    <mergeCell ref="Y16:Y18"/>
    <mergeCell ref="Z16:AE16"/>
    <mergeCell ref="AF16:AF18"/>
    <mergeCell ref="G17:G18"/>
    <mergeCell ref="H17:H18"/>
    <mergeCell ref="I17:I18"/>
    <mergeCell ref="J17:J18"/>
    <mergeCell ref="K17:K18"/>
    <mergeCell ref="L17:L18"/>
    <mergeCell ref="G16:R16"/>
    <mergeCell ref="M17:M18"/>
    <mergeCell ref="N17:N18"/>
    <mergeCell ref="O17:O18"/>
    <mergeCell ref="P17:P18"/>
    <mergeCell ref="AD17:AD18"/>
    <mergeCell ref="AE17:AE18"/>
    <mergeCell ref="C37:D37"/>
    <mergeCell ref="C38:D38"/>
    <mergeCell ref="W17:W18"/>
    <mergeCell ref="X17:X18"/>
    <mergeCell ref="Z17:Z18"/>
    <mergeCell ref="AA17:AA18"/>
    <mergeCell ref="AB17:AB18"/>
    <mergeCell ref="AC17:AC18"/>
    <mergeCell ref="Q17:Q18"/>
    <mergeCell ref="R17:R18"/>
    <mergeCell ref="S17:S18"/>
    <mergeCell ref="T17:T18"/>
    <mergeCell ref="U17:U18"/>
    <mergeCell ref="V17:V18"/>
  </mergeCells>
  <printOptions horizontalCentered="1"/>
  <pageMargins left="0.39370078740157483" right="0.39370078740157483" top="0.39370078740157483" bottom="0.39370078740157483" header="0" footer="0.19685039370078741"/>
  <pageSetup paperSize="14" scale="41" fitToHeight="0" orientation="landscape" r:id="rId1"/>
  <headerFooter alignWithMargins="0">
    <oddHeader>&amp;R&amp;16
Sheet &amp;"Times New Roman,Bold"&amp;U&amp;P&amp;"Times New Roman,Regular"&amp;U of &amp;"Times New Roman,Bold"&amp;U&amp;N&amp;"Times New Roman,Regular"&amp;U Sheet/s</oddHeader>
  </headerFooter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0">
    <tabColor theme="7" tint="-0.249977111117893"/>
  </sheetPr>
  <dimension ref="B2:N33"/>
  <sheetViews>
    <sheetView workbookViewId="0">
      <selection activeCell="C8" sqref="C8:C10"/>
    </sheetView>
  </sheetViews>
  <sheetFormatPr defaultRowHeight="15.75" x14ac:dyDescent="0.25"/>
  <cols>
    <col min="1" max="2" width="9" style="4"/>
    <col min="3" max="3" width="31.625" style="4" bestFit="1" customWidth="1"/>
    <col min="4" max="4" width="21.75" style="4" bestFit="1" customWidth="1"/>
    <col min="5" max="14" width="12.375" style="57" bestFit="1" customWidth="1"/>
    <col min="15" max="16384" width="9" style="4"/>
  </cols>
  <sheetData>
    <row r="2" spans="2:14" ht="27.75" customHeight="1" thickBot="1" x14ac:dyDescent="0.3">
      <c r="B2" s="785" t="s">
        <v>156</v>
      </c>
      <c r="C2" s="785"/>
      <c r="D2" s="785"/>
      <c r="E2" s="785"/>
      <c r="F2" s="785"/>
      <c r="G2" s="785"/>
      <c r="H2" s="785"/>
      <c r="I2" s="785"/>
      <c r="J2" s="785"/>
      <c r="K2" s="785"/>
      <c r="L2" s="785"/>
      <c r="M2" s="785"/>
      <c r="N2" s="785"/>
    </row>
    <row r="3" spans="2:14" ht="27.75" customHeight="1" thickBot="1" x14ac:dyDescent="0.3">
      <c r="B3" s="945" t="s">
        <v>122</v>
      </c>
      <c r="C3" s="945"/>
      <c r="D3" s="945"/>
      <c r="E3" s="945"/>
      <c r="F3" s="945"/>
      <c r="G3" s="945"/>
      <c r="H3" s="945"/>
      <c r="I3" s="945"/>
      <c r="J3" s="945"/>
      <c r="K3" s="945"/>
      <c r="L3" s="945"/>
      <c r="M3" s="945"/>
      <c r="N3" s="945"/>
    </row>
    <row r="4" spans="2:14" x14ac:dyDescent="0.25">
      <c r="B4" s="802" t="s">
        <v>6</v>
      </c>
      <c r="C4" s="806" t="s">
        <v>1</v>
      </c>
      <c r="D4" s="815" t="s">
        <v>2</v>
      </c>
      <c r="E4" s="780" t="s">
        <v>14</v>
      </c>
      <c r="F4" s="780" t="s">
        <v>54</v>
      </c>
      <c r="G4" s="802" t="s">
        <v>157</v>
      </c>
      <c r="H4" s="809" t="s">
        <v>153</v>
      </c>
      <c r="I4" s="810"/>
      <c r="J4" s="810"/>
      <c r="K4" s="810"/>
      <c r="L4" s="810"/>
      <c r="M4" s="810"/>
      <c r="N4" s="811"/>
    </row>
    <row r="5" spans="2:14" ht="16.5" thickBot="1" x14ac:dyDescent="0.3">
      <c r="B5" s="803"/>
      <c r="C5" s="807"/>
      <c r="D5" s="816"/>
      <c r="E5" s="781"/>
      <c r="F5" s="781"/>
      <c r="G5" s="803"/>
      <c r="H5" s="812"/>
      <c r="I5" s="813"/>
      <c r="J5" s="813"/>
      <c r="K5" s="813"/>
      <c r="L5" s="813"/>
      <c r="M5" s="813"/>
      <c r="N5" s="814"/>
    </row>
    <row r="6" spans="2:14" ht="16.5" thickBot="1" x14ac:dyDescent="0.3">
      <c r="B6" s="803"/>
      <c r="C6" s="807"/>
      <c r="D6" s="816"/>
      <c r="E6" s="781"/>
      <c r="F6" s="781"/>
      <c r="G6" s="804"/>
      <c r="H6" s="323" t="s">
        <v>150</v>
      </c>
      <c r="I6" s="319" t="s">
        <v>154</v>
      </c>
      <c r="J6" s="323" t="s">
        <v>151</v>
      </c>
      <c r="K6" s="319" t="s">
        <v>154</v>
      </c>
      <c r="L6" s="323" t="s">
        <v>152</v>
      </c>
      <c r="M6" s="319" t="s">
        <v>154</v>
      </c>
      <c r="N6" s="319" t="s">
        <v>155</v>
      </c>
    </row>
    <row r="7" spans="2:14" x14ac:dyDescent="0.25">
      <c r="B7" s="42"/>
      <c r="C7" s="320"/>
      <c r="D7" s="321"/>
      <c r="E7" s="322"/>
      <c r="F7" s="322"/>
      <c r="G7" s="55"/>
      <c r="H7" s="322"/>
      <c r="I7" s="55"/>
      <c r="J7" s="322"/>
      <c r="K7" s="55"/>
      <c r="L7" s="322"/>
      <c r="M7" s="55"/>
      <c r="N7" s="55"/>
    </row>
    <row r="8" spans="2:14" x14ac:dyDescent="0.25">
      <c r="B8" s="195">
        <v>1</v>
      </c>
      <c r="C8" s="344"/>
      <c r="D8" s="347"/>
      <c r="E8" s="346"/>
      <c r="F8" s="346"/>
      <c r="G8" s="348">
        <f>'RESEARCH - PAY'!I21/31</f>
        <v>0</v>
      </c>
      <c r="H8" s="345"/>
      <c r="I8" s="348">
        <f>ROUND(G8*H8,2)</f>
        <v>0</v>
      </c>
      <c r="J8" s="345"/>
      <c r="K8" s="348">
        <f>ROUND(G8/8*J8,2)</f>
        <v>0</v>
      </c>
      <c r="L8" s="345"/>
      <c r="M8" s="348">
        <f>ROUND(G8/8/60*L8,2)</f>
        <v>0</v>
      </c>
      <c r="N8" s="348">
        <f>I8+K8+M8</f>
        <v>0</v>
      </c>
    </row>
    <row r="9" spans="2:14" x14ac:dyDescent="0.25">
      <c r="B9" s="34">
        <f>+B8+1</f>
        <v>2</v>
      </c>
      <c r="C9" s="186"/>
      <c r="D9" s="305"/>
      <c r="E9" s="309"/>
      <c r="F9" s="331"/>
      <c r="G9" s="328">
        <f>'RESEARCH - PAY'!I22/31</f>
        <v>0</v>
      </c>
      <c r="H9" s="314"/>
      <c r="I9" s="189">
        <f>ROUND(G9*H9,2)</f>
        <v>0</v>
      </c>
      <c r="J9" s="314"/>
      <c r="K9" s="189">
        <f>ROUND(G9/8*J9,2)</f>
        <v>0</v>
      </c>
      <c r="L9" s="314"/>
      <c r="M9" s="189">
        <f>ROUND(G9/8/60*L9,2)</f>
        <v>0</v>
      </c>
      <c r="N9" s="189">
        <f>I9+K9+M9</f>
        <v>0</v>
      </c>
    </row>
    <row r="10" spans="2:14" x14ac:dyDescent="0.25">
      <c r="B10" s="34" t="e">
        <f>+#REF!+1</f>
        <v>#REF!</v>
      </c>
      <c r="C10" s="184"/>
      <c r="D10" s="185"/>
      <c r="E10" s="225"/>
      <c r="F10" s="225"/>
      <c r="G10" s="328">
        <f>'RESEARCH - PAY'!I13/31</f>
        <v>0</v>
      </c>
      <c r="H10" s="313"/>
      <c r="I10" s="328">
        <f t="shared" ref="I10:I19" si="0">ROUND(G10*H10,2)</f>
        <v>0</v>
      </c>
      <c r="J10" s="313"/>
      <c r="K10" s="328">
        <f t="shared" ref="K10:K19" si="1">ROUND(G10/8*J10,2)</f>
        <v>0</v>
      </c>
      <c r="L10" s="313"/>
      <c r="M10" s="328">
        <f t="shared" ref="M10:M19" si="2">ROUND(G10/8/60*L10,2)</f>
        <v>0</v>
      </c>
      <c r="N10" s="328">
        <f t="shared" ref="N10:N19" si="3">I10+K10+M10</f>
        <v>0</v>
      </c>
    </row>
    <row r="11" spans="2:14" x14ac:dyDescent="0.25">
      <c r="B11" s="34" t="e">
        <f>+#REF!+1</f>
        <v>#REF!</v>
      </c>
      <c r="C11" s="184"/>
      <c r="D11" s="185"/>
      <c r="E11" s="225"/>
      <c r="F11" s="225"/>
      <c r="G11" s="328">
        <f>'RESEARCH - PAY'!I14/31</f>
        <v>0</v>
      </c>
      <c r="H11" s="313"/>
      <c r="I11" s="328">
        <f t="shared" si="0"/>
        <v>0</v>
      </c>
      <c r="J11" s="313"/>
      <c r="K11" s="328">
        <f t="shared" si="1"/>
        <v>0</v>
      </c>
      <c r="L11" s="313"/>
      <c r="M11" s="328">
        <f t="shared" si="2"/>
        <v>0</v>
      </c>
      <c r="N11" s="328">
        <f t="shared" si="3"/>
        <v>0</v>
      </c>
    </row>
    <row r="12" spans="2:14" x14ac:dyDescent="0.25">
      <c r="B12" s="34">
        <f t="shared" ref="B12:B19" si="4">+B1+1</f>
        <v>1</v>
      </c>
      <c r="C12" s="184"/>
      <c r="D12" s="185"/>
      <c r="E12" s="225"/>
      <c r="F12" s="225"/>
      <c r="G12" s="328">
        <f>'RESEARCH - PAY'!I15/31</f>
        <v>0</v>
      </c>
      <c r="H12" s="313"/>
      <c r="I12" s="328">
        <f t="shared" si="0"/>
        <v>0</v>
      </c>
      <c r="J12" s="313"/>
      <c r="K12" s="328">
        <f t="shared" si="1"/>
        <v>0</v>
      </c>
      <c r="L12" s="313"/>
      <c r="M12" s="328">
        <f t="shared" si="2"/>
        <v>0</v>
      </c>
      <c r="N12" s="328">
        <f t="shared" si="3"/>
        <v>0</v>
      </c>
    </row>
    <row r="13" spans="2:14" x14ac:dyDescent="0.25">
      <c r="B13" s="34" t="e">
        <f t="shared" si="4"/>
        <v>#VALUE!</v>
      </c>
      <c r="C13" s="184"/>
      <c r="D13" s="185"/>
      <c r="E13" s="225"/>
      <c r="F13" s="225"/>
      <c r="G13" s="328">
        <f>'RESEARCH - PAY'!I16/31</f>
        <v>0</v>
      </c>
      <c r="H13" s="313"/>
      <c r="I13" s="328">
        <f t="shared" si="0"/>
        <v>0</v>
      </c>
      <c r="J13" s="313"/>
      <c r="K13" s="328">
        <f t="shared" si="1"/>
        <v>0</v>
      </c>
      <c r="L13" s="313"/>
      <c r="M13" s="328">
        <f t="shared" si="2"/>
        <v>0</v>
      </c>
      <c r="N13" s="328">
        <f t="shared" si="3"/>
        <v>0</v>
      </c>
    </row>
    <row r="14" spans="2:14" x14ac:dyDescent="0.25">
      <c r="B14" s="34" t="e">
        <f t="shared" si="4"/>
        <v>#VALUE!</v>
      </c>
      <c r="C14" s="184"/>
      <c r="D14" s="185"/>
      <c r="E14" s="225"/>
      <c r="F14" s="225"/>
      <c r="G14" s="328">
        <f>'RESEARCH - PAY'!I17/31</f>
        <v>0</v>
      </c>
      <c r="H14" s="313"/>
      <c r="I14" s="328">
        <f t="shared" si="0"/>
        <v>0</v>
      </c>
      <c r="J14" s="313"/>
      <c r="K14" s="328">
        <f t="shared" si="1"/>
        <v>0</v>
      </c>
      <c r="L14" s="313"/>
      <c r="M14" s="328">
        <f t="shared" si="2"/>
        <v>0</v>
      </c>
      <c r="N14" s="328">
        <f t="shared" si="3"/>
        <v>0</v>
      </c>
    </row>
    <row r="15" spans="2:14" x14ac:dyDescent="0.25">
      <c r="B15" s="34" t="e">
        <f t="shared" si="4"/>
        <v>#VALUE!</v>
      </c>
      <c r="C15" s="184"/>
      <c r="D15" s="185"/>
      <c r="E15" s="225"/>
      <c r="F15" s="225"/>
      <c r="G15" s="328" t="e">
        <f>'RESEARCH - PAY'!I18/31</f>
        <v>#VALUE!</v>
      </c>
      <c r="H15" s="313"/>
      <c r="I15" s="328" t="e">
        <f t="shared" si="0"/>
        <v>#VALUE!</v>
      </c>
      <c r="J15" s="313"/>
      <c r="K15" s="328" t="e">
        <f t="shared" si="1"/>
        <v>#VALUE!</v>
      </c>
      <c r="L15" s="313"/>
      <c r="M15" s="328" t="e">
        <f t="shared" si="2"/>
        <v>#VALUE!</v>
      </c>
      <c r="N15" s="328" t="e">
        <f t="shared" si="3"/>
        <v>#VALUE!</v>
      </c>
    </row>
    <row r="16" spans="2:14" x14ac:dyDescent="0.25">
      <c r="B16" s="34">
        <f t="shared" si="4"/>
        <v>1</v>
      </c>
      <c r="C16" s="184"/>
      <c r="D16" s="185"/>
      <c r="E16" s="225"/>
      <c r="F16" s="225"/>
      <c r="G16" s="328">
        <f>'RESEARCH - PAY'!I19/31</f>
        <v>0</v>
      </c>
      <c r="H16" s="313"/>
      <c r="I16" s="328">
        <f t="shared" si="0"/>
        <v>0</v>
      </c>
      <c r="J16" s="313"/>
      <c r="K16" s="328">
        <f t="shared" si="1"/>
        <v>0</v>
      </c>
      <c r="L16" s="313"/>
      <c r="M16" s="328">
        <f t="shared" si="2"/>
        <v>0</v>
      </c>
      <c r="N16" s="328">
        <f t="shared" si="3"/>
        <v>0</v>
      </c>
    </row>
    <row r="17" spans="2:14" x14ac:dyDescent="0.25">
      <c r="B17" s="34">
        <f t="shared" si="4"/>
        <v>1</v>
      </c>
      <c r="C17" s="184"/>
      <c r="D17" s="185"/>
      <c r="E17" s="225"/>
      <c r="F17" s="225"/>
      <c r="G17" s="328">
        <f>'RESEARCH - PAY'!I20/31</f>
        <v>0</v>
      </c>
      <c r="H17" s="313"/>
      <c r="I17" s="328">
        <f t="shared" si="0"/>
        <v>0</v>
      </c>
      <c r="J17" s="313"/>
      <c r="K17" s="328">
        <f t="shared" si="1"/>
        <v>0</v>
      </c>
      <c r="L17" s="313"/>
      <c r="M17" s="328">
        <f t="shared" si="2"/>
        <v>0</v>
      </c>
      <c r="N17" s="328">
        <f t="shared" si="3"/>
        <v>0</v>
      </c>
    </row>
    <row r="18" spans="2:14" x14ac:dyDescent="0.25">
      <c r="B18" s="34">
        <f t="shared" si="4"/>
        <v>1</v>
      </c>
      <c r="C18" s="184"/>
      <c r="D18" s="185"/>
      <c r="E18" s="225"/>
      <c r="F18" s="225"/>
      <c r="G18" s="328">
        <f>'RESEARCH - PAY'!I21/31</f>
        <v>0</v>
      </c>
      <c r="H18" s="313"/>
      <c r="I18" s="328">
        <f t="shared" si="0"/>
        <v>0</v>
      </c>
      <c r="J18" s="313"/>
      <c r="K18" s="328">
        <f t="shared" si="1"/>
        <v>0</v>
      </c>
      <c r="L18" s="313"/>
      <c r="M18" s="328">
        <f t="shared" si="2"/>
        <v>0</v>
      </c>
      <c r="N18" s="328">
        <f t="shared" si="3"/>
        <v>0</v>
      </c>
    </row>
    <row r="19" spans="2:14" x14ac:dyDescent="0.25">
      <c r="B19" s="34">
        <f t="shared" si="4"/>
        <v>2</v>
      </c>
      <c r="C19" s="184"/>
      <c r="D19" s="185"/>
      <c r="E19" s="225"/>
      <c r="F19" s="225"/>
      <c r="G19" s="328">
        <f>'RESEARCH - PAY'!I22/31</f>
        <v>0</v>
      </c>
      <c r="H19" s="313"/>
      <c r="I19" s="328">
        <f t="shared" si="0"/>
        <v>0</v>
      </c>
      <c r="J19" s="313"/>
      <c r="K19" s="328">
        <f t="shared" si="1"/>
        <v>0</v>
      </c>
      <c r="L19" s="313"/>
      <c r="M19" s="328">
        <f t="shared" si="2"/>
        <v>0</v>
      </c>
      <c r="N19" s="328">
        <f t="shared" si="3"/>
        <v>0</v>
      </c>
    </row>
    <row r="20" spans="2:14" x14ac:dyDescent="0.25">
      <c r="B20" s="34">
        <f>+B9+1</f>
        <v>3</v>
      </c>
      <c r="C20" s="184"/>
      <c r="D20" s="185"/>
      <c r="E20" s="225"/>
      <c r="F20" s="225"/>
      <c r="G20" s="328">
        <f>'RESEARCH - PAY'!I33/31</f>
        <v>0</v>
      </c>
      <c r="H20" s="313"/>
      <c r="I20" s="328">
        <f>ROUND(G20*H20,2)</f>
        <v>0</v>
      </c>
      <c r="J20" s="313"/>
      <c r="K20" s="328">
        <f>ROUND(G20/8*J20,2)</f>
        <v>0</v>
      </c>
      <c r="L20" s="313"/>
      <c r="M20" s="328">
        <f>ROUND(G20/8/60*L20,2)</f>
        <v>0</v>
      </c>
      <c r="N20" s="328">
        <f>I20+K20+M20</f>
        <v>0</v>
      </c>
    </row>
    <row r="21" spans="2:14" ht="16.5" thickBot="1" x14ac:dyDescent="0.3">
      <c r="B21" s="180"/>
      <c r="C21" s="181"/>
      <c r="D21" s="29"/>
      <c r="E21" s="329"/>
      <c r="F21" s="327">
        <f>SUM(F8:F20)</f>
        <v>0</v>
      </c>
      <c r="G21" s="327"/>
      <c r="H21" s="327"/>
      <c r="I21" s="327" t="e">
        <f>SUM(I7:I20)</f>
        <v>#VALUE!</v>
      </c>
      <c r="J21" s="327"/>
      <c r="K21" s="327" t="e">
        <f>SUM(K7:K20)</f>
        <v>#VALUE!</v>
      </c>
      <c r="L21" s="327"/>
      <c r="M21" s="327" t="e">
        <f>SUM(M7:M20)</f>
        <v>#VALUE!</v>
      </c>
      <c r="N21" s="327" t="e">
        <f>SUM(N7:N20)</f>
        <v>#VALUE!</v>
      </c>
    </row>
    <row r="22" spans="2:14" x14ac:dyDescent="0.25">
      <c r="E22" s="205"/>
      <c r="F22" s="205">
        <f>F21-'RESEARCH - PAY'!L35</f>
        <v>0</v>
      </c>
      <c r="G22" s="205"/>
      <c r="H22" s="205"/>
      <c r="I22" s="205"/>
      <c r="J22" s="205"/>
      <c r="K22" s="205"/>
      <c r="L22" s="205"/>
      <c r="M22" s="205"/>
      <c r="N22" s="205" t="e">
        <f>N21-'RESEARCH - PAY'!J35</f>
        <v>#VALUE!</v>
      </c>
    </row>
    <row r="33" spans="2:14" x14ac:dyDescent="0.25">
      <c r="B33" s="6"/>
      <c r="C33" s="349"/>
      <c r="D33" s="349"/>
      <c r="E33" s="350"/>
      <c r="F33" s="350"/>
      <c r="G33" s="350"/>
      <c r="H33" s="351"/>
      <c r="I33" s="350"/>
      <c r="J33" s="351"/>
      <c r="K33" s="350"/>
      <c r="L33" s="351"/>
      <c r="M33" s="350"/>
      <c r="N33" s="350"/>
    </row>
  </sheetData>
  <mergeCells count="9">
    <mergeCell ref="H4:N5"/>
    <mergeCell ref="B2:N2"/>
    <mergeCell ref="B3:N3"/>
    <mergeCell ref="G4:G6"/>
    <mergeCell ref="B4:B6"/>
    <mergeCell ref="C4:C6"/>
    <mergeCell ref="D4:D6"/>
    <mergeCell ref="F4:F6"/>
    <mergeCell ref="E4:E6"/>
  </mergeCell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1">
    <tabColor theme="7" tint="-0.249977111117893"/>
    <pageSetUpPr fitToPage="1"/>
  </sheetPr>
  <dimension ref="A1:Z69"/>
  <sheetViews>
    <sheetView showWhiteSpace="0" topLeftCell="A10" zoomScaleNormal="100" zoomScaleSheetLayoutView="100" workbookViewId="0">
      <selection activeCell="W34" sqref="W34:Y37"/>
    </sheetView>
  </sheetViews>
  <sheetFormatPr defaultRowHeight="30.75" x14ac:dyDescent="0.25"/>
  <cols>
    <col min="1" max="1" width="9.375" style="31" customWidth="1"/>
    <col min="2" max="2" width="6.75" style="4" customWidth="1"/>
    <col min="3" max="3" width="24.625" style="4" customWidth="1"/>
    <col min="4" max="4" width="12.875" style="4" customWidth="1"/>
    <col min="5" max="5" width="9.625" style="57" customWidth="1"/>
    <col min="6" max="6" width="13.375" style="4" customWidth="1"/>
    <col min="7" max="7" width="8.5" style="4" customWidth="1"/>
    <col min="8" max="8" width="9.75" style="4" customWidth="1"/>
    <col min="9" max="9" width="13.125" style="4" customWidth="1"/>
    <col min="10" max="10" width="11.125" style="4" customWidth="1"/>
    <col min="11" max="11" width="12.625" style="4" customWidth="1"/>
    <col min="12" max="13" width="11.5" style="4" customWidth="1"/>
    <col min="14" max="14" width="10.375" style="4" customWidth="1"/>
    <col min="15" max="15" width="11" style="4" bestFit="1" customWidth="1"/>
    <col min="16" max="16" width="11.875" style="4" customWidth="1"/>
    <col min="17" max="17" width="15.125" style="4" bestFit="1" customWidth="1"/>
    <col min="18" max="18" width="13.125" style="4" customWidth="1"/>
    <col min="19" max="19" width="12.75" style="4" customWidth="1"/>
    <col min="20" max="20" width="12.125" style="4" bestFit="1" customWidth="1"/>
    <col min="21" max="21" width="3.75" style="57" customWidth="1"/>
    <col min="22" max="22" width="14.25" style="4" customWidth="1"/>
    <col min="23" max="23" width="10.625" style="4" customWidth="1"/>
    <col min="24" max="24" width="11.625" style="4" bestFit="1" customWidth="1"/>
    <col min="25" max="25" width="11" style="4" bestFit="1" customWidth="1"/>
    <col min="26" max="26" width="5.625" style="4" customWidth="1"/>
    <col min="27" max="16384" width="9" style="4"/>
  </cols>
  <sheetData>
    <row r="1" spans="1:25" ht="23.25" customHeight="1" x14ac:dyDescent="0.25">
      <c r="A1" s="98">
        <v>94</v>
      </c>
      <c r="Q1" s="5"/>
      <c r="R1" s="5"/>
      <c r="S1" s="5"/>
      <c r="T1" s="5"/>
      <c r="U1" s="52"/>
      <c r="V1" s="3"/>
      <c r="W1" s="3"/>
    </row>
    <row r="2" spans="1:25" ht="23.25" x14ac:dyDescent="0.25">
      <c r="A2" s="98"/>
      <c r="Q2" s="5"/>
      <c r="R2" s="5"/>
      <c r="S2" s="5"/>
      <c r="T2" s="5"/>
      <c r="U2" s="53"/>
      <c r="V2" s="2"/>
      <c r="W2" s="2"/>
      <c r="X2" s="864" t="s">
        <v>40</v>
      </c>
      <c r="Y2" s="864"/>
    </row>
    <row r="3" spans="1:25" ht="15.75" customHeight="1" x14ac:dyDescent="0.25">
      <c r="A3" s="98"/>
      <c r="B3" s="877" t="s">
        <v>42</v>
      </c>
      <c r="C3" s="877"/>
      <c r="D3" s="877"/>
      <c r="E3" s="877"/>
      <c r="F3" s="877"/>
      <c r="G3" s="877"/>
      <c r="H3" s="877"/>
      <c r="I3" s="877"/>
      <c r="J3" s="877"/>
      <c r="K3" s="877"/>
      <c r="L3" s="877"/>
      <c r="M3" s="877"/>
      <c r="N3" s="877"/>
      <c r="O3" s="877"/>
      <c r="P3" s="877"/>
      <c r="Q3" s="877"/>
      <c r="R3" s="877"/>
      <c r="S3" s="877"/>
      <c r="T3" s="877"/>
      <c r="U3" s="877"/>
      <c r="V3" s="877"/>
      <c r="W3" s="877"/>
      <c r="X3" s="877"/>
      <c r="Y3" s="877"/>
    </row>
    <row r="4" spans="1:25" ht="15.75" customHeight="1" x14ac:dyDescent="0.25">
      <c r="A4" s="98"/>
      <c r="B4" s="878" t="s">
        <v>43</v>
      </c>
      <c r="C4" s="878"/>
      <c r="D4" s="878"/>
      <c r="E4" s="878"/>
      <c r="F4" s="878"/>
      <c r="G4" s="878"/>
      <c r="H4" s="878"/>
      <c r="I4" s="878"/>
      <c r="J4" s="878"/>
      <c r="K4" s="878"/>
      <c r="L4" s="878"/>
      <c r="M4" s="878"/>
      <c r="N4" s="878"/>
      <c r="O4" s="878"/>
      <c r="P4" s="878"/>
      <c r="Q4" s="878"/>
      <c r="R4" s="878"/>
      <c r="S4" s="878"/>
      <c r="T4" s="878"/>
      <c r="U4" s="878"/>
      <c r="V4" s="878"/>
      <c r="W4" s="878"/>
      <c r="X4" s="878"/>
      <c r="Y4" s="878"/>
    </row>
    <row r="5" spans="1:25" ht="15.75" customHeight="1" x14ac:dyDescent="0.25">
      <c r="A5" s="98"/>
      <c r="B5" s="878" t="s">
        <v>44</v>
      </c>
      <c r="C5" s="878"/>
      <c r="D5" s="878"/>
      <c r="E5" s="878"/>
      <c r="F5" s="878"/>
      <c r="G5" s="878"/>
      <c r="H5" s="878"/>
      <c r="I5" s="878"/>
      <c r="J5" s="878"/>
      <c r="K5" s="878"/>
      <c r="L5" s="878"/>
      <c r="M5" s="878"/>
      <c r="N5" s="878"/>
      <c r="O5" s="878"/>
      <c r="P5" s="878"/>
      <c r="Q5" s="878"/>
      <c r="R5" s="878"/>
      <c r="S5" s="878"/>
      <c r="T5" s="878"/>
      <c r="U5" s="878"/>
      <c r="V5" s="878"/>
      <c r="W5" s="878"/>
      <c r="X5" s="878"/>
      <c r="Y5" s="878"/>
    </row>
    <row r="6" spans="1:25" ht="15.75" customHeight="1" x14ac:dyDescent="0.25">
      <c r="A6" s="98"/>
      <c r="B6" s="877" t="s">
        <v>45</v>
      </c>
      <c r="C6" s="877"/>
      <c r="D6" s="877"/>
      <c r="E6" s="877"/>
      <c r="F6" s="877"/>
      <c r="G6" s="877"/>
      <c r="H6" s="877"/>
      <c r="I6" s="877"/>
      <c r="J6" s="877"/>
      <c r="K6" s="877"/>
      <c r="L6" s="877"/>
      <c r="M6" s="877"/>
      <c r="N6" s="877"/>
      <c r="O6" s="877"/>
      <c r="P6" s="877"/>
      <c r="Q6" s="877"/>
      <c r="R6" s="877"/>
      <c r="S6" s="877"/>
      <c r="T6" s="877"/>
      <c r="U6" s="877"/>
      <c r="V6" s="877"/>
      <c r="W6" s="877"/>
      <c r="X6" s="877"/>
      <c r="Y6" s="877"/>
    </row>
    <row r="7" spans="1:25" ht="15.75" customHeight="1" x14ac:dyDescent="0.25">
      <c r="A7" s="98"/>
      <c r="Q7" s="2"/>
      <c r="R7" s="2"/>
      <c r="S7" s="2"/>
      <c r="T7" s="2"/>
      <c r="U7" s="53"/>
      <c r="V7" s="2"/>
      <c r="W7" s="2"/>
      <c r="X7" s="2"/>
      <c r="Y7" s="2"/>
    </row>
    <row r="8" spans="1:25" ht="22.5" x14ac:dyDescent="0.25">
      <c r="A8" s="98"/>
      <c r="B8" s="882" t="s">
        <v>13</v>
      </c>
      <c r="C8" s="882"/>
      <c r="D8" s="882"/>
      <c r="E8" s="882"/>
      <c r="F8" s="882"/>
      <c r="G8" s="882"/>
      <c r="H8" s="882"/>
      <c r="I8" s="882"/>
      <c r="J8" s="882"/>
      <c r="K8" s="882"/>
      <c r="L8" s="882"/>
      <c r="M8" s="882"/>
      <c r="N8" s="882"/>
      <c r="O8" s="882"/>
      <c r="P8" s="882"/>
      <c r="Q8" s="882"/>
      <c r="R8" s="882"/>
      <c r="S8" s="882"/>
      <c r="T8" s="882"/>
      <c r="U8" s="882"/>
      <c r="V8" s="882"/>
      <c r="W8" s="882"/>
      <c r="X8" s="882"/>
      <c r="Y8" s="882"/>
    </row>
    <row r="9" spans="1:25" ht="20.25" x14ac:dyDescent="0.25">
      <c r="A9" s="98"/>
      <c r="B9" s="867" t="s">
        <v>147</v>
      </c>
      <c r="C9" s="867"/>
      <c r="D9" s="867"/>
      <c r="E9" s="867"/>
      <c r="F9" s="867"/>
      <c r="G9" s="867"/>
      <c r="H9" s="867"/>
      <c r="I9" s="867"/>
      <c r="J9" s="867"/>
      <c r="K9" s="867"/>
      <c r="L9" s="867"/>
      <c r="M9" s="867"/>
      <c r="N9" s="867"/>
      <c r="O9" s="867"/>
      <c r="P9" s="867"/>
      <c r="Q9" s="867"/>
      <c r="R9" s="867"/>
      <c r="S9" s="867"/>
      <c r="T9" s="867"/>
      <c r="U9" s="867"/>
      <c r="V9" s="867"/>
      <c r="W9" s="867"/>
      <c r="X9" s="867"/>
      <c r="Y9" s="867"/>
    </row>
    <row r="10" spans="1:25" ht="20.25" x14ac:dyDescent="0.25">
      <c r="A10" s="98"/>
      <c r="B10" s="879" t="s">
        <v>41</v>
      </c>
      <c r="C10" s="879"/>
      <c r="D10" s="879"/>
      <c r="E10" s="879"/>
      <c r="F10" s="879"/>
      <c r="G10" s="879"/>
      <c r="H10" s="879"/>
      <c r="I10" s="879"/>
      <c r="J10" s="879"/>
      <c r="K10" s="879"/>
      <c r="L10" s="879"/>
      <c r="M10" s="879"/>
      <c r="N10" s="879"/>
      <c r="O10" s="879"/>
      <c r="P10" s="879"/>
      <c r="Q10" s="879"/>
      <c r="R10" s="879"/>
      <c r="S10" s="879"/>
      <c r="T10" s="879"/>
      <c r="U10" s="879"/>
      <c r="V10" s="879"/>
      <c r="W10" s="879"/>
      <c r="X10" s="879"/>
      <c r="Y10" s="879"/>
    </row>
    <row r="11" spans="1:25" ht="20.25" x14ac:dyDescent="0.25">
      <c r="A11" s="98"/>
      <c r="B11" s="879" t="s">
        <v>138</v>
      </c>
      <c r="C11" s="879"/>
      <c r="D11" s="879"/>
      <c r="E11" s="879"/>
      <c r="F11" s="879"/>
      <c r="G11" s="879"/>
      <c r="H11" s="879"/>
      <c r="I11" s="879"/>
      <c r="J11" s="879"/>
      <c r="K11" s="879"/>
      <c r="L11" s="879"/>
      <c r="M11" s="879"/>
      <c r="N11" s="879"/>
      <c r="O11" s="879"/>
      <c r="P11" s="879"/>
      <c r="Q11" s="879"/>
      <c r="R11" s="879"/>
      <c r="S11" s="879"/>
      <c r="T11" s="879"/>
      <c r="U11" s="879"/>
      <c r="V11" s="879"/>
      <c r="W11" s="879"/>
      <c r="X11" s="879"/>
      <c r="Y11" s="879"/>
    </row>
    <row r="12" spans="1:25" ht="15.75" x14ac:dyDescent="0.25">
      <c r="A12" s="98"/>
      <c r="B12" s="9"/>
      <c r="C12" s="6"/>
      <c r="D12" s="866" t="s">
        <v>106</v>
      </c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</row>
    <row r="13" spans="1:25" s="8" customFormat="1" ht="24.95" customHeight="1" x14ac:dyDescent="0.25">
      <c r="A13" s="98"/>
      <c r="B13" s="865" t="s">
        <v>88</v>
      </c>
      <c r="C13" s="865"/>
      <c r="D13" s="867"/>
      <c r="E13" s="178"/>
      <c r="F13" s="169"/>
      <c r="G13" s="169"/>
      <c r="H13" s="169"/>
      <c r="I13" s="169"/>
      <c r="J13" s="169"/>
      <c r="K13" s="169"/>
      <c r="L13" s="169"/>
      <c r="M13" s="169"/>
      <c r="N13" s="169"/>
      <c r="O13" s="169"/>
      <c r="P13" s="169"/>
      <c r="Q13" s="9"/>
      <c r="R13" s="9"/>
      <c r="S13" s="9"/>
      <c r="T13" s="9"/>
      <c r="U13" s="169" t="s">
        <v>103</v>
      </c>
      <c r="V13" s="169"/>
      <c r="W13" s="832" t="str">
        <f>SUMMARY!B17</f>
        <v>2026-01-023</v>
      </c>
      <c r="X13" s="832"/>
      <c r="Y13" s="832"/>
    </row>
    <row r="14" spans="1:25" s="8" customFormat="1" ht="24.95" customHeight="1" x14ac:dyDescent="0.25">
      <c r="A14" s="98"/>
      <c r="B14" s="9"/>
      <c r="C14" s="9"/>
      <c r="D14" s="867"/>
      <c r="E14" s="6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169"/>
      <c r="V14" s="169"/>
      <c r="W14" s="9"/>
      <c r="X14" s="9"/>
      <c r="Y14" s="9"/>
    </row>
    <row r="15" spans="1:25" s="8" customFormat="1" ht="15.75" customHeight="1" x14ac:dyDescent="0.25">
      <c r="A15" s="98"/>
      <c r="B15" s="872" t="s">
        <v>0</v>
      </c>
      <c r="C15" s="872"/>
      <c r="D15" s="872"/>
      <c r="E15" s="872"/>
      <c r="F15" s="872"/>
      <c r="G15" s="872"/>
      <c r="H15" s="872"/>
      <c r="I15" s="872"/>
      <c r="J15" s="872"/>
      <c r="K15" s="872"/>
      <c r="L15" s="872"/>
      <c r="M15" s="872"/>
      <c r="N15" s="872"/>
      <c r="O15" s="872"/>
      <c r="P15" s="872"/>
      <c r="Q15" s="872"/>
      <c r="R15" s="872"/>
      <c r="S15" s="872"/>
      <c r="T15" s="872"/>
      <c r="U15" s="872"/>
      <c r="V15" s="872"/>
      <c r="W15" s="872"/>
      <c r="X15" s="872"/>
      <c r="Y15" s="872"/>
    </row>
    <row r="16" spans="1:25" ht="9" customHeight="1" thickBot="1" x14ac:dyDescent="0.3">
      <c r="A16" s="98"/>
      <c r="B16" s="9"/>
      <c r="C16" s="10"/>
      <c r="D16" s="10"/>
      <c r="E16" s="54"/>
      <c r="F16" s="10"/>
      <c r="G16" s="10"/>
      <c r="H16" s="10"/>
      <c r="I16" s="10"/>
      <c r="J16" s="9"/>
      <c r="K16" s="9"/>
      <c r="L16" s="9"/>
      <c r="M16" s="9"/>
      <c r="N16" s="9"/>
      <c r="O16" s="9"/>
      <c r="P16" s="9"/>
      <c r="Q16" s="10"/>
      <c r="R16" s="10"/>
      <c r="S16" s="10"/>
      <c r="T16" s="10"/>
      <c r="U16" s="54"/>
      <c r="V16" s="10"/>
      <c r="W16" s="10"/>
      <c r="X16" s="10"/>
      <c r="Y16" s="10"/>
    </row>
    <row r="17" spans="1:26" ht="16.5" customHeight="1" thickBot="1" x14ac:dyDescent="0.3">
      <c r="A17" s="98"/>
      <c r="B17" s="802" t="s">
        <v>6</v>
      </c>
      <c r="C17" s="777" t="s">
        <v>1</v>
      </c>
      <c r="D17" s="777" t="s">
        <v>2</v>
      </c>
      <c r="E17" s="802" t="s">
        <v>14</v>
      </c>
      <c r="F17" s="841" t="s">
        <v>4</v>
      </c>
      <c r="G17" s="833"/>
      <c r="H17" s="833"/>
      <c r="I17" s="833"/>
      <c r="J17" s="833"/>
      <c r="K17" s="834"/>
      <c r="L17" s="833" t="s">
        <v>3</v>
      </c>
      <c r="M17" s="833"/>
      <c r="N17" s="833"/>
      <c r="O17" s="833"/>
      <c r="P17" s="833"/>
      <c r="Q17" s="834"/>
      <c r="R17" s="802" t="s">
        <v>16</v>
      </c>
      <c r="S17" s="856" t="s">
        <v>51</v>
      </c>
      <c r="T17" s="861" t="s">
        <v>52</v>
      </c>
      <c r="U17" s="777" t="s">
        <v>59</v>
      </c>
      <c r="V17" s="841" t="s">
        <v>60</v>
      </c>
      <c r="W17" s="833"/>
      <c r="X17" s="833"/>
      <c r="Y17" s="834"/>
      <c r="Z17" s="11"/>
    </row>
    <row r="18" spans="1:26" ht="19.5" customHeight="1" x14ac:dyDescent="0.25">
      <c r="A18" s="98"/>
      <c r="B18" s="803"/>
      <c r="C18" s="778"/>
      <c r="D18" s="778"/>
      <c r="E18" s="803"/>
      <c r="F18" s="844" t="s">
        <v>48</v>
      </c>
      <c r="G18" s="887" t="s">
        <v>50</v>
      </c>
      <c r="H18" s="892" t="s">
        <v>49</v>
      </c>
      <c r="I18" s="859" t="s">
        <v>5</v>
      </c>
      <c r="J18" s="859" t="s">
        <v>53</v>
      </c>
      <c r="K18" s="848" t="s">
        <v>137</v>
      </c>
      <c r="L18" s="873" t="s">
        <v>54</v>
      </c>
      <c r="M18" s="859" t="s">
        <v>55</v>
      </c>
      <c r="N18" s="859" t="s">
        <v>56</v>
      </c>
      <c r="O18" s="890" t="s">
        <v>57</v>
      </c>
      <c r="P18" s="859" t="s">
        <v>58</v>
      </c>
      <c r="Q18" s="846" t="s">
        <v>17</v>
      </c>
      <c r="R18" s="803"/>
      <c r="S18" s="857"/>
      <c r="T18" s="862"/>
      <c r="U18" s="778"/>
      <c r="V18" s="850" t="s">
        <v>61</v>
      </c>
      <c r="W18" s="852" t="s">
        <v>62</v>
      </c>
      <c r="X18" s="883" t="s">
        <v>57</v>
      </c>
      <c r="Y18" s="885" t="s">
        <v>63</v>
      </c>
      <c r="Z18" s="11"/>
    </row>
    <row r="19" spans="1:26" ht="26.25" customHeight="1" thickBot="1" x14ac:dyDescent="0.3">
      <c r="A19" s="98"/>
      <c r="B19" s="803"/>
      <c r="C19" s="778"/>
      <c r="D19" s="778"/>
      <c r="E19" s="803"/>
      <c r="F19" s="845"/>
      <c r="G19" s="888"/>
      <c r="H19" s="893"/>
      <c r="I19" s="860"/>
      <c r="J19" s="860"/>
      <c r="K19" s="849"/>
      <c r="L19" s="874"/>
      <c r="M19" s="860"/>
      <c r="N19" s="860"/>
      <c r="O19" s="891"/>
      <c r="P19" s="860"/>
      <c r="Q19" s="847"/>
      <c r="R19" s="804"/>
      <c r="S19" s="858"/>
      <c r="T19" s="863"/>
      <c r="U19" s="778"/>
      <c r="V19" s="851"/>
      <c r="W19" s="853"/>
      <c r="X19" s="884"/>
      <c r="Y19" s="886"/>
      <c r="Z19" s="11"/>
    </row>
    <row r="20" spans="1:26" ht="18.75" customHeight="1" x14ac:dyDescent="0.25">
      <c r="A20" s="98"/>
      <c r="B20" s="12"/>
      <c r="C20" s="12"/>
      <c r="D20" s="12"/>
      <c r="E20" s="55"/>
      <c r="F20" s="174"/>
      <c r="G20" s="173"/>
      <c r="H20" s="173"/>
      <c r="I20" s="47"/>
      <c r="J20" s="47"/>
      <c r="K20" s="43"/>
      <c r="L20" s="48"/>
      <c r="M20" s="47"/>
      <c r="N20" s="47"/>
      <c r="O20" s="47"/>
      <c r="P20" s="47"/>
      <c r="Q20" s="176"/>
      <c r="R20" s="12"/>
      <c r="S20" s="48"/>
      <c r="T20" s="43"/>
      <c r="U20" s="55"/>
      <c r="V20" s="46"/>
      <c r="W20" s="47"/>
      <c r="X20" s="47"/>
      <c r="Y20" s="43"/>
    </row>
    <row r="21" spans="1:26" ht="18.75" customHeight="1" x14ac:dyDescent="0.25">
      <c r="A21" s="98"/>
      <c r="B21" s="194">
        <v>1</v>
      </c>
      <c r="C21" s="352">
        <f>VLOOKUP(B21,'WTAX-RESEARCH'!B:N,2,0)</f>
        <v>0</v>
      </c>
      <c r="D21" s="352" t="e">
        <f>VLOOKUP(C21,'WTAX-RESEARCH'!C:O,2,0)</f>
        <v>#N/A</v>
      </c>
      <c r="E21" s="353">
        <f>VLOOKUP(B21,'WTAX-RESEARCH'!B:N,4,0)</f>
        <v>0</v>
      </c>
      <c r="F21" s="354"/>
      <c r="G21" s="355"/>
      <c r="H21" s="355"/>
      <c r="I21" s="356">
        <f>SUM(F21:H21)</f>
        <v>0</v>
      </c>
      <c r="J21" s="357">
        <f>'WTAX-RESEARCH'!N8</f>
        <v>0</v>
      </c>
      <c r="K21" s="358">
        <f>ROUND(I21-J21,2)</f>
        <v>0</v>
      </c>
      <c r="L21" s="359">
        <f>'WTAX-RESEARCH'!F8</f>
        <v>0</v>
      </c>
      <c r="M21" s="356">
        <f>'RESEARCH - DEDS'!R20</f>
        <v>0</v>
      </c>
      <c r="N21" s="356">
        <f>'RESEARCH - DEDS'!X20</f>
        <v>0</v>
      </c>
      <c r="O21" s="356">
        <f>'RESEARCH - DEDS'!Y20</f>
        <v>0</v>
      </c>
      <c r="P21" s="356">
        <f>'RESEARCH - DEDS'!AE20</f>
        <v>0</v>
      </c>
      <c r="Q21" s="360">
        <f>ROUND(SUM(L21:P21),2)</f>
        <v>0</v>
      </c>
      <c r="R21" s="361">
        <f>K21-Q21</f>
        <v>0</v>
      </c>
      <c r="S21" s="362">
        <f>ROUND(R21/2,0)</f>
        <v>0</v>
      </c>
      <c r="T21" s="363">
        <f>R21-S21</f>
        <v>0</v>
      </c>
      <c r="U21" s="194">
        <f>B21</f>
        <v>1</v>
      </c>
      <c r="V21" s="364">
        <f>ROUND('RESEARCH - PAY'!I21*0.12,2)</f>
        <v>0</v>
      </c>
      <c r="W21" s="356">
        <v>100</v>
      </c>
      <c r="X21" s="356">
        <f>MIN((I21*0.05)-'RESEARCH - DEDS'!Y20,2500)</f>
        <v>0</v>
      </c>
      <c r="Y21" s="365">
        <v>200</v>
      </c>
    </row>
    <row r="22" spans="1:26" ht="18.75" customHeight="1" x14ac:dyDescent="0.25">
      <c r="A22" s="98"/>
      <c r="B22" s="33">
        <f>+B21+1</f>
        <v>2</v>
      </c>
      <c r="C22" s="72">
        <f>VLOOKUP(B22,'WTAX-RESEARCH'!B:N,2,0)</f>
        <v>0</v>
      </c>
      <c r="D22" s="72" t="e">
        <f>VLOOKUP(C22,'WTAX-RESEARCH'!C:O,2,0)</f>
        <v>#N/A</v>
      </c>
      <c r="E22" s="306">
        <f>VLOOKUP(B22,'WTAX-RESEARCH'!B:N,4,0)</f>
        <v>0</v>
      </c>
      <c r="F22" s="87"/>
      <c r="G22" s="88"/>
      <c r="H22" s="88"/>
      <c r="I22" s="37">
        <f>SUM(F22:H22)</f>
        <v>0</v>
      </c>
      <c r="J22" s="332">
        <f>'WTAX-RESEARCH'!N9</f>
        <v>0</v>
      </c>
      <c r="K22" s="216">
        <f>ROUND(I22-J22,2)</f>
        <v>0</v>
      </c>
      <c r="L22" s="36">
        <f>'WTAX-RESEARCH'!F9</f>
        <v>0</v>
      </c>
      <c r="M22" s="37">
        <f>'RESEARCH - DEDS'!R21</f>
        <v>0</v>
      </c>
      <c r="N22" s="37">
        <f>'RESEARCH - DEDS'!X21</f>
        <v>0</v>
      </c>
      <c r="O22" s="37">
        <f>'RESEARCH - DEDS'!Y21</f>
        <v>0</v>
      </c>
      <c r="P22" s="37">
        <f>'RESEARCH - DEDS'!AE21</f>
        <v>0</v>
      </c>
      <c r="Q22" s="38">
        <f>ROUND(SUM(L22:P22),2)</f>
        <v>0</v>
      </c>
      <c r="R22" s="49">
        <f>K22-Q22</f>
        <v>0</v>
      </c>
      <c r="S22" s="76">
        <f>ROUND(R22/2,0)</f>
        <v>0</v>
      </c>
      <c r="T22" s="77">
        <f>R22-S22</f>
        <v>0</v>
      </c>
      <c r="U22" s="33">
        <f>B22</f>
        <v>2</v>
      </c>
      <c r="V22" s="36">
        <f>ROUND('RESEARCH - PAY'!I22*0.12,2)</f>
        <v>0</v>
      </c>
      <c r="W22" s="37">
        <f>W21</f>
        <v>100</v>
      </c>
      <c r="X22" s="37">
        <f>MIN((I22*0.05)-'RESEARCH - DEDS'!Y21,2500)</f>
        <v>0</v>
      </c>
      <c r="Y22" s="41">
        <f>Y21</f>
        <v>200</v>
      </c>
    </row>
    <row r="23" spans="1:26" ht="18.75" customHeight="1" x14ac:dyDescent="0.25">
      <c r="A23" s="98"/>
      <c r="B23" s="33">
        <f t="shared" ref="B23:B32" si="0">+B12+1</f>
        <v>1</v>
      </c>
      <c r="C23" s="72">
        <f>VLOOKUP(B23,'WTAX-RESEARCH'!B:N,2,0)</f>
        <v>0</v>
      </c>
      <c r="D23" s="72" t="e">
        <f>VLOOKUP(C23,'WTAX-RESEARCH'!C:O,2,0)</f>
        <v>#N/A</v>
      </c>
      <c r="E23" s="306">
        <f>VLOOKUP(B23,'WTAX-RESEARCH'!B:N,4,0)</f>
        <v>0</v>
      </c>
      <c r="F23" s="86"/>
      <c r="G23" s="88"/>
      <c r="H23" s="88"/>
      <c r="I23" s="37">
        <f t="shared" ref="I23:I32" si="1">SUM(F23:H23)</f>
        <v>0</v>
      </c>
      <c r="J23" s="332">
        <f>'WTAX-RESEARCH'!N10</f>
        <v>0</v>
      </c>
      <c r="K23" s="211">
        <f t="shared" ref="K23:K32" si="2">ROUND(I23-J23,2)</f>
        <v>0</v>
      </c>
      <c r="L23" s="40">
        <f>'WTAX-RESEARCH'!F10</f>
        <v>0</v>
      </c>
      <c r="M23" s="37">
        <f>'RESEARCH - DEDS'!R12</f>
        <v>0</v>
      </c>
      <c r="N23" s="37">
        <f>'RESEARCH - DEDS'!X12</f>
        <v>0</v>
      </c>
      <c r="O23" s="37">
        <f>'RESEARCH - DEDS'!Y12</f>
        <v>0</v>
      </c>
      <c r="P23" s="37">
        <f>'RESEARCH - DEDS'!AE12</f>
        <v>0</v>
      </c>
      <c r="Q23" s="38">
        <f t="shared" ref="Q23:Q32" si="3">ROUND(SUM(L23:P23),2)</f>
        <v>0</v>
      </c>
      <c r="R23" s="49">
        <f t="shared" ref="R23:R32" si="4">K23-Q23</f>
        <v>0</v>
      </c>
      <c r="S23" s="76">
        <f t="shared" ref="S23:S32" si="5">ROUND(R23/2,0)</f>
        <v>0</v>
      </c>
      <c r="T23" s="77">
        <f t="shared" ref="T23:T32" si="6">R23-S23</f>
        <v>0</v>
      </c>
      <c r="U23" s="33">
        <f t="shared" ref="U23:U32" si="7">B23</f>
        <v>1</v>
      </c>
      <c r="V23" s="36">
        <f>ROUND('RESEARCH - PAY'!I23*0.12,2)</f>
        <v>0</v>
      </c>
      <c r="W23" s="37">
        <f t="shared" ref="W23:W32" si="8">W12</f>
        <v>0</v>
      </c>
      <c r="X23" s="37">
        <f>MIN((I23*0.05)-'RESEARCH - DEDS'!Y12,2500)</f>
        <v>0</v>
      </c>
      <c r="Y23" s="41">
        <f t="shared" ref="Y23:Y32" si="9">Y12</f>
        <v>0</v>
      </c>
    </row>
    <row r="24" spans="1:26" ht="18.75" customHeight="1" x14ac:dyDescent="0.25">
      <c r="A24" s="98"/>
      <c r="B24" s="33" t="e">
        <f t="shared" si="0"/>
        <v>#VALUE!</v>
      </c>
      <c r="C24" s="72" t="e">
        <f>VLOOKUP(B24,'WTAX-RESEARCH'!B:N,2,0)</f>
        <v>#VALUE!</v>
      </c>
      <c r="D24" s="72" t="e">
        <f>VLOOKUP(C24,'WTAX-RESEARCH'!C:O,2,0)</f>
        <v>#VALUE!</v>
      </c>
      <c r="E24" s="306" t="e">
        <f>VLOOKUP(B24,'WTAX-RESEARCH'!B:N,4,0)</f>
        <v>#VALUE!</v>
      </c>
      <c r="F24" s="86"/>
      <c r="G24" s="88"/>
      <c r="H24" s="88"/>
      <c r="I24" s="37">
        <f t="shared" si="1"/>
        <v>0</v>
      </c>
      <c r="J24" s="332">
        <f>'WTAX-RESEARCH'!N11</f>
        <v>0</v>
      </c>
      <c r="K24" s="211">
        <f t="shared" si="2"/>
        <v>0</v>
      </c>
      <c r="L24" s="40">
        <f>'WTAX-RESEARCH'!F11</f>
        <v>0</v>
      </c>
      <c r="M24" s="37">
        <f>'RESEARCH - DEDS'!R13</f>
        <v>0</v>
      </c>
      <c r="N24" s="37">
        <f>'RESEARCH - DEDS'!X13</f>
        <v>0</v>
      </c>
      <c r="O24" s="37">
        <f>'RESEARCH - DEDS'!Y13</f>
        <v>0</v>
      </c>
      <c r="P24" s="37">
        <f>'RESEARCH - DEDS'!AE13</f>
        <v>0</v>
      </c>
      <c r="Q24" s="38">
        <f t="shared" si="3"/>
        <v>0</v>
      </c>
      <c r="R24" s="49">
        <f t="shared" si="4"/>
        <v>0</v>
      </c>
      <c r="S24" s="76">
        <f t="shared" si="5"/>
        <v>0</v>
      </c>
      <c r="T24" s="77">
        <f t="shared" si="6"/>
        <v>0</v>
      </c>
      <c r="U24" s="33" t="e">
        <f t="shared" si="7"/>
        <v>#VALUE!</v>
      </c>
      <c r="V24" s="36">
        <f>ROUND('RESEARCH - PAY'!I24*0.12,2)</f>
        <v>0</v>
      </c>
      <c r="W24" s="37" t="str">
        <f t="shared" si="8"/>
        <v>2026-01-023</v>
      </c>
      <c r="X24" s="37">
        <f>MIN((I24*0.05)-'RESEARCH - DEDS'!Y13,2500)</f>
        <v>0</v>
      </c>
      <c r="Y24" s="41">
        <f t="shared" si="9"/>
        <v>0</v>
      </c>
    </row>
    <row r="25" spans="1:26" ht="18.75" customHeight="1" x14ac:dyDescent="0.25">
      <c r="A25" s="98"/>
      <c r="B25" s="33">
        <f t="shared" si="0"/>
        <v>1</v>
      </c>
      <c r="C25" s="72">
        <f>VLOOKUP(B25,'WTAX-RESEARCH'!B:N,2,0)</f>
        <v>0</v>
      </c>
      <c r="D25" s="72" t="e">
        <f>VLOOKUP(C25,'WTAX-RESEARCH'!C:O,2,0)</f>
        <v>#N/A</v>
      </c>
      <c r="E25" s="306">
        <f>VLOOKUP(B25,'WTAX-RESEARCH'!B:N,4,0)</f>
        <v>0</v>
      </c>
      <c r="F25" s="86"/>
      <c r="G25" s="88"/>
      <c r="H25" s="88"/>
      <c r="I25" s="37">
        <f t="shared" si="1"/>
        <v>0</v>
      </c>
      <c r="J25" s="332">
        <f>'WTAX-RESEARCH'!N12</f>
        <v>0</v>
      </c>
      <c r="K25" s="211">
        <f t="shared" si="2"/>
        <v>0</v>
      </c>
      <c r="L25" s="40">
        <f>'WTAX-RESEARCH'!F12</f>
        <v>0</v>
      </c>
      <c r="M25" s="37">
        <f>'RESEARCH - DEDS'!R14</f>
        <v>0</v>
      </c>
      <c r="N25" s="37">
        <f>'RESEARCH - DEDS'!X14</f>
        <v>0</v>
      </c>
      <c r="O25" s="37">
        <f>'RESEARCH - DEDS'!Y14</f>
        <v>0</v>
      </c>
      <c r="P25" s="37">
        <f>'RESEARCH - DEDS'!AE14</f>
        <v>0</v>
      </c>
      <c r="Q25" s="38">
        <f t="shared" si="3"/>
        <v>0</v>
      </c>
      <c r="R25" s="49">
        <f t="shared" si="4"/>
        <v>0</v>
      </c>
      <c r="S25" s="76">
        <f t="shared" si="5"/>
        <v>0</v>
      </c>
      <c r="T25" s="77">
        <f t="shared" si="6"/>
        <v>0</v>
      </c>
      <c r="U25" s="33">
        <f t="shared" si="7"/>
        <v>1</v>
      </c>
      <c r="V25" s="36">
        <f>ROUND('RESEARCH - PAY'!I25*0.12,2)</f>
        <v>0</v>
      </c>
      <c r="W25" s="37">
        <f t="shared" si="8"/>
        <v>0</v>
      </c>
      <c r="X25" s="37">
        <f>MIN((I25*0.05)-'RESEARCH - DEDS'!Y14,2500)</f>
        <v>0</v>
      </c>
      <c r="Y25" s="41">
        <f t="shared" si="9"/>
        <v>0</v>
      </c>
    </row>
    <row r="26" spans="1:26" ht="18.75" customHeight="1" x14ac:dyDescent="0.25">
      <c r="A26" s="98"/>
      <c r="B26" s="33" t="e">
        <f t="shared" si="0"/>
        <v>#VALUE!</v>
      </c>
      <c r="C26" s="72" t="e">
        <f>VLOOKUP(B26,'WTAX-RESEARCH'!B:N,2,0)</f>
        <v>#VALUE!</v>
      </c>
      <c r="D26" s="72" t="e">
        <f>VLOOKUP(C26,'WTAX-RESEARCH'!C:O,2,0)</f>
        <v>#VALUE!</v>
      </c>
      <c r="E26" s="306" t="e">
        <f>VLOOKUP(B26,'WTAX-RESEARCH'!B:N,4,0)</f>
        <v>#VALUE!</v>
      </c>
      <c r="F26" s="86"/>
      <c r="G26" s="88"/>
      <c r="H26" s="88"/>
      <c r="I26" s="37">
        <f t="shared" si="1"/>
        <v>0</v>
      </c>
      <c r="J26" s="332">
        <f>'WTAX-RESEARCH'!N13</f>
        <v>0</v>
      </c>
      <c r="K26" s="211">
        <f t="shared" si="2"/>
        <v>0</v>
      </c>
      <c r="L26" s="40">
        <f>'WTAX-RESEARCH'!F13</f>
        <v>0</v>
      </c>
      <c r="M26" s="37">
        <f>'RESEARCH - DEDS'!R15</f>
        <v>0</v>
      </c>
      <c r="N26" s="37">
        <f>'RESEARCH - DEDS'!X15</f>
        <v>0</v>
      </c>
      <c r="O26" s="37">
        <f>'RESEARCH - DEDS'!Y15</f>
        <v>0</v>
      </c>
      <c r="P26" s="37">
        <f>'RESEARCH - DEDS'!AE15</f>
        <v>0</v>
      </c>
      <c r="Q26" s="38">
        <f t="shared" si="3"/>
        <v>0</v>
      </c>
      <c r="R26" s="49">
        <f t="shared" si="4"/>
        <v>0</v>
      </c>
      <c r="S26" s="76">
        <f t="shared" si="5"/>
        <v>0</v>
      </c>
      <c r="T26" s="77">
        <f t="shared" si="6"/>
        <v>0</v>
      </c>
      <c r="U26" s="33" t="e">
        <f t="shared" si="7"/>
        <v>#VALUE!</v>
      </c>
      <c r="V26" s="36">
        <f>ROUND('RESEARCH - PAY'!I26*0.12,2)</f>
        <v>0</v>
      </c>
      <c r="W26" s="37">
        <f t="shared" si="8"/>
        <v>0</v>
      </c>
      <c r="X26" s="37">
        <f>MIN((I26*0.05)-'RESEARCH - DEDS'!Y15,2500)</f>
        <v>0</v>
      </c>
      <c r="Y26" s="41">
        <f t="shared" si="9"/>
        <v>0</v>
      </c>
    </row>
    <row r="27" spans="1:26" ht="18.75" customHeight="1" x14ac:dyDescent="0.25">
      <c r="A27" s="98"/>
      <c r="B27" s="33">
        <f t="shared" si="0"/>
        <v>1</v>
      </c>
      <c r="C27" s="72">
        <f>VLOOKUP(B27,'WTAX-RESEARCH'!B:N,2,0)</f>
        <v>0</v>
      </c>
      <c r="D27" s="72" t="e">
        <f>VLOOKUP(C27,'WTAX-RESEARCH'!C:O,2,0)</f>
        <v>#N/A</v>
      </c>
      <c r="E27" s="306">
        <f>VLOOKUP(B27,'WTAX-RESEARCH'!B:N,4,0)</f>
        <v>0</v>
      </c>
      <c r="F27" s="86"/>
      <c r="G27" s="88"/>
      <c r="H27" s="88"/>
      <c r="I27" s="37">
        <f t="shared" si="1"/>
        <v>0</v>
      </c>
      <c r="J27" s="332">
        <f>'WTAX-RESEARCH'!N14</f>
        <v>0</v>
      </c>
      <c r="K27" s="211">
        <f t="shared" si="2"/>
        <v>0</v>
      </c>
      <c r="L27" s="40">
        <f>'WTAX-RESEARCH'!F14</f>
        <v>0</v>
      </c>
      <c r="M27" s="37">
        <f>'RESEARCH - DEDS'!R16</f>
        <v>0</v>
      </c>
      <c r="N27" s="37">
        <f>'RESEARCH - DEDS'!X16</f>
        <v>0</v>
      </c>
      <c r="O27" s="37" t="str">
        <f>'RESEARCH - DEDS'!Y16</f>
        <v>PHILHEALTH</v>
      </c>
      <c r="P27" s="37">
        <f>'RESEARCH - DEDS'!AE16</f>
        <v>0</v>
      </c>
      <c r="Q27" s="38">
        <f t="shared" si="3"/>
        <v>0</v>
      </c>
      <c r="R27" s="49">
        <f t="shared" si="4"/>
        <v>0</v>
      </c>
      <c r="S27" s="76">
        <f t="shared" si="5"/>
        <v>0</v>
      </c>
      <c r="T27" s="77">
        <f t="shared" si="6"/>
        <v>0</v>
      </c>
      <c r="U27" s="33">
        <f t="shared" si="7"/>
        <v>1</v>
      </c>
      <c r="V27" s="36">
        <f>ROUND('RESEARCH - PAY'!I27*0.12,2)</f>
        <v>0</v>
      </c>
      <c r="W27" s="37">
        <f t="shared" si="8"/>
        <v>0</v>
      </c>
      <c r="X27" s="37" t="e">
        <f>MIN((I27*0.05)-'RESEARCH - DEDS'!Y16,2500)</f>
        <v>#VALUE!</v>
      </c>
      <c r="Y27" s="41">
        <f t="shared" si="9"/>
        <v>0</v>
      </c>
    </row>
    <row r="28" spans="1:26" ht="18.75" customHeight="1" x14ac:dyDescent="0.25">
      <c r="A28" s="98"/>
      <c r="B28" s="33" t="e">
        <f t="shared" si="0"/>
        <v>#VALUE!</v>
      </c>
      <c r="C28" s="72" t="e">
        <f>VLOOKUP(B28,'WTAX-RESEARCH'!B:N,2,0)</f>
        <v>#VALUE!</v>
      </c>
      <c r="D28" s="72" t="e">
        <f>VLOOKUP(C28,'WTAX-RESEARCH'!C:O,2,0)</f>
        <v>#VALUE!</v>
      </c>
      <c r="E28" s="306" t="e">
        <f>VLOOKUP(B28,'WTAX-RESEARCH'!B:N,4,0)</f>
        <v>#VALUE!</v>
      </c>
      <c r="F28" s="86"/>
      <c r="G28" s="88"/>
      <c r="H28" s="88"/>
      <c r="I28" s="37">
        <f t="shared" si="1"/>
        <v>0</v>
      </c>
      <c r="J28" s="332" t="e">
        <f>'WTAX-RESEARCH'!N15</f>
        <v>#VALUE!</v>
      </c>
      <c r="K28" s="211" t="e">
        <f t="shared" si="2"/>
        <v>#VALUE!</v>
      </c>
      <c r="L28" s="40">
        <f>'WTAX-RESEARCH'!F15</f>
        <v>0</v>
      </c>
      <c r="M28" s="37" t="str">
        <f>'RESEARCH - DEDS'!R17</f>
        <v>TOTAL GSIS DEDS.</v>
      </c>
      <c r="N28" s="37" t="str">
        <f>'RESEARCH - DEDS'!X17</f>
        <v>TOTAL PAG-IBIG DEDS.</v>
      </c>
      <c r="O28" s="37">
        <f>'RESEARCH - DEDS'!Y17</f>
        <v>0</v>
      </c>
      <c r="P28" s="37" t="str">
        <f>'RESEARCH - DEDS'!AE17</f>
        <v>TOTAL OTHER DEDS.</v>
      </c>
      <c r="Q28" s="38">
        <f t="shared" si="3"/>
        <v>0</v>
      </c>
      <c r="R28" s="49" t="e">
        <f t="shared" si="4"/>
        <v>#VALUE!</v>
      </c>
      <c r="S28" s="76" t="e">
        <f t="shared" si="5"/>
        <v>#VALUE!</v>
      </c>
      <c r="T28" s="77" t="e">
        <f t="shared" si="6"/>
        <v>#VALUE!</v>
      </c>
      <c r="U28" s="33" t="e">
        <f t="shared" si="7"/>
        <v>#VALUE!</v>
      </c>
      <c r="V28" s="36">
        <f>ROUND('RESEARCH - PAY'!I28*0.12,2)</f>
        <v>0</v>
      </c>
      <c r="W28" s="37">
        <f t="shared" si="8"/>
        <v>0</v>
      </c>
      <c r="X28" s="37">
        <f>MIN((I28*0.05)-'RESEARCH - DEDS'!Y17,2500)</f>
        <v>0</v>
      </c>
      <c r="Y28" s="41">
        <f t="shared" si="9"/>
        <v>0</v>
      </c>
    </row>
    <row r="29" spans="1:26" ht="18.75" customHeight="1" x14ac:dyDescent="0.25">
      <c r="A29" s="98"/>
      <c r="B29" s="33">
        <f t="shared" si="0"/>
        <v>1</v>
      </c>
      <c r="C29" s="72">
        <f>VLOOKUP(B29,'WTAX-RESEARCH'!B:N,2,0)</f>
        <v>0</v>
      </c>
      <c r="D29" s="72" t="e">
        <f>VLOOKUP(C29,'WTAX-RESEARCH'!C:O,2,0)</f>
        <v>#N/A</v>
      </c>
      <c r="E29" s="306">
        <f>VLOOKUP(B29,'WTAX-RESEARCH'!B:N,4,0)</f>
        <v>0</v>
      </c>
      <c r="F29" s="86"/>
      <c r="G29" s="88"/>
      <c r="H29" s="88"/>
      <c r="I29" s="37">
        <f t="shared" si="1"/>
        <v>0</v>
      </c>
      <c r="J29" s="332">
        <f>'WTAX-RESEARCH'!N16</f>
        <v>0</v>
      </c>
      <c r="K29" s="211">
        <f t="shared" si="2"/>
        <v>0</v>
      </c>
      <c r="L29" s="40">
        <f>'WTAX-RESEARCH'!F16</f>
        <v>0</v>
      </c>
      <c r="M29" s="37">
        <f>'RESEARCH - DEDS'!R18</f>
        <v>0</v>
      </c>
      <c r="N29" s="37">
        <f>'RESEARCH - DEDS'!X18</f>
        <v>0</v>
      </c>
      <c r="O29" s="37">
        <f>'RESEARCH - DEDS'!Y18</f>
        <v>0</v>
      </c>
      <c r="P29" s="37">
        <f>'RESEARCH - DEDS'!AE18</f>
        <v>0</v>
      </c>
      <c r="Q29" s="38">
        <f t="shared" si="3"/>
        <v>0</v>
      </c>
      <c r="R29" s="49">
        <f t="shared" si="4"/>
        <v>0</v>
      </c>
      <c r="S29" s="76">
        <f t="shared" si="5"/>
        <v>0</v>
      </c>
      <c r="T29" s="77">
        <f t="shared" si="6"/>
        <v>0</v>
      </c>
      <c r="U29" s="33">
        <f t="shared" si="7"/>
        <v>1</v>
      </c>
      <c r="V29" s="36">
        <f>ROUND('RESEARCH - PAY'!I29*0.12,2)</f>
        <v>0</v>
      </c>
      <c r="W29" s="37" t="str">
        <f t="shared" si="8"/>
        <v>EC</v>
      </c>
      <c r="X29" s="37">
        <f>MIN((I29*0.05)-'RESEARCH - DEDS'!Y18,2500)</f>
        <v>0</v>
      </c>
      <c r="Y29" s="41" t="str">
        <f t="shared" si="9"/>
        <v>PAG-IBIG</v>
      </c>
    </row>
    <row r="30" spans="1:26" ht="18.75" customHeight="1" x14ac:dyDescent="0.25">
      <c r="A30" s="98"/>
      <c r="B30" s="33">
        <f t="shared" si="0"/>
        <v>1</v>
      </c>
      <c r="C30" s="72">
        <f>VLOOKUP(B30,'WTAX-RESEARCH'!B:N,2,0)</f>
        <v>0</v>
      </c>
      <c r="D30" s="72" t="e">
        <f>VLOOKUP(C30,'WTAX-RESEARCH'!C:O,2,0)</f>
        <v>#N/A</v>
      </c>
      <c r="E30" s="306">
        <f>VLOOKUP(B30,'WTAX-RESEARCH'!B:N,4,0)</f>
        <v>0</v>
      </c>
      <c r="F30" s="86"/>
      <c r="G30" s="88"/>
      <c r="H30" s="88"/>
      <c r="I30" s="37">
        <f t="shared" si="1"/>
        <v>0</v>
      </c>
      <c r="J30" s="332">
        <f>'WTAX-RESEARCH'!N17</f>
        <v>0</v>
      </c>
      <c r="K30" s="211">
        <f t="shared" si="2"/>
        <v>0</v>
      </c>
      <c r="L30" s="40">
        <f>'WTAX-RESEARCH'!F17</f>
        <v>0</v>
      </c>
      <c r="M30" s="37">
        <f>'RESEARCH - DEDS'!R19</f>
        <v>0</v>
      </c>
      <c r="N30" s="37">
        <f>'RESEARCH - DEDS'!X19</f>
        <v>0</v>
      </c>
      <c r="O30" s="37">
        <f>'RESEARCH - DEDS'!Y19</f>
        <v>0</v>
      </c>
      <c r="P30" s="37">
        <f>'RESEARCH - DEDS'!AE19</f>
        <v>0</v>
      </c>
      <c r="Q30" s="38">
        <f t="shared" si="3"/>
        <v>0</v>
      </c>
      <c r="R30" s="49">
        <f t="shared" si="4"/>
        <v>0</v>
      </c>
      <c r="S30" s="76">
        <f t="shared" si="5"/>
        <v>0</v>
      </c>
      <c r="T30" s="77">
        <f t="shared" si="6"/>
        <v>0</v>
      </c>
      <c r="U30" s="33">
        <f t="shared" si="7"/>
        <v>1</v>
      </c>
      <c r="V30" s="36">
        <f>ROUND('RESEARCH - PAY'!I30*0.12,2)</f>
        <v>0</v>
      </c>
      <c r="W30" s="37">
        <f t="shared" si="8"/>
        <v>0</v>
      </c>
      <c r="X30" s="37">
        <f>MIN((I30*0.05)-'RESEARCH - DEDS'!Y19,2500)</f>
        <v>0</v>
      </c>
      <c r="Y30" s="41">
        <f t="shared" si="9"/>
        <v>0</v>
      </c>
    </row>
    <row r="31" spans="1:26" ht="18.75" customHeight="1" x14ac:dyDescent="0.25">
      <c r="A31" s="98"/>
      <c r="B31" s="33">
        <f t="shared" si="0"/>
        <v>1</v>
      </c>
      <c r="C31" s="72">
        <f>VLOOKUP(B31,'WTAX-RESEARCH'!B:N,2,0)</f>
        <v>0</v>
      </c>
      <c r="D31" s="72" t="e">
        <f>VLOOKUP(C31,'WTAX-RESEARCH'!C:O,2,0)</f>
        <v>#N/A</v>
      </c>
      <c r="E31" s="306">
        <f>VLOOKUP(B31,'WTAX-RESEARCH'!B:N,4,0)</f>
        <v>0</v>
      </c>
      <c r="F31" s="86"/>
      <c r="G31" s="88"/>
      <c r="H31" s="88"/>
      <c r="I31" s="37">
        <f t="shared" si="1"/>
        <v>0</v>
      </c>
      <c r="J31" s="332">
        <f>'WTAX-RESEARCH'!N18</f>
        <v>0</v>
      </c>
      <c r="K31" s="211">
        <f t="shared" si="2"/>
        <v>0</v>
      </c>
      <c r="L31" s="40">
        <f>'WTAX-RESEARCH'!F18</f>
        <v>0</v>
      </c>
      <c r="M31" s="37">
        <f>'RESEARCH - DEDS'!R20</f>
        <v>0</v>
      </c>
      <c r="N31" s="37">
        <f>'RESEARCH - DEDS'!X20</f>
        <v>0</v>
      </c>
      <c r="O31" s="37">
        <f>'RESEARCH - DEDS'!Y20</f>
        <v>0</v>
      </c>
      <c r="P31" s="37">
        <f>'RESEARCH - DEDS'!AE20</f>
        <v>0</v>
      </c>
      <c r="Q31" s="38">
        <f t="shared" si="3"/>
        <v>0</v>
      </c>
      <c r="R31" s="49">
        <f t="shared" si="4"/>
        <v>0</v>
      </c>
      <c r="S31" s="76">
        <f t="shared" si="5"/>
        <v>0</v>
      </c>
      <c r="T31" s="77">
        <f t="shared" si="6"/>
        <v>0</v>
      </c>
      <c r="U31" s="33">
        <f t="shared" si="7"/>
        <v>1</v>
      </c>
      <c r="V31" s="36">
        <f>ROUND('RESEARCH - PAY'!I31*0.12,2)</f>
        <v>0</v>
      </c>
      <c r="W31" s="37">
        <f t="shared" si="8"/>
        <v>0</v>
      </c>
      <c r="X31" s="37">
        <f>MIN((I31*0.05)-'RESEARCH - DEDS'!Y20,2500)</f>
        <v>0</v>
      </c>
      <c r="Y31" s="41">
        <f t="shared" si="9"/>
        <v>0</v>
      </c>
    </row>
    <row r="32" spans="1:26" ht="18.75" customHeight="1" x14ac:dyDescent="0.25">
      <c r="A32" s="98"/>
      <c r="B32" s="33">
        <f t="shared" si="0"/>
        <v>2</v>
      </c>
      <c r="C32" s="72">
        <f>VLOOKUP(B32,'WTAX-RESEARCH'!B:N,2,0)</f>
        <v>0</v>
      </c>
      <c r="D32" s="72" t="e">
        <f>VLOOKUP(C32,'WTAX-RESEARCH'!C:O,2,0)</f>
        <v>#N/A</v>
      </c>
      <c r="E32" s="306">
        <f>VLOOKUP(B32,'WTAX-RESEARCH'!B:N,4,0)</f>
        <v>0</v>
      </c>
      <c r="F32" s="86"/>
      <c r="G32" s="88"/>
      <c r="H32" s="88"/>
      <c r="I32" s="37">
        <f t="shared" si="1"/>
        <v>0</v>
      </c>
      <c r="J32" s="332">
        <f>'WTAX-RESEARCH'!N19</f>
        <v>0</v>
      </c>
      <c r="K32" s="211">
        <f t="shared" si="2"/>
        <v>0</v>
      </c>
      <c r="L32" s="40">
        <f>'WTAX-RESEARCH'!F19</f>
        <v>0</v>
      </c>
      <c r="M32" s="37">
        <f>'RESEARCH - DEDS'!R21</f>
        <v>0</v>
      </c>
      <c r="N32" s="37">
        <f>'RESEARCH - DEDS'!X21</f>
        <v>0</v>
      </c>
      <c r="O32" s="37">
        <f>'RESEARCH - DEDS'!Y21</f>
        <v>0</v>
      </c>
      <c r="P32" s="37">
        <f>'RESEARCH - DEDS'!AE21</f>
        <v>0</v>
      </c>
      <c r="Q32" s="38">
        <f t="shared" si="3"/>
        <v>0</v>
      </c>
      <c r="R32" s="49">
        <f t="shared" si="4"/>
        <v>0</v>
      </c>
      <c r="S32" s="76">
        <f t="shared" si="5"/>
        <v>0</v>
      </c>
      <c r="T32" s="77">
        <f t="shared" si="6"/>
        <v>0</v>
      </c>
      <c r="U32" s="33">
        <f t="shared" si="7"/>
        <v>2</v>
      </c>
      <c r="V32" s="36">
        <f>ROUND('RESEARCH - PAY'!I32*0.12,2)</f>
        <v>0</v>
      </c>
      <c r="W32" s="37">
        <f t="shared" si="8"/>
        <v>100</v>
      </c>
      <c r="X32" s="37">
        <f>MIN((I32*0.05)-'RESEARCH - DEDS'!Y21,2500)</f>
        <v>0</v>
      </c>
      <c r="Y32" s="41">
        <f t="shared" si="9"/>
        <v>200</v>
      </c>
    </row>
    <row r="33" spans="1:26" ht="18.75" customHeight="1" x14ac:dyDescent="0.25">
      <c r="A33" s="98"/>
      <c r="B33" s="33">
        <f>+B22+1</f>
        <v>3</v>
      </c>
      <c r="C33" s="72">
        <f>VLOOKUP(B33,'WTAX-RESEARCH'!B:N,2,0)</f>
        <v>0</v>
      </c>
      <c r="D33" s="72" t="e">
        <f>VLOOKUP(C33,'WTAX-RESEARCH'!C:O,2,0)</f>
        <v>#N/A</v>
      </c>
      <c r="E33" s="306">
        <f>VLOOKUP(B33,'WTAX-RESEARCH'!B:N,4,0)</f>
        <v>0</v>
      </c>
      <c r="F33" s="86"/>
      <c r="G33" s="88"/>
      <c r="H33" s="88"/>
      <c r="I33" s="37">
        <f>SUM(F33:H33)</f>
        <v>0</v>
      </c>
      <c r="J33" s="332">
        <f>'WTAX-RESEARCH'!N20</f>
        <v>0</v>
      </c>
      <c r="K33" s="211">
        <f>ROUND(I33-J33,2)</f>
        <v>0</v>
      </c>
      <c r="L33" s="40">
        <f>'WTAX-RESEARCH'!F20</f>
        <v>0</v>
      </c>
      <c r="M33" s="37">
        <f>'RESEARCH - DEDS'!R32</f>
        <v>0</v>
      </c>
      <c r="N33" s="37">
        <f>'RESEARCH - DEDS'!X32</f>
        <v>0</v>
      </c>
      <c r="O33" s="37">
        <f>'RESEARCH - DEDS'!Y32</f>
        <v>0</v>
      </c>
      <c r="P33" s="37">
        <f>'RESEARCH - DEDS'!AE32</f>
        <v>0</v>
      </c>
      <c r="Q33" s="38">
        <f>ROUND(SUM(L33:P33),2)</f>
        <v>0</v>
      </c>
      <c r="R33" s="49">
        <f>K33-Q33</f>
        <v>0</v>
      </c>
      <c r="S33" s="76">
        <f>ROUND(R33/2,0)</f>
        <v>0</v>
      </c>
      <c r="T33" s="77">
        <f>R33-S33</f>
        <v>0</v>
      </c>
      <c r="U33" s="33">
        <f>B33</f>
        <v>3</v>
      </c>
      <c r="V33" s="36">
        <f>ROUND('RESEARCH - PAY'!I33*0.12,2)</f>
        <v>0</v>
      </c>
      <c r="W33" s="37">
        <f>W22</f>
        <v>100</v>
      </c>
      <c r="X33" s="37">
        <f>MIN((I33*0.05)-'RESEARCH - DEDS'!Y32,2500)</f>
        <v>0</v>
      </c>
      <c r="Y33" s="41">
        <f>Y22</f>
        <v>200</v>
      </c>
    </row>
    <row r="34" spans="1:26" ht="18.75" customHeight="1" x14ac:dyDescent="0.25">
      <c r="A34" s="98"/>
      <c r="B34" s="63"/>
      <c r="C34" s="64"/>
      <c r="D34" s="64"/>
      <c r="E34" s="63"/>
      <c r="F34" s="89"/>
      <c r="G34" s="91"/>
      <c r="H34" s="91"/>
      <c r="I34" s="66"/>
      <c r="J34" s="333"/>
      <c r="K34" s="212"/>
      <c r="L34" s="68"/>
      <c r="M34" s="66"/>
      <c r="N34" s="66"/>
      <c r="O34" s="66"/>
      <c r="P34" s="66"/>
      <c r="Q34" s="69"/>
      <c r="R34" s="70"/>
      <c r="S34" s="68"/>
      <c r="T34" s="71"/>
      <c r="U34" s="63"/>
      <c r="V34" s="65"/>
      <c r="W34" s="66"/>
      <c r="X34" s="66"/>
      <c r="Y34" s="71"/>
    </row>
    <row r="35" spans="1:26" ht="18.75" customHeight="1" thickBot="1" x14ac:dyDescent="0.3">
      <c r="A35" s="98"/>
      <c r="B35" s="64"/>
      <c r="C35" s="64"/>
      <c r="D35" s="64"/>
      <c r="E35" s="63"/>
      <c r="F35" s="92">
        <f>SUM(F21:F34)</f>
        <v>0</v>
      </c>
      <c r="G35" s="93"/>
      <c r="H35" s="93">
        <f t="shared" ref="H35:T35" si="10">SUM(H21:H34)</f>
        <v>0</v>
      </c>
      <c r="I35" s="79">
        <f t="shared" si="10"/>
        <v>0</v>
      </c>
      <c r="J35" s="334" t="e">
        <f t="shared" si="10"/>
        <v>#VALUE!</v>
      </c>
      <c r="K35" s="213" t="e">
        <f t="shared" si="10"/>
        <v>#VALUE!</v>
      </c>
      <c r="L35" s="155">
        <f t="shared" si="10"/>
        <v>0</v>
      </c>
      <c r="M35" s="152">
        <f t="shared" si="10"/>
        <v>0</v>
      </c>
      <c r="N35" s="152">
        <f t="shared" si="10"/>
        <v>0</v>
      </c>
      <c r="O35" s="152">
        <f t="shared" si="10"/>
        <v>0</v>
      </c>
      <c r="P35" s="152">
        <f t="shared" si="10"/>
        <v>0</v>
      </c>
      <c r="Q35" s="153">
        <f t="shared" si="10"/>
        <v>0</v>
      </c>
      <c r="R35" s="154" t="e">
        <f t="shared" si="10"/>
        <v>#VALUE!</v>
      </c>
      <c r="S35" s="155" t="e">
        <f t="shared" si="10"/>
        <v>#VALUE!</v>
      </c>
      <c r="T35" s="156" t="e">
        <f t="shared" si="10"/>
        <v>#VALUE!</v>
      </c>
      <c r="U35" s="63"/>
      <c r="V35" s="157">
        <f>SUM(V21:V34)</f>
        <v>0</v>
      </c>
      <c r="W35" s="152">
        <f>SUM(W21:W34)</f>
        <v>400</v>
      </c>
      <c r="X35" s="152" t="e">
        <f>SUM(X21:X34)</f>
        <v>#VALUE!</v>
      </c>
      <c r="Y35" s="156">
        <f>SUM(Y21:Y34)</f>
        <v>800</v>
      </c>
    </row>
    <row r="36" spans="1:26" ht="21" customHeight="1" thickBot="1" x14ac:dyDescent="0.3">
      <c r="A36" s="98"/>
      <c r="B36" s="1" t="s">
        <v>21</v>
      </c>
      <c r="C36" s="854" t="s">
        <v>104</v>
      </c>
      <c r="D36" s="855"/>
      <c r="E36" s="855"/>
      <c r="F36" s="855"/>
      <c r="G36" s="855"/>
      <c r="H36" s="167"/>
      <c r="I36" s="167"/>
      <c r="J36" s="167"/>
      <c r="K36" s="158"/>
      <c r="L36" s="158"/>
      <c r="M36" s="158"/>
      <c r="N36" s="159"/>
      <c r="O36" s="1" t="s">
        <v>23</v>
      </c>
      <c r="P36" s="170" t="s">
        <v>89</v>
      </c>
      <c r="Q36" s="158"/>
      <c r="R36" s="158"/>
      <c r="S36" s="875"/>
      <c r="T36" s="875"/>
      <c r="U36" s="875"/>
      <c r="V36" s="875"/>
      <c r="W36" s="875"/>
      <c r="X36" s="875"/>
      <c r="Y36" s="876"/>
    </row>
    <row r="37" spans="1:26" ht="30.75" customHeight="1" x14ac:dyDescent="0.25">
      <c r="A37" s="98"/>
      <c r="B37" s="17" t="s">
        <v>22</v>
      </c>
      <c r="D37" s="8"/>
      <c r="E37" s="50"/>
      <c r="F37" s="8"/>
      <c r="G37" s="8"/>
      <c r="H37" s="8"/>
      <c r="I37" s="160"/>
      <c r="J37" s="160"/>
      <c r="K37" s="160"/>
      <c r="L37" s="160"/>
      <c r="M37" s="160"/>
      <c r="N37" s="147"/>
      <c r="O37" s="870" t="e" cm="1">
        <f t="array" aca="1" ref="O37" ca="1">PesosInWords2Caps(W37)</f>
        <v>#NAME?</v>
      </c>
      <c r="P37" s="871"/>
      <c r="Q37" s="871"/>
      <c r="R37" s="871"/>
      <c r="S37" s="871"/>
      <c r="T37" s="871"/>
      <c r="U37" s="871"/>
      <c r="V37" s="871"/>
      <c r="W37" s="868" t="e">
        <f>S35</f>
        <v>#VALUE!</v>
      </c>
      <c r="X37" s="868"/>
      <c r="Y37" s="869"/>
    </row>
    <row r="38" spans="1:26" ht="21.75" customHeight="1" x14ac:dyDescent="0.25">
      <c r="A38" s="98"/>
      <c r="B38" s="17"/>
      <c r="C38" s="8"/>
      <c r="D38" s="8"/>
      <c r="E38" s="50"/>
      <c r="F38" s="8"/>
      <c r="G38" s="8"/>
      <c r="H38" s="8"/>
      <c r="I38" s="8"/>
      <c r="J38" s="8"/>
      <c r="K38" s="8"/>
      <c r="L38" s="8"/>
      <c r="M38" s="8"/>
      <c r="N38" s="18"/>
      <c r="O38" s="25"/>
      <c r="P38" s="8"/>
      <c r="Q38" s="8"/>
      <c r="R38" s="8"/>
      <c r="S38" s="9"/>
      <c r="T38" s="9"/>
      <c r="U38" s="6"/>
      <c r="V38" s="9"/>
      <c r="W38" s="9"/>
      <c r="X38" s="9"/>
      <c r="Y38" s="19"/>
    </row>
    <row r="39" spans="1:26" ht="21.75" customHeight="1" x14ac:dyDescent="0.25">
      <c r="A39" s="98"/>
      <c r="B39" s="17"/>
      <c r="N39" s="56"/>
      <c r="O39" s="149"/>
      <c r="P39" s="50"/>
      <c r="U39" s="6"/>
      <c r="Y39" s="19"/>
    </row>
    <row r="40" spans="1:26" ht="16.5" customHeight="1" x14ac:dyDescent="0.25">
      <c r="A40" s="98"/>
      <c r="B40" s="17"/>
      <c r="C40" s="820" t="s">
        <v>47</v>
      </c>
      <c r="D40" s="820"/>
      <c r="E40" s="325"/>
      <c r="F40" s="342">
        <f ca="1">NOW()</f>
        <v>46275.505203009256</v>
      </c>
      <c r="G40" s="164"/>
      <c r="H40" s="820" t="s">
        <v>95</v>
      </c>
      <c r="I40" s="820"/>
      <c r="J40" s="820"/>
      <c r="K40" s="820"/>
      <c r="L40" s="8"/>
      <c r="M40" s="342">
        <f ca="1">NOW()</f>
        <v>46275.505203009256</v>
      </c>
      <c r="N40" s="165"/>
      <c r="O40" s="161"/>
      <c r="P40" s="51"/>
      <c r="Q40" s="820" t="s">
        <v>97</v>
      </c>
      <c r="R40" s="820"/>
      <c r="S40" s="820"/>
      <c r="U40" s="6"/>
      <c r="V40" s="839"/>
      <c r="W40" s="839"/>
      <c r="X40" s="839"/>
      <c r="Y40" s="19"/>
    </row>
    <row r="41" spans="1:26" ht="15.75" x14ac:dyDescent="0.25">
      <c r="A41" s="98"/>
      <c r="B41" s="17"/>
      <c r="C41" s="827" t="s">
        <v>93</v>
      </c>
      <c r="D41" s="827"/>
      <c r="E41" s="6"/>
      <c r="F41" s="171" t="s">
        <v>29</v>
      </c>
      <c r="G41" s="9"/>
      <c r="H41" s="827" t="s">
        <v>94</v>
      </c>
      <c r="I41" s="827"/>
      <c r="J41" s="827"/>
      <c r="K41" s="827"/>
      <c r="L41" s="9"/>
      <c r="M41" s="171" t="s">
        <v>29</v>
      </c>
      <c r="N41" s="172"/>
      <c r="O41" s="161"/>
      <c r="P41" s="51"/>
      <c r="Q41" s="827" t="s">
        <v>96</v>
      </c>
      <c r="R41" s="827"/>
      <c r="S41" s="827"/>
      <c r="T41" s="9"/>
      <c r="U41" s="6"/>
      <c r="V41" s="840" t="s">
        <v>29</v>
      </c>
      <c r="W41" s="840"/>
      <c r="X41" s="840"/>
      <c r="Y41" s="19"/>
    </row>
    <row r="42" spans="1:26" ht="16.5" thickBot="1" x14ac:dyDescent="0.3">
      <c r="A42" s="98"/>
      <c r="B42" s="20"/>
      <c r="C42" s="21"/>
      <c r="D42" s="21"/>
      <c r="E42" s="326"/>
      <c r="F42" s="21"/>
      <c r="G42" s="21"/>
      <c r="H42" s="21"/>
      <c r="I42" s="21"/>
      <c r="J42" s="21"/>
      <c r="K42" s="29"/>
      <c r="L42" s="29"/>
      <c r="M42" s="29"/>
      <c r="N42" s="168"/>
      <c r="O42" s="162"/>
      <c r="P42" s="22"/>
      <c r="Q42" s="30"/>
      <c r="R42" s="30"/>
      <c r="S42" s="30"/>
      <c r="T42" s="10"/>
      <c r="U42" s="54"/>
      <c r="V42" s="10"/>
      <c r="W42" s="10"/>
      <c r="X42" s="10"/>
      <c r="Y42" s="23"/>
      <c r="Z42" s="842"/>
    </row>
    <row r="43" spans="1:26" ht="21" customHeight="1" thickBot="1" x14ac:dyDescent="0.3">
      <c r="A43" s="98"/>
      <c r="B43" s="1" t="s">
        <v>24</v>
      </c>
      <c r="C43" s="818" t="s">
        <v>105</v>
      </c>
      <c r="D43" s="818" t="s">
        <v>100</v>
      </c>
      <c r="E43" s="818"/>
      <c r="F43" s="818"/>
      <c r="G43" s="818"/>
      <c r="H43" s="818"/>
      <c r="I43" s="818"/>
      <c r="J43" s="818"/>
      <c r="K43" s="818"/>
      <c r="L43" s="828" t="e">
        <f>S35</f>
        <v>#VALUE!</v>
      </c>
      <c r="M43" s="828"/>
      <c r="N43" s="829"/>
      <c r="O43" s="1" t="s">
        <v>25</v>
      </c>
      <c r="P43" s="835" t="s">
        <v>35</v>
      </c>
      <c r="Q43" s="835"/>
      <c r="R43" s="835"/>
      <c r="S43" s="835"/>
      <c r="T43" s="836"/>
      <c r="U43" s="1" t="s">
        <v>27</v>
      </c>
      <c r="V43" s="148"/>
      <c r="W43" s="148"/>
      <c r="X43" s="148"/>
      <c r="Y43" s="24"/>
      <c r="Z43" s="843"/>
    </row>
    <row r="44" spans="1:26" ht="30.75" customHeight="1" x14ac:dyDescent="0.25">
      <c r="A44" s="98"/>
      <c r="B44" s="17" t="s">
        <v>26</v>
      </c>
      <c r="C44" s="819"/>
      <c r="D44" s="819"/>
      <c r="E44" s="819"/>
      <c r="F44" s="819"/>
      <c r="G44" s="819"/>
      <c r="H44" s="819"/>
      <c r="I44" s="819"/>
      <c r="J44" s="819"/>
      <c r="K44" s="819"/>
      <c r="L44" s="830"/>
      <c r="M44" s="830"/>
      <c r="N44" s="831"/>
      <c r="O44" s="25"/>
      <c r="P44" s="837"/>
      <c r="Q44" s="837"/>
      <c r="R44" s="837"/>
      <c r="S44" s="837"/>
      <c r="T44" s="838"/>
      <c r="U44" s="149"/>
      <c r="V44" s="61" t="s">
        <v>90</v>
      </c>
      <c r="W44" s="820" t="str">
        <f>'GEN.AD - PAY'!$W$172</f>
        <v>01-101101-2026-01-0003</v>
      </c>
      <c r="X44" s="820"/>
      <c r="Y44" s="822"/>
      <c r="Z44" s="843"/>
    </row>
    <row r="45" spans="1:26" ht="24.95" customHeight="1" x14ac:dyDescent="0.25">
      <c r="A45" s="98"/>
      <c r="B45" s="17"/>
      <c r="C45" s="8" t="s">
        <v>28</v>
      </c>
      <c r="D45" s="8"/>
      <c r="E45" s="50"/>
      <c r="F45" s="8"/>
      <c r="G45" s="8"/>
      <c r="H45" s="8"/>
      <c r="I45" s="8"/>
      <c r="J45" s="8"/>
      <c r="K45" s="8"/>
      <c r="L45" s="8"/>
      <c r="M45" s="8"/>
      <c r="N45" s="18"/>
      <c r="O45" s="25"/>
      <c r="P45" s="8"/>
      <c r="T45" s="26"/>
      <c r="U45" s="150"/>
      <c r="V45" s="61" t="s">
        <v>91</v>
      </c>
      <c r="W45" s="918">
        <f>'GEN.AD - PAY'!$W$173</f>
        <v>46038</v>
      </c>
      <c r="X45" s="918"/>
      <c r="Y45" s="919"/>
      <c r="Z45" s="843"/>
    </row>
    <row r="46" spans="1:26" ht="24.95" customHeight="1" x14ac:dyDescent="0.25">
      <c r="A46" s="98"/>
      <c r="B46" s="17"/>
      <c r="E46" s="820" t="s">
        <v>102</v>
      </c>
      <c r="F46" s="820"/>
      <c r="G46" s="820"/>
      <c r="H46" s="820"/>
      <c r="I46" s="820"/>
      <c r="K46" s="821"/>
      <c r="L46" s="821"/>
      <c r="M46" s="8"/>
      <c r="N46" s="18"/>
      <c r="O46" s="25"/>
      <c r="P46" s="820" t="s">
        <v>99</v>
      </c>
      <c r="Q46" s="820"/>
      <c r="R46" s="820"/>
      <c r="S46" s="820"/>
      <c r="T46" s="26"/>
      <c r="U46" s="149"/>
      <c r="V46" s="61" t="s">
        <v>92</v>
      </c>
      <c r="W46" s="820" t="str">
        <f>'GEN.AD - PAY'!$W$174</f>
        <v>01-2026-01-0019</v>
      </c>
      <c r="X46" s="820"/>
      <c r="Y46" s="822"/>
      <c r="Z46" s="843"/>
    </row>
    <row r="47" spans="1:26" ht="24.95" customHeight="1" x14ac:dyDescent="0.25">
      <c r="A47" s="98"/>
      <c r="B47" s="17"/>
      <c r="E47" s="881" t="s">
        <v>101</v>
      </c>
      <c r="F47" s="881"/>
      <c r="G47" s="881"/>
      <c r="H47" s="881"/>
      <c r="I47" s="881"/>
      <c r="J47" s="9"/>
      <c r="K47" s="889" t="s">
        <v>29</v>
      </c>
      <c r="L47" s="889"/>
      <c r="M47" s="27"/>
      <c r="N47" s="165"/>
      <c r="O47" s="161"/>
      <c r="P47" s="827" t="s">
        <v>98</v>
      </c>
      <c r="Q47" s="827"/>
      <c r="R47" s="827"/>
      <c r="S47" s="827"/>
      <c r="T47" s="26"/>
      <c r="U47" s="150"/>
      <c r="V47" s="61" t="s">
        <v>91</v>
      </c>
      <c r="W47" s="918">
        <f>'GEN.AD - PAY'!$W$175</f>
        <v>46038</v>
      </c>
      <c r="X47" s="918"/>
      <c r="Y47" s="919"/>
      <c r="Z47" s="28"/>
    </row>
    <row r="48" spans="1:26" ht="16.5" thickBot="1" x14ac:dyDescent="0.3">
      <c r="A48" s="98"/>
      <c r="B48" s="20"/>
      <c r="C48" s="29"/>
      <c r="D48" s="29"/>
      <c r="E48" s="880"/>
      <c r="F48" s="880"/>
      <c r="G48" s="880"/>
      <c r="H48" s="880"/>
      <c r="I48" s="29"/>
      <c r="J48" s="29"/>
      <c r="K48" s="30"/>
      <c r="L48" s="30"/>
      <c r="M48" s="30"/>
      <c r="N48" s="168"/>
      <c r="O48" s="162"/>
      <c r="P48" s="30"/>
      <c r="Q48" s="30"/>
      <c r="R48" s="30"/>
      <c r="S48" s="30"/>
      <c r="T48" s="23"/>
      <c r="U48" s="151"/>
      <c r="V48" s="10"/>
      <c r="W48" s="10"/>
      <c r="X48" s="10"/>
      <c r="Y48" s="23"/>
    </row>
    <row r="50" spans="3:3" x14ac:dyDescent="0.25">
      <c r="C50" s="32"/>
    </row>
    <row r="51" spans="3:3" x14ac:dyDescent="0.25">
      <c r="C51" s="32"/>
    </row>
    <row r="52" spans="3:3" x14ac:dyDescent="0.25">
      <c r="C52" s="32"/>
    </row>
    <row r="53" spans="3:3" x14ac:dyDescent="0.25">
      <c r="C53" s="32"/>
    </row>
    <row r="54" spans="3:3" x14ac:dyDescent="0.25">
      <c r="C54" s="32"/>
    </row>
    <row r="69" spans="1:25" ht="18.75" customHeight="1" x14ac:dyDescent="0.25">
      <c r="A69" s="98"/>
      <c r="B69" s="6"/>
      <c r="C69" s="349"/>
      <c r="D69" s="349"/>
      <c r="E69" s="366"/>
      <c r="F69" s="367"/>
      <c r="G69" s="367"/>
      <c r="H69" s="367"/>
      <c r="I69" s="367"/>
      <c r="J69" s="367"/>
      <c r="K69" s="367"/>
      <c r="L69" s="367"/>
      <c r="M69" s="367"/>
      <c r="N69" s="367"/>
      <c r="O69" s="367"/>
      <c r="P69" s="367"/>
      <c r="Q69" s="367"/>
      <c r="R69" s="367"/>
      <c r="S69" s="368"/>
      <c r="T69" s="368"/>
      <c r="U69" s="6"/>
      <c r="V69" s="367"/>
      <c r="W69" s="367"/>
      <c r="X69" s="367"/>
      <c r="Y69" s="367"/>
    </row>
  </sheetData>
  <mergeCells count="68">
    <mergeCell ref="B8:Y8"/>
    <mergeCell ref="V18:V19"/>
    <mergeCell ref="W18:W19"/>
    <mergeCell ref="X2:Y2"/>
    <mergeCell ref="B3:Y3"/>
    <mergeCell ref="B4:Y4"/>
    <mergeCell ref="B5:Y5"/>
    <mergeCell ref="B6:Y6"/>
    <mergeCell ref="B9:Y9"/>
    <mergeCell ref="B10:Y10"/>
    <mergeCell ref="B11:Y11"/>
    <mergeCell ref="D12:D14"/>
    <mergeCell ref="B13:C13"/>
    <mergeCell ref="W13:Y13"/>
    <mergeCell ref="B15:Y15"/>
    <mergeCell ref="B17:B19"/>
    <mergeCell ref="S17:S19"/>
    <mergeCell ref="T17:T19"/>
    <mergeCell ref="C17:C19"/>
    <mergeCell ref="D17:D19"/>
    <mergeCell ref="E17:E19"/>
    <mergeCell ref="F17:K17"/>
    <mergeCell ref="L17:Q17"/>
    <mergeCell ref="J18:J19"/>
    <mergeCell ref="K18:K19"/>
    <mergeCell ref="R17:R19"/>
    <mergeCell ref="F18:F19"/>
    <mergeCell ref="G18:G19"/>
    <mergeCell ref="C36:G36"/>
    <mergeCell ref="O37:V37"/>
    <mergeCell ref="W37:Y37"/>
    <mergeCell ref="N18:N19"/>
    <mergeCell ref="O18:O19"/>
    <mergeCell ref="P18:P19"/>
    <mergeCell ref="Q18:Q19"/>
    <mergeCell ref="U17:U19"/>
    <mergeCell ref="V17:Y17"/>
    <mergeCell ref="S36:Y36"/>
    <mergeCell ref="X18:X19"/>
    <mergeCell ref="Y18:Y19"/>
    <mergeCell ref="L18:L19"/>
    <mergeCell ref="M18:M19"/>
    <mergeCell ref="H18:H19"/>
    <mergeCell ref="I18:I19"/>
    <mergeCell ref="C40:D40"/>
    <mergeCell ref="H40:K40"/>
    <mergeCell ref="Q40:S40"/>
    <mergeCell ref="V40:X40"/>
    <mergeCell ref="C41:D41"/>
    <mergeCell ref="H41:K41"/>
    <mergeCell ref="Q41:S41"/>
    <mergeCell ref="V41:X41"/>
    <mergeCell ref="E48:H48"/>
    <mergeCell ref="Z42:Z46"/>
    <mergeCell ref="C43:C44"/>
    <mergeCell ref="D43:K44"/>
    <mergeCell ref="L43:N44"/>
    <mergeCell ref="P43:T44"/>
    <mergeCell ref="W44:Y44"/>
    <mergeCell ref="W45:Y45"/>
    <mergeCell ref="E46:I46"/>
    <mergeCell ref="K46:L46"/>
    <mergeCell ref="P46:S46"/>
    <mergeCell ref="W46:Y46"/>
    <mergeCell ref="E47:I47"/>
    <mergeCell ref="K47:L47"/>
    <mergeCell ref="P47:S47"/>
    <mergeCell ref="W47:Y47"/>
  </mergeCells>
  <conditionalFormatting sqref="S69:T69 S21:T33">
    <cfRule type="cellIs" dxfId="4" priority="4" stopIfTrue="1" operator="equal">
      <formula>2500</formula>
    </cfRule>
  </conditionalFormatting>
  <printOptions horizontalCentered="1"/>
  <pageMargins left="0.39370078740157483" right="0.39370078740157483" top="0.39370078740157483" bottom="0.19685039370078741" header="0" footer="0"/>
  <pageSetup paperSize="14" scale="51" fitToHeight="0" orientation="landscape" r:id="rId1"/>
  <headerFooter alignWithMargins="0">
    <oddHeader>&amp;R
&amp;16Sheet &amp;"Times New Roman,Bold"&amp;U&amp;P&amp;"Times New Roman,Regular"&amp;U of &amp;"Times New Roman,Bold"&amp;U&amp;N&amp;"Times New Roman,Regular"&amp;U Sheet/s</oddHeader>
  </headerFooter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2">
    <tabColor theme="7" tint="-0.249977111117893"/>
    <pageSetUpPr fitToPage="1"/>
  </sheetPr>
  <dimension ref="A1:AG70"/>
  <sheetViews>
    <sheetView showWhiteSpace="0" topLeftCell="A14" zoomScaleNormal="100" zoomScaleSheetLayoutView="100" workbookViewId="0">
      <pane xSplit="7" ySplit="5" topLeftCell="Y19" activePane="bottomRight" state="frozen"/>
      <selection activeCell="W34" sqref="W34:Y37"/>
      <selection pane="topRight" activeCell="W34" sqref="W34:Y37"/>
      <selection pane="bottomLeft" activeCell="W34" sqref="W34:Y37"/>
      <selection pane="bottomRight" activeCell="W34" sqref="W34:Y37"/>
    </sheetView>
  </sheetViews>
  <sheetFormatPr defaultRowHeight="30.75" x14ac:dyDescent="0.25"/>
  <cols>
    <col min="1" max="1" width="9.375" style="31" customWidth="1"/>
    <col min="2" max="2" width="6.75" style="4" customWidth="1"/>
    <col min="3" max="3" width="24.625" style="4" customWidth="1"/>
    <col min="4" max="4" width="12.875" style="4" customWidth="1"/>
    <col min="5" max="5" width="9.625" style="57" customWidth="1"/>
    <col min="6" max="6" width="10.875" style="4" customWidth="1"/>
    <col min="7" max="7" width="12" style="4" customWidth="1"/>
    <col min="8" max="12" width="10.625" style="4" customWidth="1"/>
    <col min="13" max="13" width="12.25" style="4" customWidth="1"/>
    <col min="14" max="17" width="10.625" style="4" customWidth="1"/>
    <col min="18" max="18" width="11.75" style="4" customWidth="1"/>
    <col min="19" max="19" width="11.25" style="4" customWidth="1"/>
    <col min="20" max="20" width="10.625" style="4" customWidth="1"/>
    <col min="21" max="21" width="10.75" style="4" customWidth="1"/>
    <col min="22" max="23" width="9.875" style="4" customWidth="1"/>
    <col min="24" max="24" width="11.125" style="4" customWidth="1"/>
    <col min="25" max="25" width="10.875" style="4" customWidth="1"/>
    <col min="26" max="26" width="12.375" style="4" customWidth="1"/>
    <col min="27" max="27" width="11.125" style="4" customWidth="1"/>
    <col min="28" max="28" width="11.25" style="4" customWidth="1"/>
    <col min="29" max="30" width="9.875" style="4" customWidth="1"/>
    <col min="31" max="31" width="11.5" style="4" customWidth="1"/>
    <col min="32" max="32" width="13.875" style="4" customWidth="1"/>
    <col min="33" max="33" width="10.375" style="4" bestFit="1" customWidth="1"/>
    <col min="34" max="16384" width="9" style="4"/>
  </cols>
  <sheetData>
    <row r="1" spans="1:33" ht="23.25" customHeight="1" x14ac:dyDescent="0.25">
      <c r="A1" s="98">
        <v>94</v>
      </c>
      <c r="F1" s="5"/>
      <c r="X1" s="5"/>
      <c r="Y1" s="5"/>
      <c r="AE1" s="5"/>
      <c r="AF1" s="3"/>
    </row>
    <row r="2" spans="1:33" ht="23.25" x14ac:dyDescent="0.25">
      <c r="A2" s="98"/>
      <c r="F2" s="5"/>
      <c r="X2" s="5"/>
      <c r="Y2" s="5"/>
      <c r="AE2" s="864" t="s">
        <v>40</v>
      </c>
      <c r="AF2" s="864"/>
    </row>
    <row r="3" spans="1:33" ht="15.75" customHeight="1" x14ac:dyDescent="0.25">
      <c r="A3" s="98"/>
      <c r="B3" s="877" t="s">
        <v>42</v>
      </c>
      <c r="C3" s="877"/>
      <c r="D3" s="877"/>
      <c r="E3" s="877"/>
      <c r="F3" s="877"/>
      <c r="G3" s="877"/>
      <c r="H3" s="877"/>
      <c r="I3" s="877"/>
      <c r="J3" s="877"/>
      <c r="K3" s="877"/>
      <c r="L3" s="877"/>
      <c r="M3" s="877"/>
      <c r="N3" s="877"/>
      <c r="O3" s="877"/>
      <c r="P3" s="877"/>
      <c r="Q3" s="877"/>
      <c r="R3" s="877"/>
      <c r="S3" s="877"/>
      <c r="T3" s="877"/>
      <c r="U3" s="877"/>
      <c r="V3" s="877"/>
      <c r="W3" s="877"/>
      <c r="X3" s="877"/>
      <c r="Y3" s="877"/>
      <c r="Z3" s="877"/>
      <c r="AA3" s="877"/>
      <c r="AB3" s="877"/>
      <c r="AC3" s="877"/>
      <c r="AD3" s="877"/>
      <c r="AE3" s="877"/>
      <c r="AF3" s="877"/>
    </row>
    <row r="4" spans="1:33" ht="15.75" customHeight="1" x14ac:dyDescent="0.25">
      <c r="A4" s="98"/>
      <c r="B4" s="878" t="s">
        <v>43</v>
      </c>
      <c r="C4" s="878"/>
      <c r="D4" s="878"/>
      <c r="E4" s="878"/>
      <c r="F4" s="878"/>
      <c r="G4" s="878"/>
      <c r="H4" s="878"/>
      <c r="I4" s="878"/>
      <c r="J4" s="878"/>
      <c r="K4" s="878"/>
      <c r="L4" s="878"/>
      <c r="M4" s="878"/>
      <c r="N4" s="878"/>
      <c r="O4" s="878"/>
      <c r="P4" s="878"/>
      <c r="Q4" s="878"/>
      <c r="R4" s="878"/>
      <c r="S4" s="878"/>
      <c r="T4" s="878"/>
      <c r="U4" s="878"/>
      <c r="V4" s="878"/>
      <c r="W4" s="878"/>
      <c r="X4" s="878"/>
      <c r="Y4" s="878"/>
      <c r="Z4" s="878"/>
      <c r="AA4" s="878"/>
      <c r="AB4" s="878"/>
      <c r="AC4" s="878"/>
      <c r="AD4" s="878"/>
      <c r="AE4" s="878"/>
      <c r="AF4" s="878"/>
    </row>
    <row r="5" spans="1:33" ht="15.75" customHeight="1" x14ac:dyDescent="0.25">
      <c r="A5" s="98"/>
      <c r="B5" s="878" t="s">
        <v>44</v>
      </c>
      <c r="C5" s="878"/>
      <c r="D5" s="878"/>
      <c r="E5" s="878"/>
      <c r="F5" s="878"/>
      <c r="G5" s="878"/>
      <c r="H5" s="878"/>
      <c r="I5" s="878"/>
      <c r="J5" s="878"/>
      <c r="K5" s="878"/>
      <c r="L5" s="878"/>
      <c r="M5" s="878"/>
      <c r="N5" s="878"/>
      <c r="O5" s="878"/>
      <c r="P5" s="878"/>
      <c r="Q5" s="878"/>
      <c r="R5" s="878"/>
      <c r="S5" s="878"/>
      <c r="T5" s="878"/>
      <c r="U5" s="878"/>
      <c r="V5" s="878"/>
      <c r="W5" s="878"/>
      <c r="X5" s="878"/>
      <c r="Y5" s="878"/>
      <c r="Z5" s="878"/>
      <c r="AA5" s="878"/>
      <c r="AB5" s="878"/>
      <c r="AC5" s="878"/>
      <c r="AD5" s="878"/>
      <c r="AE5" s="878"/>
      <c r="AF5" s="878"/>
    </row>
    <row r="6" spans="1:33" ht="15.75" customHeight="1" x14ac:dyDescent="0.25">
      <c r="A6" s="98"/>
      <c r="B6" s="877" t="s">
        <v>45</v>
      </c>
      <c r="C6" s="877"/>
      <c r="D6" s="877"/>
      <c r="E6" s="877"/>
      <c r="F6" s="877"/>
      <c r="G6" s="877"/>
      <c r="H6" s="877"/>
      <c r="I6" s="877"/>
      <c r="J6" s="877"/>
      <c r="K6" s="877"/>
      <c r="L6" s="877"/>
      <c r="M6" s="877"/>
      <c r="N6" s="877"/>
      <c r="O6" s="877"/>
      <c r="P6" s="877"/>
      <c r="Q6" s="877"/>
      <c r="R6" s="877"/>
      <c r="S6" s="877"/>
      <c r="T6" s="877"/>
      <c r="U6" s="877"/>
      <c r="V6" s="877"/>
      <c r="W6" s="877"/>
      <c r="X6" s="877"/>
      <c r="Y6" s="877"/>
      <c r="Z6" s="877"/>
      <c r="AA6" s="877"/>
      <c r="AB6" s="877"/>
      <c r="AC6" s="877"/>
      <c r="AD6" s="877"/>
      <c r="AE6" s="877"/>
      <c r="AF6" s="877"/>
    </row>
    <row r="7" spans="1:33" ht="15.75" customHeight="1" x14ac:dyDescent="0.25">
      <c r="A7" s="98"/>
      <c r="F7" s="2"/>
      <c r="X7" s="2"/>
      <c r="Y7" s="2"/>
      <c r="AE7" s="2"/>
      <c r="AF7" s="2"/>
    </row>
    <row r="8" spans="1:33" ht="22.5" x14ac:dyDescent="0.25">
      <c r="A8" s="98"/>
      <c r="B8" s="882" t="s">
        <v>64</v>
      </c>
      <c r="C8" s="882"/>
      <c r="D8" s="882"/>
      <c r="E8" s="882"/>
      <c r="F8" s="882"/>
      <c r="G8" s="882"/>
      <c r="H8" s="882"/>
      <c r="I8" s="882"/>
      <c r="J8" s="882"/>
      <c r="K8" s="882"/>
      <c r="L8" s="882"/>
      <c r="M8" s="882"/>
      <c r="N8" s="882"/>
      <c r="O8" s="882"/>
      <c r="P8" s="882"/>
      <c r="Q8" s="882"/>
      <c r="R8" s="882"/>
      <c r="S8" s="882"/>
      <c r="T8" s="882"/>
      <c r="U8" s="882"/>
      <c r="V8" s="882"/>
      <c r="W8" s="882"/>
      <c r="X8" s="882"/>
      <c r="Y8" s="882"/>
      <c r="Z8" s="882"/>
      <c r="AA8" s="882"/>
      <c r="AB8" s="882"/>
      <c r="AC8" s="882"/>
      <c r="AD8" s="882"/>
      <c r="AE8" s="882"/>
      <c r="AF8" s="882"/>
    </row>
    <row r="9" spans="1:33" ht="20.25" x14ac:dyDescent="0.25">
      <c r="A9" s="98"/>
      <c r="B9" s="867" t="str">
        <f>'RESEARCH - PAY'!B9</f>
        <v>Regular Employees - RESEARCH SERVICES</v>
      </c>
      <c r="C9" s="867"/>
      <c r="D9" s="867"/>
      <c r="E9" s="867"/>
      <c r="F9" s="867"/>
      <c r="G9" s="867"/>
      <c r="H9" s="867"/>
      <c r="I9" s="867"/>
      <c r="J9" s="867"/>
      <c r="K9" s="867"/>
      <c r="L9" s="867"/>
      <c r="M9" s="867"/>
      <c r="N9" s="867"/>
      <c r="O9" s="867"/>
      <c r="P9" s="867"/>
      <c r="Q9" s="867"/>
      <c r="R9" s="867"/>
      <c r="S9" s="867"/>
      <c r="T9" s="867"/>
      <c r="U9" s="867"/>
      <c r="V9" s="867"/>
      <c r="W9" s="867"/>
      <c r="X9" s="867"/>
      <c r="Y9" s="867"/>
      <c r="Z9" s="867"/>
      <c r="AA9" s="867"/>
      <c r="AB9" s="867"/>
      <c r="AC9" s="867"/>
      <c r="AD9" s="867"/>
      <c r="AE9" s="867"/>
      <c r="AF9" s="867"/>
    </row>
    <row r="10" spans="1:33" ht="20.25" x14ac:dyDescent="0.25">
      <c r="A10" s="98"/>
      <c r="B10" s="879" t="str">
        <f>'RESEARCH - PAY'!B10</f>
        <v>For the period JANUARY 1-31, 2026</v>
      </c>
      <c r="C10" s="879"/>
      <c r="D10" s="879"/>
      <c r="E10" s="879"/>
      <c r="F10" s="879"/>
      <c r="G10" s="879"/>
      <c r="H10" s="879"/>
      <c r="I10" s="879"/>
      <c r="J10" s="879"/>
      <c r="K10" s="879"/>
      <c r="L10" s="879"/>
      <c r="M10" s="879"/>
      <c r="N10" s="879"/>
      <c r="O10" s="879"/>
      <c r="P10" s="879"/>
      <c r="Q10" s="879"/>
      <c r="R10" s="879"/>
      <c r="S10" s="879"/>
      <c r="T10" s="879"/>
      <c r="U10" s="879"/>
      <c r="V10" s="879"/>
      <c r="W10" s="879"/>
      <c r="X10" s="879"/>
      <c r="Y10" s="879"/>
      <c r="Z10" s="879"/>
      <c r="AA10" s="879"/>
      <c r="AB10" s="879"/>
      <c r="AC10" s="879"/>
      <c r="AD10" s="879"/>
      <c r="AE10" s="879"/>
      <c r="AF10" s="879"/>
    </row>
    <row r="11" spans="1:33" ht="15.75" x14ac:dyDescent="0.25">
      <c r="A11" s="98"/>
      <c r="B11" s="9"/>
      <c r="C11" s="6"/>
      <c r="D11" s="866" t="str">
        <f>+'RESEARCH - PAY'!D12</f>
        <v>01</v>
      </c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</row>
    <row r="12" spans="1:33" s="8" customFormat="1" ht="24.95" customHeight="1" x14ac:dyDescent="0.25">
      <c r="A12" s="98"/>
      <c r="B12" s="865" t="s">
        <v>88</v>
      </c>
      <c r="C12" s="865"/>
      <c r="D12" s="867"/>
      <c r="E12" s="178"/>
      <c r="F12" s="169"/>
      <c r="G12" s="169"/>
      <c r="H12" s="169"/>
      <c r="I12" s="169"/>
      <c r="J12" s="169"/>
      <c r="K12" s="169"/>
      <c r="L12" s="169"/>
      <c r="M12" s="169"/>
      <c r="N12" s="169"/>
      <c r="O12" s="169"/>
      <c r="P12" s="169"/>
      <c r="Q12" s="169"/>
      <c r="R12" s="9"/>
      <c r="S12" s="9"/>
      <c r="T12" s="9"/>
      <c r="U12" s="9"/>
      <c r="AA12" s="7"/>
      <c r="AB12" s="169" t="s">
        <v>103</v>
      </c>
      <c r="AC12" s="169"/>
      <c r="AD12" s="832" t="str">
        <f>'RESEARCH - PAY'!W13</f>
        <v>2026-01-023</v>
      </c>
      <c r="AE12" s="832"/>
      <c r="AF12" s="832"/>
    </row>
    <row r="13" spans="1:33" s="8" customFormat="1" ht="24.95" customHeight="1" x14ac:dyDescent="0.25">
      <c r="A13" s="98"/>
      <c r="B13" s="9"/>
      <c r="C13" s="9"/>
      <c r="D13" s="867"/>
      <c r="E13" s="6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AB13" s="169"/>
      <c r="AC13" s="169"/>
      <c r="AD13" s="9"/>
      <c r="AE13" s="9"/>
      <c r="AF13" s="9"/>
    </row>
    <row r="14" spans="1:33" s="8" customFormat="1" ht="15.75" customHeight="1" x14ac:dyDescent="0.25">
      <c r="A14" s="98"/>
      <c r="B14" s="872"/>
      <c r="C14" s="872"/>
      <c r="D14" s="872"/>
      <c r="E14" s="872"/>
      <c r="F14" s="872"/>
      <c r="G14" s="872"/>
      <c r="H14" s="872"/>
      <c r="I14" s="872"/>
      <c r="J14" s="872"/>
      <c r="K14" s="872"/>
      <c r="L14" s="872"/>
      <c r="M14" s="872"/>
      <c r="N14" s="872"/>
      <c r="O14" s="872"/>
      <c r="P14" s="872"/>
      <c r="Q14" s="872"/>
      <c r="R14" s="872"/>
      <c r="S14" s="872"/>
      <c r="T14" s="872"/>
      <c r="U14" s="872"/>
      <c r="V14" s="872"/>
      <c r="W14" s="872"/>
      <c r="X14" s="872"/>
      <c r="Y14" s="872"/>
      <c r="Z14" s="872"/>
    </row>
    <row r="15" spans="1:33" ht="9" customHeight="1" thickBot="1" x14ac:dyDescent="0.3">
      <c r="A15" s="98"/>
      <c r="B15" s="9"/>
      <c r="C15" s="10"/>
      <c r="D15" s="10"/>
      <c r="E15" s="54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9"/>
      <c r="T15" s="9"/>
      <c r="U15" s="9"/>
      <c r="V15" s="9"/>
      <c r="W15" s="9"/>
      <c r="X15" s="10"/>
      <c r="Y15" s="10"/>
      <c r="Z15" s="9"/>
      <c r="AA15" s="9"/>
      <c r="AB15" s="9"/>
      <c r="AC15" s="9"/>
      <c r="AD15" s="9"/>
      <c r="AE15" s="10"/>
      <c r="AF15" s="10"/>
    </row>
    <row r="16" spans="1:33" ht="16.5" customHeight="1" thickBot="1" x14ac:dyDescent="0.3">
      <c r="A16" s="98"/>
      <c r="B16" s="802" t="s">
        <v>6</v>
      </c>
      <c r="C16" s="777" t="s">
        <v>1</v>
      </c>
      <c r="D16" s="777" t="s">
        <v>2</v>
      </c>
      <c r="E16" s="802" t="s">
        <v>14</v>
      </c>
      <c r="F16" s="904" t="s">
        <v>54</v>
      </c>
      <c r="G16" s="841" t="s">
        <v>66</v>
      </c>
      <c r="H16" s="833"/>
      <c r="I16" s="833"/>
      <c r="J16" s="833"/>
      <c r="K16" s="833"/>
      <c r="L16" s="833"/>
      <c r="M16" s="833"/>
      <c r="N16" s="833"/>
      <c r="O16" s="833"/>
      <c r="P16" s="833"/>
      <c r="Q16" s="833"/>
      <c r="R16" s="834"/>
      <c r="S16" s="841" t="s">
        <v>63</v>
      </c>
      <c r="T16" s="833"/>
      <c r="U16" s="833"/>
      <c r="V16" s="833"/>
      <c r="W16" s="833"/>
      <c r="X16" s="834"/>
      <c r="Y16" s="904" t="s">
        <v>57</v>
      </c>
      <c r="Z16" s="841" t="s">
        <v>80</v>
      </c>
      <c r="AA16" s="833"/>
      <c r="AB16" s="833"/>
      <c r="AC16" s="833"/>
      <c r="AD16" s="833"/>
      <c r="AE16" s="834"/>
      <c r="AF16" s="802" t="s">
        <v>87</v>
      </c>
      <c r="AG16" s="11"/>
    </row>
    <row r="17" spans="1:33" ht="19.5" customHeight="1" x14ac:dyDescent="0.25">
      <c r="A17" s="98"/>
      <c r="B17" s="803"/>
      <c r="C17" s="778"/>
      <c r="D17" s="778"/>
      <c r="E17" s="803"/>
      <c r="F17" s="905"/>
      <c r="G17" s="911" t="s">
        <v>65</v>
      </c>
      <c r="H17" s="894" t="s">
        <v>110</v>
      </c>
      <c r="I17" s="887" t="s">
        <v>67</v>
      </c>
      <c r="J17" s="892" t="s">
        <v>68</v>
      </c>
      <c r="K17" s="896" t="s">
        <v>69</v>
      </c>
      <c r="L17" s="896" t="s">
        <v>70</v>
      </c>
      <c r="M17" s="896" t="s">
        <v>71</v>
      </c>
      <c r="N17" s="896" t="s">
        <v>72</v>
      </c>
      <c r="O17" s="894" t="s">
        <v>73</v>
      </c>
      <c r="P17" s="894" t="s">
        <v>111</v>
      </c>
      <c r="Q17" s="894" t="s">
        <v>78</v>
      </c>
      <c r="R17" s="909" t="s">
        <v>74</v>
      </c>
      <c r="S17" s="844" t="s">
        <v>75</v>
      </c>
      <c r="T17" s="913" t="s">
        <v>76</v>
      </c>
      <c r="U17" s="896" t="s">
        <v>71</v>
      </c>
      <c r="V17" s="896" t="s">
        <v>77</v>
      </c>
      <c r="W17" s="907" t="s">
        <v>78</v>
      </c>
      <c r="X17" s="902" t="s">
        <v>79</v>
      </c>
      <c r="Y17" s="905"/>
      <c r="Z17" s="898" t="s">
        <v>81</v>
      </c>
      <c r="AA17" s="900" t="s">
        <v>82</v>
      </c>
      <c r="AB17" s="896" t="s">
        <v>83</v>
      </c>
      <c r="AC17" s="892" t="s">
        <v>84</v>
      </c>
      <c r="AD17" s="942" t="s">
        <v>145</v>
      </c>
      <c r="AE17" s="915" t="s">
        <v>85</v>
      </c>
      <c r="AF17" s="803"/>
      <c r="AG17" s="11"/>
    </row>
    <row r="18" spans="1:33" ht="26.25" customHeight="1" thickBot="1" x14ac:dyDescent="0.3">
      <c r="A18" s="98"/>
      <c r="B18" s="803"/>
      <c r="C18" s="778"/>
      <c r="D18" s="778"/>
      <c r="E18" s="803"/>
      <c r="F18" s="906"/>
      <c r="G18" s="912"/>
      <c r="H18" s="895"/>
      <c r="I18" s="888"/>
      <c r="J18" s="893"/>
      <c r="K18" s="897"/>
      <c r="L18" s="897"/>
      <c r="M18" s="897"/>
      <c r="N18" s="897"/>
      <c r="O18" s="895"/>
      <c r="P18" s="895"/>
      <c r="Q18" s="895"/>
      <c r="R18" s="910"/>
      <c r="S18" s="845"/>
      <c r="T18" s="914"/>
      <c r="U18" s="897"/>
      <c r="V18" s="897"/>
      <c r="W18" s="908"/>
      <c r="X18" s="903"/>
      <c r="Y18" s="906"/>
      <c r="Z18" s="899"/>
      <c r="AA18" s="901"/>
      <c r="AB18" s="897"/>
      <c r="AC18" s="893"/>
      <c r="AD18" s="943"/>
      <c r="AE18" s="916"/>
      <c r="AF18" s="804"/>
      <c r="AG18" s="11"/>
    </row>
    <row r="19" spans="1:33" ht="18.75" customHeight="1" x14ac:dyDescent="0.25">
      <c r="A19" s="98"/>
      <c r="B19" s="12"/>
      <c r="C19" s="12"/>
      <c r="D19" s="12"/>
      <c r="E19" s="55"/>
      <c r="F19" s="12"/>
      <c r="G19" s="46"/>
      <c r="H19" s="173"/>
      <c r="I19" s="173"/>
      <c r="J19" s="173"/>
      <c r="K19" s="173"/>
      <c r="L19" s="173"/>
      <c r="M19" s="173"/>
      <c r="N19" s="173"/>
      <c r="O19" s="173"/>
      <c r="P19" s="173"/>
      <c r="Q19" s="173"/>
      <c r="R19" s="43"/>
      <c r="S19" s="174"/>
      <c r="T19" s="175"/>
      <c r="U19" s="173"/>
      <c r="V19" s="173"/>
      <c r="W19" s="173"/>
      <c r="X19" s="176"/>
      <c r="Y19" s="12"/>
      <c r="Z19" s="174"/>
      <c r="AA19" s="175"/>
      <c r="AB19" s="173"/>
      <c r="AC19" s="173"/>
      <c r="AD19" s="173"/>
      <c r="AE19" s="177"/>
      <c r="AF19" s="43"/>
    </row>
    <row r="20" spans="1:33" ht="18.75" customHeight="1" x14ac:dyDescent="0.25">
      <c r="A20" s="98"/>
      <c r="B20" s="194">
        <v>1</v>
      </c>
      <c r="C20" s="352">
        <f>'RESEARCH - PAY'!C21</f>
        <v>0</v>
      </c>
      <c r="D20" s="352" t="e">
        <f>'RESEARCH - PAY'!D21</f>
        <v>#N/A</v>
      </c>
      <c r="E20" s="353">
        <f>'RESEARCH - PAY'!E21</f>
        <v>0</v>
      </c>
      <c r="F20" s="361">
        <f>'RESEARCH - PAY'!L21</f>
        <v>0</v>
      </c>
      <c r="G20" s="364">
        <f>ROUND('RESEARCH - PAY'!I21*0.09,2)</f>
        <v>0</v>
      </c>
      <c r="H20" s="355"/>
      <c r="I20" s="355"/>
      <c r="J20" s="355"/>
      <c r="K20" s="355"/>
      <c r="L20" s="355"/>
      <c r="M20" s="355"/>
      <c r="N20" s="355"/>
      <c r="O20" s="355"/>
      <c r="P20" s="355"/>
      <c r="Q20" s="355"/>
      <c r="R20" s="365">
        <f>SUM(G20:Q20)</f>
        <v>0</v>
      </c>
      <c r="S20" s="354"/>
      <c r="T20" s="369"/>
      <c r="U20" s="355"/>
      <c r="V20" s="355"/>
      <c r="W20" s="355"/>
      <c r="X20" s="360">
        <f>SUM(S20:W20)</f>
        <v>0</v>
      </c>
      <c r="Y20" s="361">
        <f>MIN(ROUNDDOWN('RESEARCH - PAY'!I21*0.05/2,2),2500)</f>
        <v>0</v>
      </c>
      <c r="Z20" s="354"/>
      <c r="AA20" s="369"/>
      <c r="AB20" s="355"/>
      <c r="AC20" s="355"/>
      <c r="AD20" s="355"/>
      <c r="AE20" s="370">
        <f>SUM(Z20:AD20)</f>
        <v>0</v>
      </c>
      <c r="AF20" s="371">
        <f>SUM(F20,R20,X20,Y20,AE20)</f>
        <v>0</v>
      </c>
    </row>
    <row r="21" spans="1:33" ht="18.75" customHeight="1" x14ac:dyDescent="0.25">
      <c r="A21" s="98"/>
      <c r="B21" s="33">
        <f>+B20+1</f>
        <v>2</v>
      </c>
      <c r="C21" s="72">
        <f>'RESEARCH - PAY'!C22</f>
        <v>0</v>
      </c>
      <c r="D21" s="72" t="e">
        <f>'RESEARCH - PAY'!D22</f>
        <v>#N/A</v>
      </c>
      <c r="E21" s="306">
        <f>'RESEARCH - PAY'!E22</f>
        <v>0</v>
      </c>
      <c r="F21" s="49">
        <f>'RESEARCH - PAY'!L22</f>
        <v>0</v>
      </c>
      <c r="G21" s="36">
        <f>ROUND('RESEARCH - PAY'!I22*0.09,2)</f>
        <v>0</v>
      </c>
      <c r="H21" s="91"/>
      <c r="I21" s="91"/>
      <c r="J21" s="91"/>
      <c r="K21" s="91"/>
      <c r="L21" s="91"/>
      <c r="M21" s="91"/>
      <c r="N21" s="91"/>
      <c r="O21" s="91"/>
      <c r="P21" s="91"/>
      <c r="Q21" s="91"/>
      <c r="R21" s="41">
        <f>SUM(G21:Q21)</f>
        <v>0</v>
      </c>
      <c r="S21" s="86"/>
      <c r="T21" s="90"/>
      <c r="U21" s="91"/>
      <c r="V21" s="91"/>
      <c r="W21" s="91"/>
      <c r="X21" s="38">
        <f>SUM(S21:W21)</f>
        <v>0</v>
      </c>
      <c r="Y21" s="49">
        <f>MIN(ROUNDDOWN('RESEARCH - PAY'!I22*0.05/2,2),2500)</f>
        <v>0</v>
      </c>
      <c r="Z21" s="89"/>
      <c r="AA21" s="90"/>
      <c r="AB21" s="88"/>
      <c r="AC21" s="91"/>
      <c r="AD21" s="91"/>
      <c r="AE21" s="35">
        <f>SUM(Z21:AD21)</f>
        <v>0</v>
      </c>
      <c r="AF21" s="62">
        <f>SUM(F21,R21,X21,Y21,AE21)</f>
        <v>0</v>
      </c>
    </row>
    <row r="22" spans="1:33" ht="18.75" customHeight="1" x14ac:dyDescent="0.25">
      <c r="A22" s="98"/>
      <c r="B22" s="33">
        <f t="shared" ref="B22:B31" si="0">+B11+1</f>
        <v>1</v>
      </c>
      <c r="C22" s="72">
        <f>'RESEARCH - PAY'!C23</f>
        <v>0</v>
      </c>
      <c r="D22" s="72" t="e">
        <f>'RESEARCH - PAY'!D23</f>
        <v>#N/A</v>
      </c>
      <c r="E22" s="306">
        <f>'RESEARCH - PAY'!E23</f>
        <v>0</v>
      </c>
      <c r="F22" s="49">
        <f>'RESEARCH - PAY'!L23</f>
        <v>0</v>
      </c>
      <c r="G22" s="36">
        <f>ROUND('RESEARCH - PAY'!I23*0.09,2)</f>
        <v>0</v>
      </c>
      <c r="H22" s="88"/>
      <c r="I22" s="88"/>
      <c r="J22" s="88"/>
      <c r="K22" s="88"/>
      <c r="L22" s="88"/>
      <c r="M22" s="88"/>
      <c r="N22" s="88"/>
      <c r="O22" s="88"/>
      <c r="P22" s="88"/>
      <c r="Q22" s="88"/>
      <c r="R22" s="41">
        <f t="shared" ref="R22:R31" si="1">SUM(G22:Q22)</f>
        <v>0</v>
      </c>
      <c r="S22" s="86"/>
      <c r="T22" s="87"/>
      <c r="U22" s="88"/>
      <c r="V22" s="88"/>
      <c r="W22" s="88"/>
      <c r="X22" s="38">
        <f t="shared" ref="X22:X31" si="2">SUM(S22:W22)</f>
        <v>0</v>
      </c>
      <c r="Y22" s="49">
        <f>MIN(ROUNDDOWN('RESEARCH - PAY'!I23*0.05/2,2),2500)</f>
        <v>0</v>
      </c>
      <c r="Z22" s="86"/>
      <c r="AA22" s="87"/>
      <c r="AB22" s="88"/>
      <c r="AC22" s="88"/>
      <c r="AD22" s="88"/>
      <c r="AE22" s="35">
        <f t="shared" ref="AE22:AE31" si="3">SUM(Z22:AD22)</f>
        <v>0</v>
      </c>
      <c r="AF22" s="62">
        <f t="shared" ref="AF22:AF31" si="4">SUM(F22,R22,X22,Y22,AE22)</f>
        <v>0</v>
      </c>
    </row>
    <row r="23" spans="1:33" ht="18.75" customHeight="1" x14ac:dyDescent="0.25">
      <c r="A23" s="98"/>
      <c r="B23" s="33" t="e">
        <f t="shared" si="0"/>
        <v>#VALUE!</v>
      </c>
      <c r="C23" s="72" t="e">
        <f>'RESEARCH - PAY'!C24</f>
        <v>#VALUE!</v>
      </c>
      <c r="D23" s="72" t="e">
        <f>'RESEARCH - PAY'!D24</f>
        <v>#VALUE!</v>
      </c>
      <c r="E23" s="306" t="e">
        <f>'RESEARCH - PAY'!E24</f>
        <v>#VALUE!</v>
      </c>
      <c r="F23" s="49">
        <f>'RESEARCH - PAY'!L24</f>
        <v>0</v>
      </c>
      <c r="G23" s="36">
        <f>ROUND('RESEARCH - PAY'!I24*0.09,2)</f>
        <v>0</v>
      </c>
      <c r="H23" s="88"/>
      <c r="I23" s="88"/>
      <c r="J23" s="88"/>
      <c r="K23" s="88"/>
      <c r="L23" s="88"/>
      <c r="M23" s="88"/>
      <c r="N23" s="88"/>
      <c r="O23" s="88"/>
      <c r="P23" s="88"/>
      <c r="Q23" s="88"/>
      <c r="R23" s="41">
        <f t="shared" si="1"/>
        <v>0</v>
      </c>
      <c r="S23" s="86"/>
      <c r="T23" s="87"/>
      <c r="U23" s="88"/>
      <c r="V23" s="88"/>
      <c r="W23" s="88"/>
      <c r="X23" s="38">
        <f t="shared" si="2"/>
        <v>0</v>
      </c>
      <c r="Y23" s="49">
        <f>MIN(ROUNDDOWN('RESEARCH - PAY'!I24*0.05/2,2),2500)</f>
        <v>0</v>
      </c>
      <c r="Z23" s="86"/>
      <c r="AA23" s="87"/>
      <c r="AB23" s="88"/>
      <c r="AC23" s="88"/>
      <c r="AD23" s="88"/>
      <c r="AE23" s="35">
        <f t="shared" si="3"/>
        <v>0</v>
      </c>
      <c r="AF23" s="62">
        <f t="shared" si="4"/>
        <v>0</v>
      </c>
    </row>
    <row r="24" spans="1:33" ht="18.75" customHeight="1" x14ac:dyDescent="0.25">
      <c r="A24" s="98"/>
      <c r="B24" s="33">
        <f t="shared" si="0"/>
        <v>1</v>
      </c>
      <c r="C24" s="72">
        <f>'RESEARCH - PAY'!C25</f>
        <v>0</v>
      </c>
      <c r="D24" s="72" t="e">
        <f>'RESEARCH - PAY'!D25</f>
        <v>#N/A</v>
      </c>
      <c r="E24" s="306">
        <f>'RESEARCH - PAY'!E25</f>
        <v>0</v>
      </c>
      <c r="F24" s="49">
        <f>'RESEARCH - PAY'!L25</f>
        <v>0</v>
      </c>
      <c r="G24" s="36">
        <f>ROUND('RESEARCH - PAY'!I25*0.09,2)</f>
        <v>0</v>
      </c>
      <c r="H24" s="88"/>
      <c r="I24" s="88"/>
      <c r="J24" s="88"/>
      <c r="K24" s="88"/>
      <c r="L24" s="88"/>
      <c r="M24" s="88"/>
      <c r="N24" s="88"/>
      <c r="O24" s="88"/>
      <c r="P24" s="88"/>
      <c r="Q24" s="88"/>
      <c r="R24" s="41">
        <f t="shared" si="1"/>
        <v>0</v>
      </c>
      <c r="S24" s="86"/>
      <c r="T24" s="87"/>
      <c r="U24" s="88"/>
      <c r="V24" s="88"/>
      <c r="W24" s="88"/>
      <c r="X24" s="38">
        <f t="shared" si="2"/>
        <v>0</v>
      </c>
      <c r="Y24" s="49">
        <f>MIN(ROUNDDOWN('RESEARCH - PAY'!I25*0.05/2,2),2500)</f>
        <v>0</v>
      </c>
      <c r="Z24" s="86"/>
      <c r="AA24" s="87"/>
      <c r="AB24" s="88"/>
      <c r="AC24" s="88"/>
      <c r="AD24" s="88"/>
      <c r="AE24" s="35">
        <f t="shared" si="3"/>
        <v>0</v>
      </c>
      <c r="AF24" s="62">
        <f t="shared" si="4"/>
        <v>0</v>
      </c>
    </row>
    <row r="25" spans="1:33" ht="18.75" customHeight="1" x14ac:dyDescent="0.25">
      <c r="A25" s="98"/>
      <c r="B25" s="33">
        <f t="shared" si="0"/>
        <v>1</v>
      </c>
      <c r="C25" s="72" t="e">
        <f>'RESEARCH - PAY'!C26</f>
        <v>#VALUE!</v>
      </c>
      <c r="D25" s="72" t="e">
        <f>'RESEARCH - PAY'!D26</f>
        <v>#VALUE!</v>
      </c>
      <c r="E25" s="306" t="e">
        <f>'RESEARCH - PAY'!E26</f>
        <v>#VALUE!</v>
      </c>
      <c r="F25" s="49">
        <f>'RESEARCH - PAY'!L26</f>
        <v>0</v>
      </c>
      <c r="G25" s="36">
        <f>ROUND('RESEARCH - PAY'!I26*0.09,2)</f>
        <v>0</v>
      </c>
      <c r="H25" s="88"/>
      <c r="I25" s="88"/>
      <c r="J25" s="88"/>
      <c r="K25" s="88"/>
      <c r="L25" s="88"/>
      <c r="M25" s="88"/>
      <c r="N25" s="88"/>
      <c r="O25" s="88"/>
      <c r="P25" s="88"/>
      <c r="Q25" s="88"/>
      <c r="R25" s="41">
        <f t="shared" si="1"/>
        <v>0</v>
      </c>
      <c r="S25" s="86"/>
      <c r="T25" s="87"/>
      <c r="U25" s="88"/>
      <c r="V25" s="88"/>
      <c r="W25" s="88"/>
      <c r="X25" s="38">
        <f t="shared" si="2"/>
        <v>0</v>
      </c>
      <c r="Y25" s="49">
        <f>MIN(ROUNDDOWN('RESEARCH - PAY'!I26*0.05/2,2),2500)</f>
        <v>0</v>
      </c>
      <c r="Z25" s="86"/>
      <c r="AA25" s="87"/>
      <c r="AB25" s="88"/>
      <c r="AC25" s="88"/>
      <c r="AD25" s="88"/>
      <c r="AE25" s="35">
        <f t="shared" si="3"/>
        <v>0</v>
      </c>
      <c r="AF25" s="62">
        <f t="shared" si="4"/>
        <v>0</v>
      </c>
    </row>
    <row r="26" spans="1:33" ht="18.75" customHeight="1" x14ac:dyDescent="0.25">
      <c r="A26" s="98"/>
      <c r="B26" s="33">
        <f t="shared" si="0"/>
        <v>1</v>
      </c>
      <c r="C26" s="72">
        <f>'RESEARCH - PAY'!C27</f>
        <v>0</v>
      </c>
      <c r="D26" s="72" t="e">
        <f>'RESEARCH - PAY'!D27</f>
        <v>#N/A</v>
      </c>
      <c r="E26" s="306">
        <f>'RESEARCH - PAY'!E27</f>
        <v>0</v>
      </c>
      <c r="F26" s="49">
        <f>'RESEARCH - PAY'!L27</f>
        <v>0</v>
      </c>
      <c r="G26" s="36">
        <f>ROUND('RESEARCH - PAY'!I27*0.09,2)</f>
        <v>0</v>
      </c>
      <c r="H26" s="88"/>
      <c r="I26" s="88"/>
      <c r="J26" s="88"/>
      <c r="K26" s="88"/>
      <c r="L26" s="88"/>
      <c r="M26" s="88"/>
      <c r="N26" s="88"/>
      <c r="O26" s="88"/>
      <c r="P26" s="88"/>
      <c r="Q26" s="88"/>
      <c r="R26" s="41">
        <f t="shared" si="1"/>
        <v>0</v>
      </c>
      <c r="S26" s="86"/>
      <c r="T26" s="87"/>
      <c r="U26" s="88"/>
      <c r="V26" s="88"/>
      <c r="W26" s="88"/>
      <c r="X26" s="38">
        <f t="shared" si="2"/>
        <v>0</v>
      </c>
      <c r="Y26" s="49">
        <f>MIN(ROUNDDOWN('RESEARCH - PAY'!I27*0.05/2,2),2500)</f>
        <v>0</v>
      </c>
      <c r="Z26" s="86"/>
      <c r="AA26" s="87"/>
      <c r="AB26" s="88"/>
      <c r="AC26" s="88"/>
      <c r="AD26" s="88"/>
      <c r="AE26" s="35">
        <f t="shared" si="3"/>
        <v>0</v>
      </c>
      <c r="AF26" s="62">
        <f t="shared" si="4"/>
        <v>0</v>
      </c>
    </row>
    <row r="27" spans="1:33" ht="18.75" customHeight="1" x14ac:dyDescent="0.25">
      <c r="A27" s="98"/>
      <c r="B27" s="33" t="e">
        <f t="shared" si="0"/>
        <v>#VALUE!</v>
      </c>
      <c r="C27" s="72" t="e">
        <f>'RESEARCH - PAY'!C28</f>
        <v>#VALUE!</v>
      </c>
      <c r="D27" s="72" t="e">
        <f>'RESEARCH - PAY'!D28</f>
        <v>#VALUE!</v>
      </c>
      <c r="E27" s="306" t="e">
        <f>'RESEARCH - PAY'!E28</f>
        <v>#VALUE!</v>
      </c>
      <c r="F27" s="49">
        <f>'RESEARCH - PAY'!L28</f>
        <v>0</v>
      </c>
      <c r="G27" s="36">
        <f>ROUND('RESEARCH - PAY'!I28*0.09,2)</f>
        <v>0</v>
      </c>
      <c r="H27" s="88"/>
      <c r="I27" s="88"/>
      <c r="J27" s="88"/>
      <c r="K27" s="88"/>
      <c r="L27" s="88"/>
      <c r="M27" s="88"/>
      <c r="N27" s="88"/>
      <c r="O27" s="88"/>
      <c r="P27" s="88"/>
      <c r="Q27" s="88"/>
      <c r="R27" s="41">
        <f t="shared" si="1"/>
        <v>0</v>
      </c>
      <c r="S27" s="86"/>
      <c r="T27" s="87"/>
      <c r="U27" s="88"/>
      <c r="V27" s="88"/>
      <c r="W27" s="88"/>
      <c r="X27" s="38">
        <f t="shared" si="2"/>
        <v>0</v>
      </c>
      <c r="Y27" s="49">
        <f>MIN(ROUNDDOWN('RESEARCH - PAY'!I28*0.05/2,2),2500)</f>
        <v>0</v>
      </c>
      <c r="Z27" s="86"/>
      <c r="AA27" s="87"/>
      <c r="AB27" s="88"/>
      <c r="AC27" s="88"/>
      <c r="AD27" s="88"/>
      <c r="AE27" s="35">
        <f t="shared" si="3"/>
        <v>0</v>
      </c>
      <c r="AF27" s="62">
        <f t="shared" si="4"/>
        <v>0</v>
      </c>
    </row>
    <row r="28" spans="1:33" ht="18.75" customHeight="1" x14ac:dyDescent="0.25">
      <c r="A28" s="98"/>
      <c r="B28" s="33">
        <f t="shared" si="0"/>
        <v>1</v>
      </c>
      <c r="C28" s="72">
        <f>'RESEARCH - PAY'!C29</f>
        <v>0</v>
      </c>
      <c r="D28" s="72" t="e">
        <f>'RESEARCH - PAY'!D29</f>
        <v>#N/A</v>
      </c>
      <c r="E28" s="306">
        <f>'RESEARCH - PAY'!E29</f>
        <v>0</v>
      </c>
      <c r="F28" s="49">
        <f>'RESEARCH - PAY'!L29</f>
        <v>0</v>
      </c>
      <c r="G28" s="36">
        <f>ROUND('RESEARCH - PAY'!I29*0.09,2)</f>
        <v>0</v>
      </c>
      <c r="H28" s="88"/>
      <c r="I28" s="88"/>
      <c r="J28" s="88"/>
      <c r="K28" s="88"/>
      <c r="L28" s="88"/>
      <c r="M28" s="88"/>
      <c r="N28" s="88"/>
      <c r="O28" s="88"/>
      <c r="P28" s="88"/>
      <c r="Q28" s="88"/>
      <c r="R28" s="41">
        <f t="shared" si="1"/>
        <v>0</v>
      </c>
      <c r="S28" s="86"/>
      <c r="T28" s="87"/>
      <c r="U28" s="88"/>
      <c r="V28" s="88"/>
      <c r="W28" s="88"/>
      <c r="X28" s="38">
        <f t="shared" si="2"/>
        <v>0</v>
      </c>
      <c r="Y28" s="49">
        <f>MIN(ROUNDDOWN('RESEARCH - PAY'!I29*0.05/2,2),2500)</f>
        <v>0</v>
      </c>
      <c r="Z28" s="86"/>
      <c r="AA28" s="87"/>
      <c r="AB28" s="88"/>
      <c r="AC28" s="88"/>
      <c r="AD28" s="88"/>
      <c r="AE28" s="35">
        <f t="shared" si="3"/>
        <v>0</v>
      </c>
      <c r="AF28" s="62">
        <f t="shared" si="4"/>
        <v>0</v>
      </c>
    </row>
    <row r="29" spans="1:33" ht="18.75" customHeight="1" x14ac:dyDescent="0.25">
      <c r="A29" s="98"/>
      <c r="B29" s="33">
        <f t="shared" si="0"/>
        <v>1</v>
      </c>
      <c r="C29" s="72">
        <f>'RESEARCH - PAY'!C30</f>
        <v>0</v>
      </c>
      <c r="D29" s="72" t="e">
        <f>'RESEARCH - PAY'!D30</f>
        <v>#N/A</v>
      </c>
      <c r="E29" s="306">
        <f>'RESEARCH - PAY'!E30</f>
        <v>0</v>
      </c>
      <c r="F29" s="49">
        <f>'RESEARCH - PAY'!L30</f>
        <v>0</v>
      </c>
      <c r="G29" s="36">
        <f>ROUND('RESEARCH - PAY'!I30*0.09,2)</f>
        <v>0</v>
      </c>
      <c r="H29" s="88"/>
      <c r="I29" s="88"/>
      <c r="J29" s="88"/>
      <c r="K29" s="88"/>
      <c r="L29" s="88"/>
      <c r="M29" s="88"/>
      <c r="N29" s="88"/>
      <c r="O29" s="88"/>
      <c r="P29" s="88"/>
      <c r="Q29" s="88"/>
      <c r="R29" s="41">
        <f t="shared" si="1"/>
        <v>0</v>
      </c>
      <c r="S29" s="86"/>
      <c r="T29" s="87"/>
      <c r="U29" s="88"/>
      <c r="V29" s="88"/>
      <c r="W29" s="88"/>
      <c r="X29" s="38">
        <f t="shared" si="2"/>
        <v>0</v>
      </c>
      <c r="Y29" s="49">
        <f>MIN(ROUNDDOWN('RESEARCH - PAY'!I30*0.05/2,2),2500)</f>
        <v>0</v>
      </c>
      <c r="Z29" s="86"/>
      <c r="AA29" s="87"/>
      <c r="AB29" s="88"/>
      <c r="AC29" s="88"/>
      <c r="AD29" s="88"/>
      <c r="AE29" s="35">
        <f t="shared" si="3"/>
        <v>0</v>
      </c>
      <c r="AF29" s="62">
        <f t="shared" si="4"/>
        <v>0</v>
      </c>
    </row>
    <row r="30" spans="1:33" ht="18.75" customHeight="1" x14ac:dyDescent="0.25">
      <c r="A30" s="98"/>
      <c r="B30" s="33">
        <f t="shared" si="0"/>
        <v>1</v>
      </c>
      <c r="C30" s="72">
        <f>'RESEARCH - PAY'!C31</f>
        <v>0</v>
      </c>
      <c r="D30" s="72" t="e">
        <f>'RESEARCH - PAY'!D31</f>
        <v>#N/A</v>
      </c>
      <c r="E30" s="306">
        <f>'RESEARCH - PAY'!E31</f>
        <v>0</v>
      </c>
      <c r="F30" s="49">
        <f>'RESEARCH - PAY'!L31</f>
        <v>0</v>
      </c>
      <c r="G30" s="36">
        <f>ROUND('RESEARCH - PAY'!I31*0.09,2)</f>
        <v>0</v>
      </c>
      <c r="H30" s="88"/>
      <c r="I30" s="88"/>
      <c r="J30" s="88"/>
      <c r="K30" s="88"/>
      <c r="L30" s="88"/>
      <c r="M30" s="88"/>
      <c r="N30" s="88"/>
      <c r="O30" s="88"/>
      <c r="P30" s="88"/>
      <c r="Q30" s="88"/>
      <c r="R30" s="41">
        <f t="shared" si="1"/>
        <v>0</v>
      </c>
      <c r="S30" s="86"/>
      <c r="T30" s="87"/>
      <c r="U30" s="88"/>
      <c r="V30" s="88"/>
      <c r="W30" s="88"/>
      <c r="X30" s="38">
        <f t="shared" si="2"/>
        <v>0</v>
      </c>
      <c r="Y30" s="49">
        <f>MIN(ROUNDDOWN('RESEARCH - PAY'!I31*0.05/2,2),2500)</f>
        <v>0</v>
      </c>
      <c r="Z30" s="86"/>
      <c r="AA30" s="87"/>
      <c r="AB30" s="88"/>
      <c r="AC30" s="88"/>
      <c r="AD30" s="88"/>
      <c r="AE30" s="35">
        <f t="shared" si="3"/>
        <v>0</v>
      </c>
      <c r="AF30" s="62">
        <f t="shared" si="4"/>
        <v>0</v>
      </c>
    </row>
    <row r="31" spans="1:33" ht="18.75" customHeight="1" x14ac:dyDescent="0.25">
      <c r="A31" s="98"/>
      <c r="B31" s="33">
        <f t="shared" si="0"/>
        <v>2</v>
      </c>
      <c r="C31" s="72">
        <f>'RESEARCH - PAY'!C32</f>
        <v>0</v>
      </c>
      <c r="D31" s="72" t="e">
        <f>'RESEARCH - PAY'!D32</f>
        <v>#N/A</v>
      </c>
      <c r="E31" s="306">
        <f>'RESEARCH - PAY'!E32</f>
        <v>0</v>
      </c>
      <c r="F31" s="49">
        <f>'RESEARCH - PAY'!L32</f>
        <v>0</v>
      </c>
      <c r="G31" s="36">
        <f>ROUND('RESEARCH - PAY'!I32*0.09,2)</f>
        <v>0</v>
      </c>
      <c r="H31" s="88"/>
      <c r="I31" s="88"/>
      <c r="J31" s="88"/>
      <c r="K31" s="88"/>
      <c r="L31" s="88"/>
      <c r="M31" s="88"/>
      <c r="N31" s="88"/>
      <c r="O31" s="88"/>
      <c r="P31" s="88"/>
      <c r="Q31" s="88"/>
      <c r="R31" s="41">
        <f t="shared" si="1"/>
        <v>0</v>
      </c>
      <c r="S31" s="86"/>
      <c r="T31" s="87"/>
      <c r="U31" s="88"/>
      <c r="V31" s="88"/>
      <c r="W31" s="88"/>
      <c r="X31" s="38">
        <f t="shared" si="2"/>
        <v>0</v>
      </c>
      <c r="Y31" s="49">
        <f>MIN(ROUNDDOWN('RESEARCH - PAY'!I32*0.05/2,2),2500)</f>
        <v>0</v>
      </c>
      <c r="Z31" s="86"/>
      <c r="AA31" s="87"/>
      <c r="AB31" s="88"/>
      <c r="AC31" s="88"/>
      <c r="AD31" s="88"/>
      <c r="AE31" s="35">
        <f t="shared" si="3"/>
        <v>0</v>
      </c>
      <c r="AF31" s="62">
        <f t="shared" si="4"/>
        <v>0</v>
      </c>
    </row>
    <row r="32" spans="1:33" ht="18.75" customHeight="1" x14ac:dyDescent="0.25">
      <c r="A32" s="98"/>
      <c r="B32" s="33">
        <f>+B21+1</f>
        <v>3</v>
      </c>
      <c r="C32" s="72">
        <f>'RESEARCH - PAY'!C33</f>
        <v>0</v>
      </c>
      <c r="D32" s="72" t="e">
        <f>'RESEARCH - PAY'!D33</f>
        <v>#N/A</v>
      </c>
      <c r="E32" s="306">
        <f>'RESEARCH - PAY'!E33</f>
        <v>0</v>
      </c>
      <c r="F32" s="49">
        <f>'RESEARCH - PAY'!L33</f>
        <v>0</v>
      </c>
      <c r="G32" s="36">
        <f>ROUND('RESEARCH - PAY'!I33*0.09,2)</f>
        <v>0</v>
      </c>
      <c r="H32" s="88"/>
      <c r="I32" s="88"/>
      <c r="J32" s="88"/>
      <c r="K32" s="88"/>
      <c r="L32" s="88"/>
      <c r="M32" s="88"/>
      <c r="N32" s="88"/>
      <c r="O32" s="88"/>
      <c r="P32" s="88"/>
      <c r="Q32" s="88"/>
      <c r="R32" s="41">
        <f>SUM(G32:Q32)</f>
        <v>0</v>
      </c>
      <c r="S32" s="86"/>
      <c r="T32" s="87"/>
      <c r="U32" s="88"/>
      <c r="V32" s="88"/>
      <c r="W32" s="88"/>
      <c r="X32" s="38">
        <f>SUM(S32:W32)</f>
        <v>0</v>
      </c>
      <c r="Y32" s="49">
        <f>MIN(ROUNDDOWN('RESEARCH - PAY'!I33*0.05/2,2),2500)</f>
        <v>0</v>
      </c>
      <c r="Z32" s="86"/>
      <c r="AA32" s="87"/>
      <c r="AB32" s="88"/>
      <c r="AC32" s="88"/>
      <c r="AD32" s="88"/>
      <c r="AE32" s="35">
        <f>SUM(Z32:AD32)</f>
        <v>0</v>
      </c>
      <c r="AF32" s="62">
        <f>SUM(F32,R32,X32,Y32,AE32)</f>
        <v>0</v>
      </c>
    </row>
    <row r="33" spans="1:32" ht="18.75" customHeight="1" x14ac:dyDescent="0.25">
      <c r="A33" s="98"/>
      <c r="B33" s="33"/>
      <c r="C33" s="64"/>
      <c r="D33" s="64"/>
      <c r="E33" s="63"/>
      <c r="F33" s="70"/>
      <c r="G33" s="65"/>
      <c r="H33" s="91"/>
      <c r="I33" s="91"/>
      <c r="J33" s="91"/>
      <c r="K33" s="91"/>
      <c r="L33" s="91"/>
      <c r="M33" s="91"/>
      <c r="N33" s="91"/>
      <c r="O33" s="91"/>
      <c r="P33" s="91"/>
      <c r="Q33" s="91"/>
      <c r="R33" s="71"/>
      <c r="S33" s="89"/>
      <c r="T33" s="90"/>
      <c r="U33" s="91"/>
      <c r="V33" s="91"/>
      <c r="W33" s="91"/>
      <c r="X33" s="69"/>
      <c r="Y33" s="70"/>
      <c r="Z33" s="89"/>
      <c r="AA33" s="90"/>
      <c r="AB33" s="91"/>
      <c r="AC33" s="91"/>
      <c r="AD33" s="91"/>
      <c r="AE33" s="67"/>
      <c r="AF33" s="62">
        <f>SUM(F33,R33,X33,Y33,AE33)</f>
        <v>0</v>
      </c>
    </row>
    <row r="34" spans="1:32" ht="18.75" customHeight="1" thickBot="1" x14ac:dyDescent="0.3">
      <c r="A34" s="98"/>
      <c r="B34" s="16"/>
      <c r="C34" s="16"/>
      <c r="D34" s="16"/>
      <c r="E34" s="324"/>
      <c r="F34" s="81">
        <f t="shared" ref="F34:AF34" si="5">SUM(F20:F33)</f>
        <v>0</v>
      </c>
      <c r="G34" s="73">
        <f t="shared" si="5"/>
        <v>0</v>
      </c>
      <c r="H34" s="94">
        <f t="shared" si="5"/>
        <v>0</v>
      </c>
      <c r="I34" s="94">
        <f t="shared" si="5"/>
        <v>0</v>
      </c>
      <c r="J34" s="94">
        <f t="shared" si="5"/>
        <v>0</v>
      </c>
      <c r="K34" s="94">
        <f t="shared" si="5"/>
        <v>0</v>
      </c>
      <c r="L34" s="94">
        <f t="shared" si="5"/>
        <v>0</v>
      </c>
      <c r="M34" s="94">
        <f t="shared" si="5"/>
        <v>0</v>
      </c>
      <c r="N34" s="94">
        <f t="shared" si="5"/>
        <v>0</v>
      </c>
      <c r="O34" s="94">
        <f t="shared" si="5"/>
        <v>0</v>
      </c>
      <c r="P34" s="94">
        <f t="shared" si="5"/>
        <v>0</v>
      </c>
      <c r="Q34" s="94">
        <f t="shared" si="5"/>
        <v>0</v>
      </c>
      <c r="R34" s="74">
        <f t="shared" si="5"/>
        <v>0</v>
      </c>
      <c r="S34" s="95">
        <f t="shared" si="5"/>
        <v>0</v>
      </c>
      <c r="T34" s="96">
        <f t="shared" si="5"/>
        <v>0</v>
      </c>
      <c r="U34" s="94">
        <f t="shared" si="5"/>
        <v>0</v>
      </c>
      <c r="V34" s="94">
        <f t="shared" si="5"/>
        <v>0</v>
      </c>
      <c r="W34" s="94">
        <f t="shared" si="5"/>
        <v>0</v>
      </c>
      <c r="X34" s="80">
        <f t="shared" si="5"/>
        <v>0</v>
      </c>
      <c r="Y34" s="81">
        <f t="shared" si="5"/>
        <v>0</v>
      </c>
      <c r="Z34" s="95">
        <f t="shared" si="5"/>
        <v>0</v>
      </c>
      <c r="AA34" s="96">
        <f t="shared" si="5"/>
        <v>0</v>
      </c>
      <c r="AB34" s="94">
        <f t="shared" si="5"/>
        <v>0</v>
      </c>
      <c r="AC34" s="94">
        <f t="shared" si="5"/>
        <v>0</v>
      </c>
      <c r="AD34" s="94">
        <f t="shared" si="5"/>
        <v>0</v>
      </c>
      <c r="AE34" s="80">
        <f t="shared" si="5"/>
        <v>0</v>
      </c>
      <c r="AF34" s="81">
        <f t="shared" si="5"/>
        <v>0</v>
      </c>
    </row>
    <row r="35" spans="1:32" x14ac:dyDescent="0.25">
      <c r="R35" s="75">
        <f>R34-'RESEARCH - PAY'!M35</f>
        <v>0</v>
      </c>
      <c r="X35" s="75">
        <f>X34-'RESEARCH - PAY'!N35</f>
        <v>0</v>
      </c>
      <c r="Y35" s="75">
        <f>Y34-'RESEARCH - PAY'!O35</f>
        <v>0</v>
      </c>
      <c r="AE35" s="75">
        <f>AE34-'RESEARCH - PAY'!P35</f>
        <v>0</v>
      </c>
      <c r="AF35" s="75">
        <f>AF34-'RESEARCH - PAY'!Q35</f>
        <v>0</v>
      </c>
    </row>
    <row r="36" spans="1:32" x14ac:dyDescent="0.25">
      <c r="AF36" s="75"/>
    </row>
    <row r="37" spans="1:32" x14ac:dyDescent="0.25">
      <c r="C37" s="820" t="s">
        <v>47</v>
      </c>
      <c r="D37" s="820"/>
    </row>
    <row r="38" spans="1:32" x14ac:dyDescent="0.25">
      <c r="C38" s="827" t="s">
        <v>93</v>
      </c>
      <c r="D38" s="827"/>
    </row>
    <row r="40" spans="1:32" x14ac:dyDescent="0.25">
      <c r="C40" s="32"/>
    </row>
    <row r="70" spans="1:32" ht="18.75" customHeight="1" x14ac:dyDescent="0.25">
      <c r="A70" s="98"/>
      <c r="B70" s="6"/>
      <c r="C70" s="349"/>
      <c r="D70" s="349"/>
      <c r="E70" s="366"/>
      <c r="F70" s="367"/>
      <c r="G70" s="367"/>
      <c r="H70" s="367"/>
      <c r="I70" s="367"/>
      <c r="J70" s="367"/>
      <c r="K70" s="367"/>
      <c r="L70" s="367"/>
      <c r="M70" s="367"/>
      <c r="N70" s="367"/>
      <c r="O70" s="367"/>
      <c r="P70" s="367"/>
      <c r="Q70" s="367"/>
      <c r="R70" s="367"/>
      <c r="S70" s="367"/>
      <c r="T70" s="367"/>
      <c r="U70" s="367"/>
      <c r="V70" s="367"/>
      <c r="W70" s="367"/>
      <c r="X70" s="367"/>
      <c r="Y70" s="367"/>
      <c r="Z70" s="367"/>
      <c r="AA70" s="367"/>
      <c r="AB70" s="367"/>
      <c r="AC70" s="367"/>
      <c r="AD70" s="367"/>
      <c r="AE70" s="367"/>
      <c r="AF70" s="372"/>
    </row>
  </sheetData>
  <mergeCells count="48">
    <mergeCell ref="B14:Z14"/>
    <mergeCell ref="AE2:AF2"/>
    <mergeCell ref="B3:AF3"/>
    <mergeCell ref="B4:AF4"/>
    <mergeCell ref="B5:AF5"/>
    <mergeCell ref="B6:AF6"/>
    <mergeCell ref="B8:AF8"/>
    <mergeCell ref="B9:AF9"/>
    <mergeCell ref="B10:AF10"/>
    <mergeCell ref="D11:D13"/>
    <mergeCell ref="B12:C12"/>
    <mergeCell ref="AD12:AF12"/>
    <mergeCell ref="B16:B18"/>
    <mergeCell ref="C16:C18"/>
    <mergeCell ref="D16:D18"/>
    <mergeCell ref="E16:E18"/>
    <mergeCell ref="F16:F18"/>
    <mergeCell ref="S16:X16"/>
    <mergeCell ref="Y16:Y18"/>
    <mergeCell ref="Z16:AE16"/>
    <mergeCell ref="AF16:AF18"/>
    <mergeCell ref="G17:G18"/>
    <mergeCell ref="H17:H18"/>
    <mergeCell ref="I17:I18"/>
    <mergeCell ref="J17:J18"/>
    <mergeCell ref="K17:K18"/>
    <mergeCell ref="L17:L18"/>
    <mergeCell ref="G16:R16"/>
    <mergeCell ref="M17:M18"/>
    <mergeCell ref="N17:N18"/>
    <mergeCell ref="O17:O18"/>
    <mergeCell ref="P17:P18"/>
    <mergeCell ref="AD17:AD18"/>
    <mergeCell ref="AE17:AE18"/>
    <mergeCell ref="C37:D37"/>
    <mergeCell ref="C38:D38"/>
    <mergeCell ref="W17:W18"/>
    <mergeCell ref="X17:X18"/>
    <mergeCell ref="Z17:Z18"/>
    <mergeCell ref="AA17:AA18"/>
    <mergeCell ref="AB17:AB18"/>
    <mergeCell ref="AC17:AC18"/>
    <mergeCell ref="Q17:Q18"/>
    <mergeCell ref="R17:R18"/>
    <mergeCell ref="S17:S18"/>
    <mergeCell ref="T17:T18"/>
    <mergeCell ref="U17:U18"/>
    <mergeCell ref="V17:V18"/>
  </mergeCells>
  <printOptions horizontalCentered="1"/>
  <pageMargins left="0.39370078740157483" right="0.39370078740157483" top="0.39370078740157483" bottom="0.39370078740157483" header="0" footer="0.19685039370078741"/>
  <pageSetup paperSize="14" scale="41" fitToHeight="0" orientation="landscape" r:id="rId1"/>
  <headerFooter alignWithMargins="0">
    <oddHeader>&amp;R&amp;16
Sheet &amp;"Times New Roman,Bold"&amp;U&amp;P&amp;"Times New Roman,Regular"&amp;U of &amp;"Times New Roman,Bold"&amp;U&amp;N&amp;"Times New Roman,Regular"&amp;U Sheet/s</oddHeader>
  </headerFooter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3">
    <tabColor theme="6" tint="-0.249977111117893"/>
  </sheetPr>
  <dimension ref="B2:N48"/>
  <sheetViews>
    <sheetView topLeftCell="A2" workbookViewId="0">
      <selection activeCell="C8" sqref="C8:C33"/>
    </sheetView>
  </sheetViews>
  <sheetFormatPr defaultRowHeight="15.75" x14ac:dyDescent="0.25"/>
  <cols>
    <col min="1" max="2" width="9" style="4"/>
    <col min="3" max="3" width="31.625" style="4" bestFit="1" customWidth="1"/>
    <col min="4" max="4" width="21.75" style="4" bestFit="1" customWidth="1"/>
    <col min="5" max="14" width="12.375" style="57" bestFit="1" customWidth="1"/>
    <col min="15" max="16384" width="9" style="4"/>
  </cols>
  <sheetData>
    <row r="2" spans="2:14" ht="27.75" customHeight="1" thickBot="1" x14ac:dyDescent="0.3">
      <c r="B2" s="785" t="s">
        <v>156</v>
      </c>
      <c r="C2" s="785"/>
      <c r="D2" s="785"/>
      <c r="E2" s="785"/>
      <c r="F2" s="785"/>
      <c r="G2" s="785"/>
      <c r="H2" s="785"/>
      <c r="I2" s="785"/>
      <c r="J2" s="785"/>
      <c r="K2" s="785"/>
      <c r="L2" s="785"/>
      <c r="M2" s="785"/>
      <c r="N2" s="785"/>
    </row>
    <row r="3" spans="2:14" ht="27.75" customHeight="1" thickBot="1" x14ac:dyDescent="0.3">
      <c r="B3" s="946" t="s">
        <v>123</v>
      </c>
      <c r="C3" s="946"/>
      <c r="D3" s="946"/>
      <c r="E3" s="946"/>
      <c r="F3" s="946"/>
      <c r="G3" s="946"/>
      <c r="H3" s="946"/>
      <c r="I3" s="946"/>
      <c r="J3" s="946"/>
      <c r="K3" s="946"/>
      <c r="L3" s="946"/>
      <c r="M3" s="946"/>
      <c r="N3" s="946"/>
    </row>
    <row r="4" spans="2:14" x14ac:dyDescent="0.25">
      <c r="B4" s="802" t="s">
        <v>6</v>
      </c>
      <c r="C4" s="806" t="s">
        <v>1</v>
      </c>
      <c r="D4" s="815" t="s">
        <v>2</v>
      </c>
      <c r="E4" s="780" t="s">
        <v>14</v>
      </c>
      <c r="F4" s="780" t="s">
        <v>54</v>
      </c>
      <c r="G4" s="802" t="s">
        <v>157</v>
      </c>
      <c r="H4" s="809" t="s">
        <v>153</v>
      </c>
      <c r="I4" s="810"/>
      <c r="J4" s="810"/>
      <c r="K4" s="810"/>
      <c r="L4" s="810"/>
      <c r="M4" s="810"/>
      <c r="N4" s="811"/>
    </row>
    <row r="5" spans="2:14" ht="16.5" thickBot="1" x14ac:dyDescent="0.3">
      <c r="B5" s="803"/>
      <c r="C5" s="807"/>
      <c r="D5" s="816"/>
      <c r="E5" s="781"/>
      <c r="F5" s="781"/>
      <c r="G5" s="803"/>
      <c r="H5" s="812"/>
      <c r="I5" s="813"/>
      <c r="J5" s="813"/>
      <c r="K5" s="813"/>
      <c r="L5" s="813"/>
      <c r="M5" s="813"/>
      <c r="N5" s="814"/>
    </row>
    <row r="6" spans="2:14" ht="16.5" thickBot="1" x14ac:dyDescent="0.3">
      <c r="B6" s="803"/>
      <c r="C6" s="807"/>
      <c r="D6" s="816"/>
      <c r="E6" s="781"/>
      <c r="F6" s="781"/>
      <c r="G6" s="804"/>
      <c r="H6" s="323" t="s">
        <v>150</v>
      </c>
      <c r="I6" s="319" t="s">
        <v>154</v>
      </c>
      <c r="J6" s="323" t="s">
        <v>151</v>
      </c>
      <c r="K6" s="319" t="s">
        <v>154</v>
      </c>
      <c r="L6" s="323" t="s">
        <v>152</v>
      </c>
      <c r="M6" s="319" t="s">
        <v>154</v>
      </c>
      <c r="N6" s="319" t="s">
        <v>155</v>
      </c>
    </row>
    <row r="7" spans="2:14" x14ac:dyDescent="0.25">
      <c r="B7" s="42"/>
      <c r="C7" s="320"/>
      <c r="D7" s="321"/>
      <c r="E7" s="322"/>
      <c r="F7" s="322"/>
      <c r="G7" s="55"/>
      <c r="H7" s="322"/>
      <c r="I7" s="55"/>
      <c r="J7" s="322"/>
      <c r="K7" s="55"/>
      <c r="L7" s="322"/>
      <c r="M7" s="55"/>
      <c r="N7" s="55"/>
    </row>
    <row r="8" spans="2:14" x14ac:dyDescent="0.25">
      <c r="B8" s="34">
        <v>1</v>
      </c>
      <c r="C8" s="184"/>
      <c r="D8" s="339"/>
      <c r="E8" s="225"/>
      <c r="F8" s="225"/>
      <c r="G8" s="188">
        <f>'EXTENSION - PAY'!I21/31</f>
        <v>0</v>
      </c>
      <c r="H8" s="313"/>
      <c r="I8" s="188">
        <f>ROUND(G8*H8,2)</f>
        <v>0</v>
      </c>
      <c r="J8" s="313"/>
      <c r="K8" s="188">
        <f>ROUND(G8/8*J8,2)</f>
        <v>0</v>
      </c>
      <c r="L8" s="313"/>
      <c r="M8" s="188">
        <f>ROUND(G8/8/60*L8,2)</f>
        <v>0</v>
      </c>
      <c r="N8" s="188">
        <f>I8+K8+M8</f>
        <v>0</v>
      </c>
    </row>
    <row r="9" spans="2:14" x14ac:dyDescent="0.25">
      <c r="B9" s="34">
        <f>+B8+1</f>
        <v>2</v>
      </c>
      <c r="C9" s="184"/>
      <c r="D9" s="339"/>
      <c r="E9" s="225"/>
      <c r="F9" s="225"/>
      <c r="G9" s="188">
        <f>'EXTENSION - PAY'!I22/31</f>
        <v>0</v>
      </c>
      <c r="H9" s="313"/>
      <c r="I9" s="188">
        <f>ROUND(G9*H9,2)</f>
        <v>0</v>
      </c>
      <c r="J9" s="313"/>
      <c r="K9" s="188">
        <f>ROUND(G9/8*J9,2)</f>
        <v>0</v>
      </c>
      <c r="L9" s="313"/>
      <c r="M9" s="188">
        <f>ROUND(G9/8/60*L9,2)</f>
        <v>0</v>
      </c>
      <c r="N9" s="188">
        <f>I9+K9+M9</f>
        <v>0</v>
      </c>
    </row>
    <row r="10" spans="2:14" x14ac:dyDescent="0.25">
      <c r="B10" s="34">
        <f t="shared" ref="B10:B32" si="0">+B9+1</f>
        <v>3</v>
      </c>
      <c r="C10" s="184"/>
      <c r="D10" s="339"/>
      <c r="E10" s="225"/>
      <c r="F10" s="225"/>
      <c r="G10" s="188">
        <f>'EXTENSION - PAY'!I23/31</f>
        <v>0</v>
      </c>
      <c r="H10" s="313"/>
      <c r="I10" s="188">
        <f t="shared" ref="I10:I23" si="1">ROUND(G10*H10,2)</f>
        <v>0</v>
      </c>
      <c r="J10" s="313"/>
      <c r="K10" s="188">
        <f t="shared" ref="K10:K23" si="2">ROUND(G10/8*J10,2)</f>
        <v>0</v>
      </c>
      <c r="L10" s="313"/>
      <c r="M10" s="188">
        <f t="shared" ref="M10:M23" si="3">ROUND(G10/8/60*L10,2)</f>
        <v>0</v>
      </c>
      <c r="N10" s="188">
        <f t="shared" ref="N10:N23" si="4">I10+K10+M10</f>
        <v>0</v>
      </c>
    </row>
    <row r="11" spans="2:14" x14ac:dyDescent="0.25">
      <c r="B11" s="34">
        <f t="shared" si="0"/>
        <v>4</v>
      </c>
      <c r="C11" s="184"/>
      <c r="D11" s="339"/>
      <c r="E11" s="225"/>
      <c r="F11" s="225"/>
      <c r="G11" s="188">
        <f>'EXTENSION - PAY'!I24/31</f>
        <v>0</v>
      </c>
      <c r="H11" s="313"/>
      <c r="I11" s="188">
        <f t="shared" si="1"/>
        <v>0</v>
      </c>
      <c r="J11" s="313"/>
      <c r="K11" s="188">
        <f t="shared" si="2"/>
        <v>0</v>
      </c>
      <c r="L11" s="313"/>
      <c r="M11" s="188">
        <f t="shared" si="3"/>
        <v>0</v>
      </c>
      <c r="N11" s="188">
        <f t="shared" si="4"/>
        <v>0</v>
      </c>
    </row>
    <row r="12" spans="2:14" x14ac:dyDescent="0.25">
      <c r="B12" s="34">
        <f t="shared" si="0"/>
        <v>5</v>
      </c>
      <c r="C12" s="184"/>
      <c r="D12" s="339"/>
      <c r="E12" s="225"/>
      <c r="F12" s="225"/>
      <c r="G12" s="188">
        <f>'EXTENSION - PAY'!I25/31</f>
        <v>0</v>
      </c>
      <c r="H12" s="313"/>
      <c r="I12" s="188">
        <f t="shared" si="1"/>
        <v>0</v>
      </c>
      <c r="J12" s="313"/>
      <c r="K12" s="188">
        <f t="shared" si="2"/>
        <v>0</v>
      </c>
      <c r="L12" s="313"/>
      <c r="M12" s="188">
        <f t="shared" si="3"/>
        <v>0</v>
      </c>
      <c r="N12" s="188">
        <f t="shared" si="4"/>
        <v>0</v>
      </c>
    </row>
    <row r="13" spans="2:14" x14ac:dyDescent="0.25">
      <c r="B13" s="34">
        <f t="shared" si="0"/>
        <v>6</v>
      </c>
      <c r="C13" s="184"/>
      <c r="D13" s="339"/>
      <c r="E13" s="225"/>
      <c r="F13" s="225"/>
      <c r="G13" s="188">
        <f>'EXTENSION - PAY'!I26/31</f>
        <v>0</v>
      </c>
      <c r="H13" s="313"/>
      <c r="I13" s="188">
        <f t="shared" si="1"/>
        <v>0</v>
      </c>
      <c r="J13" s="313"/>
      <c r="K13" s="188">
        <f t="shared" si="2"/>
        <v>0</v>
      </c>
      <c r="L13" s="313"/>
      <c r="M13" s="188">
        <f t="shared" si="3"/>
        <v>0</v>
      </c>
      <c r="N13" s="188">
        <f t="shared" si="4"/>
        <v>0</v>
      </c>
    </row>
    <row r="14" spans="2:14" x14ac:dyDescent="0.25">
      <c r="B14" s="34">
        <f t="shared" si="0"/>
        <v>7</v>
      </c>
      <c r="C14" s="184"/>
      <c r="D14" s="339"/>
      <c r="E14" s="225"/>
      <c r="F14" s="225"/>
      <c r="G14" s="188">
        <f>'EXTENSION - PAY'!I27/31</f>
        <v>0</v>
      </c>
      <c r="H14" s="313"/>
      <c r="I14" s="188">
        <f t="shared" si="1"/>
        <v>0</v>
      </c>
      <c r="J14" s="313"/>
      <c r="K14" s="188">
        <f t="shared" si="2"/>
        <v>0</v>
      </c>
      <c r="L14" s="313"/>
      <c r="M14" s="188">
        <f t="shared" si="3"/>
        <v>0</v>
      </c>
      <c r="N14" s="188">
        <f t="shared" si="4"/>
        <v>0</v>
      </c>
    </row>
    <row r="15" spans="2:14" x14ac:dyDescent="0.25">
      <c r="B15" s="34">
        <f t="shared" si="0"/>
        <v>8</v>
      </c>
      <c r="C15" s="186"/>
      <c r="D15" s="339"/>
      <c r="E15" s="331"/>
      <c r="F15" s="331"/>
      <c r="G15" s="188">
        <f>'EXTENSION - PAY'!I28/31</f>
        <v>0</v>
      </c>
      <c r="H15" s="313"/>
      <c r="I15" s="188">
        <f t="shared" si="1"/>
        <v>0</v>
      </c>
      <c r="J15" s="313"/>
      <c r="K15" s="188">
        <f t="shared" si="2"/>
        <v>0</v>
      </c>
      <c r="L15" s="313"/>
      <c r="M15" s="188">
        <f t="shared" si="3"/>
        <v>0</v>
      </c>
      <c r="N15" s="188">
        <f t="shared" si="4"/>
        <v>0</v>
      </c>
    </row>
    <row r="16" spans="2:14" x14ac:dyDescent="0.25">
      <c r="B16" s="34">
        <f t="shared" si="0"/>
        <v>9</v>
      </c>
      <c r="C16" s="186"/>
      <c r="D16" s="339"/>
      <c r="E16" s="331"/>
      <c r="F16" s="331"/>
      <c r="G16" s="188">
        <f>'EXTENSION - PAY'!I29/31</f>
        <v>0</v>
      </c>
      <c r="H16" s="313"/>
      <c r="I16" s="188">
        <f t="shared" si="1"/>
        <v>0</v>
      </c>
      <c r="J16" s="313"/>
      <c r="K16" s="188">
        <f t="shared" si="2"/>
        <v>0</v>
      </c>
      <c r="L16" s="313"/>
      <c r="M16" s="188">
        <f t="shared" si="3"/>
        <v>0</v>
      </c>
      <c r="N16" s="188">
        <f t="shared" si="4"/>
        <v>0</v>
      </c>
    </row>
    <row r="17" spans="2:14" x14ac:dyDescent="0.25">
      <c r="B17" s="34">
        <f t="shared" si="0"/>
        <v>10</v>
      </c>
      <c r="C17" s="186"/>
      <c r="D17" s="339"/>
      <c r="E17" s="225"/>
      <c r="F17" s="225"/>
      <c r="G17" s="188">
        <f>'EXTENSION - PAY'!I30/31</f>
        <v>0</v>
      </c>
      <c r="H17" s="313"/>
      <c r="I17" s="188">
        <f t="shared" si="1"/>
        <v>0</v>
      </c>
      <c r="J17" s="313"/>
      <c r="K17" s="188">
        <f t="shared" si="2"/>
        <v>0</v>
      </c>
      <c r="L17" s="313"/>
      <c r="M17" s="188">
        <f t="shared" si="3"/>
        <v>0</v>
      </c>
      <c r="N17" s="188">
        <f t="shared" si="4"/>
        <v>0</v>
      </c>
    </row>
    <row r="18" spans="2:14" x14ac:dyDescent="0.25">
      <c r="B18" s="34">
        <f t="shared" si="0"/>
        <v>11</v>
      </c>
      <c r="C18" s="186"/>
      <c r="D18" s="339"/>
      <c r="E18" s="331"/>
      <c r="F18" s="331"/>
      <c r="G18" s="188">
        <f>'EXTENSION - PAY'!I31/31</f>
        <v>0</v>
      </c>
      <c r="H18" s="313"/>
      <c r="I18" s="188">
        <f t="shared" si="1"/>
        <v>0</v>
      </c>
      <c r="J18" s="313"/>
      <c r="K18" s="188">
        <f t="shared" si="2"/>
        <v>0</v>
      </c>
      <c r="L18" s="313"/>
      <c r="M18" s="188">
        <f t="shared" si="3"/>
        <v>0</v>
      </c>
      <c r="N18" s="188">
        <f t="shared" si="4"/>
        <v>0</v>
      </c>
    </row>
    <row r="19" spans="2:14" x14ac:dyDescent="0.25">
      <c r="B19" s="34">
        <f t="shared" si="0"/>
        <v>12</v>
      </c>
      <c r="C19" s="186"/>
      <c r="D19" s="339"/>
      <c r="E19" s="225"/>
      <c r="F19" s="225"/>
      <c r="G19" s="188">
        <f>'EXTENSION - PAY'!I32/31</f>
        <v>0</v>
      </c>
      <c r="H19" s="313"/>
      <c r="I19" s="188">
        <f t="shared" si="1"/>
        <v>0</v>
      </c>
      <c r="J19" s="313"/>
      <c r="K19" s="188">
        <f t="shared" si="2"/>
        <v>0</v>
      </c>
      <c r="L19" s="313"/>
      <c r="M19" s="188">
        <f t="shared" si="3"/>
        <v>0</v>
      </c>
      <c r="N19" s="188">
        <f t="shared" si="4"/>
        <v>0</v>
      </c>
    </row>
    <row r="20" spans="2:14" x14ac:dyDescent="0.25">
      <c r="B20" s="34">
        <f t="shared" si="0"/>
        <v>13</v>
      </c>
      <c r="C20" s="186"/>
      <c r="D20" s="340"/>
      <c r="E20" s="331"/>
      <c r="F20" s="331"/>
      <c r="G20" s="188">
        <f>'EXTENSION - PAY'!I33/31</f>
        <v>0</v>
      </c>
      <c r="H20" s="313"/>
      <c r="I20" s="188">
        <f t="shared" si="1"/>
        <v>0</v>
      </c>
      <c r="J20" s="313"/>
      <c r="K20" s="188">
        <f t="shared" si="2"/>
        <v>0</v>
      </c>
      <c r="L20" s="313"/>
      <c r="M20" s="188">
        <f t="shared" si="3"/>
        <v>0</v>
      </c>
      <c r="N20" s="188">
        <f t="shared" si="4"/>
        <v>0</v>
      </c>
    </row>
    <row r="21" spans="2:14" x14ac:dyDescent="0.25">
      <c r="B21" s="34">
        <f t="shared" si="0"/>
        <v>14</v>
      </c>
      <c r="C21" s="186"/>
      <c r="D21" s="340"/>
      <c r="E21" s="331"/>
      <c r="F21" s="331"/>
      <c r="G21" s="188">
        <f>'EXTENSION - PAY'!I34/31</f>
        <v>0</v>
      </c>
      <c r="H21" s="313"/>
      <c r="I21" s="188">
        <f t="shared" si="1"/>
        <v>0</v>
      </c>
      <c r="J21" s="313"/>
      <c r="K21" s="188">
        <f t="shared" si="2"/>
        <v>0</v>
      </c>
      <c r="L21" s="313"/>
      <c r="M21" s="188">
        <f t="shared" si="3"/>
        <v>0</v>
      </c>
      <c r="N21" s="188">
        <f t="shared" si="4"/>
        <v>0</v>
      </c>
    </row>
    <row r="22" spans="2:14" x14ac:dyDescent="0.25">
      <c r="B22" s="34">
        <f t="shared" si="0"/>
        <v>15</v>
      </c>
      <c r="C22" s="186"/>
      <c r="D22" s="340"/>
      <c r="E22" s="331"/>
      <c r="F22" s="331"/>
      <c r="G22" s="188">
        <f>'EXTENSION - PAY'!I35/31</f>
        <v>0</v>
      </c>
      <c r="H22" s="313"/>
      <c r="I22" s="188">
        <f t="shared" si="1"/>
        <v>0</v>
      </c>
      <c r="J22" s="313"/>
      <c r="K22" s="188">
        <f t="shared" si="2"/>
        <v>0</v>
      </c>
      <c r="L22" s="313"/>
      <c r="M22" s="188">
        <f t="shared" si="3"/>
        <v>0</v>
      </c>
      <c r="N22" s="188">
        <f t="shared" si="4"/>
        <v>0</v>
      </c>
    </row>
    <row r="23" spans="2:14" x14ac:dyDescent="0.25">
      <c r="B23" s="34">
        <f t="shared" si="0"/>
        <v>16</v>
      </c>
      <c r="C23" s="186"/>
      <c r="D23" s="340"/>
      <c r="E23" s="331"/>
      <c r="F23" s="331"/>
      <c r="G23" s="188">
        <f>'EXTENSION - PAY'!I36/31</f>
        <v>0</v>
      </c>
      <c r="H23" s="313"/>
      <c r="I23" s="188">
        <f t="shared" si="1"/>
        <v>0</v>
      </c>
      <c r="J23" s="313"/>
      <c r="K23" s="188">
        <f t="shared" si="2"/>
        <v>0</v>
      </c>
      <c r="L23" s="313"/>
      <c r="M23" s="188">
        <f t="shared" si="3"/>
        <v>0</v>
      </c>
      <c r="N23" s="188">
        <f t="shared" si="4"/>
        <v>0</v>
      </c>
    </row>
    <row r="24" spans="2:14" x14ac:dyDescent="0.25">
      <c r="B24" s="34">
        <f t="shared" si="0"/>
        <v>17</v>
      </c>
      <c r="C24" s="186"/>
      <c r="D24" s="340"/>
      <c r="E24" s="331"/>
      <c r="F24" s="331"/>
      <c r="G24" s="188">
        <f>'EXTENSION - PAY'!I37/31</f>
        <v>0</v>
      </c>
      <c r="H24" s="313"/>
      <c r="I24" s="188">
        <f>ROUND(G24*H24,2)</f>
        <v>0</v>
      </c>
      <c r="J24" s="313"/>
      <c r="K24" s="188">
        <f>ROUND(G24/8*J24,2)</f>
        <v>0</v>
      </c>
      <c r="L24" s="313"/>
      <c r="M24" s="188">
        <f>ROUND(G24/8/60*L24,2)</f>
        <v>0</v>
      </c>
      <c r="N24" s="188">
        <f>I24+K24+M24</f>
        <v>0</v>
      </c>
    </row>
    <row r="25" spans="2:14" x14ac:dyDescent="0.25">
      <c r="B25" s="34">
        <f t="shared" si="0"/>
        <v>18</v>
      </c>
      <c r="C25" s="186"/>
      <c r="D25" s="340"/>
      <c r="E25" s="331"/>
      <c r="F25" s="331"/>
      <c r="G25" s="188">
        <f>'EXTENSION - PAY'!I38/31</f>
        <v>0</v>
      </c>
      <c r="H25" s="313"/>
      <c r="I25" s="188">
        <f>ROUND(G25*H25,2)</f>
        <v>0</v>
      </c>
      <c r="J25" s="313"/>
      <c r="K25" s="188">
        <f>ROUND(G25/8*J25,2)</f>
        <v>0</v>
      </c>
      <c r="L25" s="313"/>
      <c r="M25" s="188">
        <f>ROUND(G25/8/60*L25,2)</f>
        <v>0</v>
      </c>
      <c r="N25" s="188">
        <f>I25+K25+M25</f>
        <v>0</v>
      </c>
    </row>
    <row r="26" spans="2:14" x14ac:dyDescent="0.25">
      <c r="B26" s="34">
        <f t="shared" si="0"/>
        <v>19</v>
      </c>
      <c r="C26" s="186"/>
      <c r="D26" s="340"/>
      <c r="E26" s="331"/>
      <c r="F26" s="331"/>
      <c r="G26" s="188">
        <f>'EXTENSION - PAY'!I39/31</f>
        <v>0</v>
      </c>
      <c r="H26" s="313"/>
      <c r="I26" s="188">
        <f t="shared" ref="I26:I46" si="5">ROUND(G26*H26,2)</f>
        <v>0</v>
      </c>
      <c r="J26" s="313"/>
      <c r="K26" s="188">
        <f t="shared" ref="K26:K46" si="6">ROUND(G26/8*J26,2)</f>
        <v>0</v>
      </c>
      <c r="L26" s="313"/>
      <c r="M26" s="188">
        <f t="shared" ref="M26:M46" si="7">ROUND(G26/8/60*L26,2)</f>
        <v>0</v>
      </c>
      <c r="N26" s="188">
        <f t="shared" ref="N26:N46" si="8">I26+K26+M26</f>
        <v>0</v>
      </c>
    </row>
    <row r="27" spans="2:14" x14ac:dyDescent="0.25">
      <c r="B27" s="34">
        <f t="shared" si="0"/>
        <v>20</v>
      </c>
      <c r="C27" s="186"/>
      <c r="D27" s="339"/>
      <c r="E27" s="225"/>
      <c r="F27" s="225"/>
      <c r="G27" s="188">
        <f>'EXTENSION - PAY'!I40/31</f>
        <v>0</v>
      </c>
      <c r="H27" s="313"/>
      <c r="I27" s="188">
        <f t="shared" si="5"/>
        <v>0</v>
      </c>
      <c r="J27" s="313"/>
      <c r="K27" s="188">
        <f t="shared" si="6"/>
        <v>0</v>
      </c>
      <c r="L27" s="313"/>
      <c r="M27" s="188">
        <f t="shared" si="7"/>
        <v>0</v>
      </c>
      <c r="N27" s="188">
        <f t="shared" si="8"/>
        <v>0</v>
      </c>
    </row>
    <row r="28" spans="2:14" x14ac:dyDescent="0.25">
      <c r="B28" s="34">
        <f t="shared" si="0"/>
        <v>21</v>
      </c>
      <c r="C28" s="186"/>
      <c r="D28" s="340"/>
      <c r="E28" s="331"/>
      <c r="F28" s="331"/>
      <c r="G28" s="188">
        <f>'EXTENSION - PAY'!I41/31</f>
        <v>0</v>
      </c>
      <c r="H28" s="313"/>
      <c r="I28" s="188">
        <f t="shared" si="5"/>
        <v>0</v>
      </c>
      <c r="J28" s="313"/>
      <c r="K28" s="188">
        <f t="shared" si="6"/>
        <v>0</v>
      </c>
      <c r="L28" s="313"/>
      <c r="M28" s="188">
        <f t="shared" si="7"/>
        <v>0</v>
      </c>
      <c r="N28" s="188">
        <f t="shared" si="8"/>
        <v>0</v>
      </c>
    </row>
    <row r="29" spans="2:14" x14ac:dyDescent="0.25">
      <c r="B29" s="34">
        <f t="shared" si="0"/>
        <v>22</v>
      </c>
      <c r="C29" s="186"/>
      <c r="D29" s="340"/>
      <c r="E29" s="331"/>
      <c r="F29" s="331"/>
      <c r="G29" s="188">
        <f>'EXTENSION - PAY'!I42/31</f>
        <v>0</v>
      </c>
      <c r="H29" s="313"/>
      <c r="I29" s="188">
        <f t="shared" si="5"/>
        <v>0</v>
      </c>
      <c r="J29" s="313"/>
      <c r="K29" s="188">
        <f t="shared" si="6"/>
        <v>0</v>
      </c>
      <c r="L29" s="313"/>
      <c r="M29" s="188">
        <f t="shared" si="7"/>
        <v>0</v>
      </c>
      <c r="N29" s="188">
        <f t="shared" si="8"/>
        <v>0</v>
      </c>
    </row>
    <row r="30" spans="2:14" x14ac:dyDescent="0.25">
      <c r="B30" s="34">
        <f t="shared" si="0"/>
        <v>23</v>
      </c>
      <c r="C30" s="186"/>
      <c r="D30" s="340"/>
      <c r="E30" s="331"/>
      <c r="F30" s="331"/>
      <c r="G30" s="188">
        <f>'EXTENSION - PAY'!I43/31</f>
        <v>0</v>
      </c>
      <c r="H30" s="313"/>
      <c r="I30" s="188">
        <f t="shared" si="5"/>
        <v>0</v>
      </c>
      <c r="J30" s="313"/>
      <c r="K30" s="188">
        <f t="shared" si="6"/>
        <v>0</v>
      </c>
      <c r="L30" s="313"/>
      <c r="M30" s="188">
        <f t="shared" si="7"/>
        <v>0</v>
      </c>
      <c r="N30" s="188">
        <f t="shared" si="8"/>
        <v>0</v>
      </c>
    </row>
    <row r="31" spans="2:14" x14ac:dyDescent="0.25">
      <c r="B31" s="34">
        <f t="shared" si="0"/>
        <v>24</v>
      </c>
      <c r="C31" s="186"/>
      <c r="D31" s="340"/>
      <c r="E31" s="331"/>
      <c r="F31" s="331"/>
      <c r="G31" s="188">
        <f>'EXTENSION - PAY'!I44/31</f>
        <v>0</v>
      </c>
      <c r="H31" s="313"/>
      <c r="I31" s="188">
        <f t="shared" si="5"/>
        <v>0</v>
      </c>
      <c r="J31" s="313"/>
      <c r="K31" s="188">
        <f t="shared" si="6"/>
        <v>0</v>
      </c>
      <c r="L31" s="313"/>
      <c r="M31" s="188">
        <f t="shared" si="7"/>
        <v>0</v>
      </c>
      <c r="N31" s="188">
        <f t="shared" si="8"/>
        <v>0</v>
      </c>
    </row>
    <row r="32" spans="2:14" x14ac:dyDescent="0.25">
      <c r="B32" s="34">
        <f t="shared" si="0"/>
        <v>25</v>
      </c>
      <c r="C32" s="186"/>
      <c r="D32" s="340"/>
      <c r="E32" s="331"/>
      <c r="F32" s="331"/>
      <c r="G32" s="188">
        <f>'EXTENSION - PAY'!I45/31</f>
        <v>0</v>
      </c>
      <c r="H32" s="313"/>
      <c r="I32" s="188">
        <f t="shared" si="5"/>
        <v>0</v>
      </c>
      <c r="J32" s="313"/>
      <c r="K32" s="188">
        <f t="shared" si="6"/>
        <v>0</v>
      </c>
      <c r="L32" s="313"/>
      <c r="M32" s="188">
        <f t="shared" si="7"/>
        <v>0</v>
      </c>
      <c r="N32" s="188">
        <f t="shared" si="8"/>
        <v>0</v>
      </c>
    </row>
    <row r="33" spans="2:14" x14ac:dyDescent="0.25">
      <c r="B33" s="34">
        <f t="shared" ref="B33:B45" si="9">+B19+1</f>
        <v>13</v>
      </c>
      <c r="C33" s="184"/>
      <c r="D33" s="339"/>
      <c r="E33" s="331"/>
      <c r="F33" s="331"/>
      <c r="G33" s="188">
        <f>'EXTENSION - PAY'!I33/31</f>
        <v>0</v>
      </c>
      <c r="H33" s="313"/>
      <c r="I33" s="188">
        <f t="shared" ref="I33:I45" si="10">ROUND(G33*H33,2)</f>
        <v>0</v>
      </c>
      <c r="J33" s="313"/>
      <c r="K33" s="188">
        <f t="shared" ref="K33:K45" si="11">ROUND(G33/8*J33,2)</f>
        <v>0</v>
      </c>
      <c r="L33" s="313"/>
      <c r="M33" s="188">
        <f t="shared" ref="M33:M45" si="12">ROUND(G33/8/60*L33,2)</f>
        <v>0</v>
      </c>
      <c r="N33" s="188">
        <f t="shared" ref="N33:N45" si="13">I33+K33+M33</f>
        <v>0</v>
      </c>
    </row>
    <row r="34" spans="2:14" x14ac:dyDescent="0.25">
      <c r="B34" s="34">
        <f t="shared" si="9"/>
        <v>14</v>
      </c>
      <c r="C34" s="184"/>
      <c r="D34" s="339"/>
      <c r="E34" s="331"/>
      <c r="F34" s="331"/>
      <c r="G34" s="188">
        <f>'EXTENSION - PAY'!I34/31</f>
        <v>0</v>
      </c>
      <c r="H34" s="313"/>
      <c r="I34" s="188">
        <f t="shared" si="10"/>
        <v>0</v>
      </c>
      <c r="J34" s="313"/>
      <c r="K34" s="188">
        <f t="shared" si="11"/>
        <v>0</v>
      </c>
      <c r="L34" s="313"/>
      <c r="M34" s="188">
        <f t="shared" si="12"/>
        <v>0</v>
      </c>
      <c r="N34" s="188">
        <f t="shared" si="13"/>
        <v>0</v>
      </c>
    </row>
    <row r="35" spans="2:14" x14ac:dyDescent="0.25">
      <c r="B35" s="34">
        <f t="shared" si="9"/>
        <v>15</v>
      </c>
      <c r="C35" s="184"/>
      <c r="D35" s="339"/>
      <c r="E35" s="331"/>
      <c r="F35" s="331"/>
      <c r="G35" s="188">
        <f>'EXTENSION - PAY'!I35/31</f>
        <v>0</v>
      </c>
      <c r="H35" s="313"/>
      <c r="I35" s="188">
        <f t="shared" si="10"/>
        <v>0</v>
      </c>
      <c r="J35" s="313"/>
      <c r="K35" s="188">
        <f t="shared" si="11"/>
        <v>0</v>
      </c>
      <c r="L35" s="313"/>
      <c r="M35" s="188">
        <f t="shared" si="12"/>
        <v>0</v>
      </c>
      <c r="N35" s="188">
        <f t="shared" si="13"/>
        <v>0</v>
      </c>
    </row>
    <row r="36" spans="2:14" x14ac:dyDescent="0.25">
      <c r="B36" s="34">
        <f t="shared" si="9"/>
        <v>16</v>
      </c>
      <c r="C36" s="184"/>
      <c r="D36" s="339"/>
      <c r="E36" s="331"/>
      <c r="F36" s="331"/>
      <c r="G36" s="188">
        <f>'EXTENSION - PAY'!I36/31</f>
        <v>0</v>
      </c>
      <c r="H36" s="313"/>
      <c r="I36" s="188">
        <f t="shared" si="10"/>
        <v>0</v>
      </c>
      <c r="J36" s="313"/>
      <c r="K36" s="188">
        <f t="shared" si="11"/>
        <v>0</v>
      </c>
      <c r="L36" s="313"/>
      <c r="M36" s="188">
        <f t="shared" si="12"/>
        <v>0</v>
      </c>
      <c r="N36" s="188">
        <f t="shared" si="13"/>
        <v>0</v>
      </c>
    </row>
    <row r="37" spans="2:14" x14ac:dyDescent="0.25">
      <c r="B37" s="34">
        <f t="shared" si="9"/>
        <v>17</v>
      </c>
      <c r="C37" s="184"/>
      <c r="D37" s="339"/>
      <c r="E37" s="331"/>
      <c r="F37" s="331"/>
      <c r="G37" s="188">
        <f>'EXTENSION - PAY'!I37/31</f>
        <v>0</v>
      </c>
      <c r="H37" s="313"/>
      <c r="I37" s="188">
        <f t="shared" si="10"/>
        <v>0</v>
      </c>
      <c r="J37" s="313"/>
      <c r="K37" s="188">
        <f t="shared" si="11"/>
        <v>0</v>
      </c>
      <c r="L37" s="313"/>
      <c r="M37" s="188">
        <f t="shared" si="12"/>
        <v>0</v>
      </c>
      <c r="N37" s="188">
        <f t="shared" si="13"/>
        <v>0</v>
      </c>
    </row>
    <row r="38" spans="2:14" x14ac:dyDescent="0.25">
      <c r="B38" s="34">
        <f t="shared" si="9"/>
        <v>18</v>
      </c>
      <c r="C38" s="184"/>
      <c r="D38" s="339"/>
      <c r="E38" s="331"/>
      <c r="F38" s="331"/>
      <c r="G38" s="188">
        <f>'EXTENSION - PAY'!I38/31</f>
        <v>0</v>
      </c>
      <c r="H38" s="313"/>
      <c r="I38" s="188">
        <f t="shared" si="10"/>
        <v>0</v>
      </c>
      <c r="J38" s="313"/>
      <c r="K38" s="188">
        <f t="shared" si="11"/>
        <v>0</v>
      </c>
      <c r="L38" s="313"/>
      <c r="M38" s="188">
        <f t="shared" si="12"/>
        <v>0</v>
      </c>
      <c r="N38" s="188">
        <f t="shared" si="13"/>
        <v>0</v>
      </c>
    </row>
    <row r="39" spans="2:14" x14ac:dyDescent="0.25">
      <c r="B39" s="34">
        <f t="shared" si="9"/>
        <v>19</v>
      </c>
      <c r="C39" s="184"/>
      <c r="D39" s="339"/>
      <c r="E39" s="331"/>
      <c r="F39" s="331"/>
      <c r="G39" s="188">
        <f>'EXTENSION - PAY'!I39/31</f>
        <v>0</v>
      </c>
      <c r="H39" s="313"/>
      <c r="I39" s="188">
        <f t="shared" si="10"/>
        <v>0</v>
      </c>
      <c r="J39" s="313"/>
      <c r="K39" s="188">
        <f t="shared" si="11"/>
        <v>0</v>
      </c>
      <c r="L39" s="313"/>
      <c r="M39" s="188">
        <f t="shared" si="12"/>
        <v>0</v>
      </c>
      <c r="N39" s="188">
        <f t="shared" si="13"/>
        <v>0</v>
      </c>
    </row>
    <row r="40" spans="2:14" x14ac:dyDescent="0.25">
      <c r="B40" s="34">
        <f t="shared" si="9"/>
        <v>20</v>
      </c>
      <c r="C40" s="184"/>
      <c r="D40" s="339"/>
      <c r="E40" s="331"/>
      <c r="F40" s="331"/>
      <c r="G40" s="188">
        <f>'EXTENSION - PAY'!I40/31</f>
        <v>0</v>
      </c>
      <c r="H40" s="313"/>
      <c r="I40" s="188">
        <f t="shared" si="10"/>
        <v>0</v>
      </c>
      <c r="J40" s="313"/>
      <c r="K40" s="188">
        <f t="shared" si="11"/>
        <v>0</v>
      </c>
      <c r="L40" s="313"/>
      <c r="M40" s="188">
        <f t="shared" si="12"/>
        <v>0</v>
      </c>
      <c r="N40" s="188">
        <f t="shared" si="13"/>
        <v>0</v>
      </c>
    </row>
    <row r="41" spans="2:14" x14ac:dyDescent="0.25">
      <c r="B41" s="34">
        <f t="shared" si="9"/>
        <v>21</v>
      </c>
      <c r="C41" s="184"/>
      <c r="D41" s="339"/>
      <c r="E41" s="331"/>
      <c r="F41" s="331"/>
      <c r="G41" s="188">
        <f>'EXTENSION - PAY'!I41/31</f>
        <v>0</v>
      </c>
      <c r="H41" s="313"/>
      <c r="I41" s="188">
        <f t="shared" si="10"/>
        <v>0</v>
      </c>
      <c r="J41" s="313"/>
      <c r="K41" s="188">
        <f t="shared" si="11"/>
        <v>0</v>
      </c>
      <c r="L41" s="313"/>
      <c r="M41" s="188">
        <f t="shared" si="12"/>
        <v>0</v>
      </c>
      <c r="N41" s="188">
        <f t="shared" si="13"/>
        <v>0</v>
      </c>
    </row>
    <row r="42" spans="2:14" x14ac:dyDescent="0.25">
      <c r="B42" s="34">
        <f t="shared" si="9"/>
        <v>22</v>
      </c>
      <c r="C42" s="184"/>
      <c r="D42" s="339"/>
      <c r="E42" s="331"/>
      <c r="F42" s="331"/>
      <c r="G42" s="188">
        <f>'EXTENSION - PAY'!I42/31</f>
        <v>0</v>
      </c>
      <c r="H42" s="313"/>
      <c r="I42" s="188">
        <f t="shared" si="10"/>
        <v>0</v>
      </c>
      <c r="J42" s="313"/>
      <c r="K42" s="188">
        <f t="shared" si="11"/>
        <v>0</v>
      </c>
      <c r="L42" s="313"/>
      <c r="M42" s="188">
        <f t="shared" si="12"/>
        <v>0</v>
      </c>
      <c r="N42" s="188">
        <f t="shared" si="13"/>
        <v>0</v>
      </c>
    </row>
    <row r="43" spans="2:14" x14ac:dyDescent="0.25">
      <c r="B43" s="34">
        <f t="shared" si="9"/>
        <v>23</v>
      </c>
      <c r="C43" s="184"/>
      <c r="D43" s="339"/>
      <c r="E43" s="331"/>
      <c r="F43" s="331"/>
      <c r="G43" s="188">
        <f>'EXTENSION - PAY'!I43/31</f>
        <v>0</v>
      </c>
      <c r="H43" s="313"/>
      <c r="I43" s="188">
        <f t="shared" si="10"/>
        <v>0</v>
      </c>
      <c r="J43" s="313"/>
      <c r="K43" s="188">
        <f t="shared" si="11"/>
        <v>0</v>
      </c>
      <c r="L43" s="313"/>
      <c r="M43" s="188">
        <f t="shared" si="12"/>
        <v>0</v>
      </c>
      <c r="N43" s="188">
        <f t="shared" si="13"/>
        <v>0</v>
      </c>
    </row>
    <row r="44" spans="2:14" x14ac:dyDescent="0.25">
      <c r="B44" s="34">
        <f t="shared" si="9"/>
        <v>24</v>
      </c>
      <c r="C44" s="184"/>
      <c r="D44" s="339"/>
      <c r="E44" s="331"/>
      <c r="F44" s="331"/>
      <c r="G44" s="188">
        <f>'EXTENSION - PAY'!I44/31</f>
        <v>0</v>
      </c>
      <c r="H44" s="313"/>
      <c r="I44" s="188">
        <f t="shared" si="10"/>
        <v>0</v>
      </c>
      <c r="J44" s="313"/>
      <c r="K44" s="188">
        <f t="shared" si="11"/>
        <v>0</v>
      </c>
      <c r="L44" s="313"/>
      <c r="M44" s="188">
        <f t="shared" si="12"/>
        <v>0</v>
      </c>
      <c r="N44" s="188">
        <f t="shared" si="13"/>
        <v>0</v>
      </c>
    </row>
    <row r="45" spans="2:14" x14ac:dyDescent="0.25">
      <c r="B45" s="34">
        <f t="shared" si="9"/>
        <v>25</v>
      </c>
      <c r="C45" s="184"/>
      <c r="D45" s="339"/>
      <c r="E45" s="331"/>
      <c r="F45" s="331"/>
      <c r="G45" s="188">
        <f>'EXTENSION - PAY'!I45/31</f>
        <v>0</v>
      </c>
      <c r="H45" s="313"/>
      <c r="I45" s="188">
        <f t="shared" si="10"/>
        <v>0</v>
      </c>
      <c r="J45" s="313"/>
      <c r="K45" s="188">
        <f t="shared" si="11"/>
        <v>0</v>
      </c>
      <c r="L45" s="313"/>
      <c r="M45" s="188">
        <f t="shared" si="12"/>
        <v>0</v>
      </c>
      <c r="N45" s="188">
        <f t="shared" si="13"/>
        <v>0</v>
      </c>
    </row>
    <row r="46" spans="2:14" x14ac:dyDescent="0.25">
      <c r="B46" s="34">
        <f>+B32+1</f>
        <v>26</v>
      </c>
      <c r="C46" s="184"/>
      <c r="D46" s="339"/>
      <c r="E46" s="331"/>
      <c r="F46" s="331"/>
      <c r="G46" s="188">
        <f>'EXTENSION - PAY'!I59/31</f>
        <v>0</v>
      </c>
      <c r="H46" s="313"/>
      <c r="I46" s="188">
        <f t="shared" si="5"/>
        <v>0</v>
      </c>
      <c r="J46" s="313"/>
      <c r="K46" s="188">
        <f t="shared" si="6"/>
        <v>0</v>
      </c>
      <c r="L46" s="313"/>
      <c r="M46" s="188">
        <f t="shared" si="7"/>
        <v>0</v>
      </c>
      <c r="N46" s="188">
        <f t="shared" si="8"/>
        <v>0</v>
      </c>
    </row>
    <row r="47" spans="2:14" ht="16.5" thickBot="1" x14ac:dyDescent="0.3">
      <c r="B47" s="180"/>
      <c r="C47" s="183"/>
      <c r="D47" s="29"/>
      <c r="E47" s="329"/>
      <c r="F47" s="327">
        <f>SUM(F8:F46)</f>
        <v>0</v>
      </c>
      <c r="G47" s="327"/>
      <c r="H47" s="327"/>
      <c r="I47" s="327">
        <f>SUM(I8:I46)</f>
        <v>0</v>
      </c>
      <c r="J47" s="327"/>
      <c r="K47" s="327">
        <f>SUM(K8:K46)</f>
        <v>0</v>
      </c>
      <c r="L47" s="327"/>
      <c r="M47" s="327">
        <f>SUM(M8:M46)</f>
        <v>0</v>
      </c>
      <c r="N47" s="327">
        <f>SUM(N8:N46)</f>
        <v>0</v>
      </c>
    </row>
    <row r="48" spans="2:14" x14ac:dyDescent="0.25">
      <c r="E48" s="205"/>
      <c r="F48" s="205">
        <f>F47-'EXTENSION - PAY'!L61</f>
        <v>0</v>
      </c>
      <c r="G48" s="205"/>
      <c r="H48" s="205"/>
      <c r="I48" s="205"/>
      <c r="J48" s="205"/>
      <c r="K48" s="205"/>
      <c r="L48" s="205"/>
      <c r="M48" s="205"/>
      <c r="N48" s="205">
        <f>N47-'EXTENSION - PAY'!J61</f>
        <v>0</v>
      </c>
    </row>
  </sheetData>
  <mergeCells count="9">
    <mergeCell ref="H4:N5"/>
    <mergeCell ref="B2:N2"/>
    <mergeCell ref="B3:N3"/>
    <mergeCell ref="G4:G6"/>
    <mergeCell ref="B4:B6"/>
    <mergeCell ref="C4:C6"/>
    <mergeCell ref="D4:D6"/>
    <mergeCell ref="F4:F6"/>
    <mergeCell ref="E4:E6"/>
  </mergeCell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4">
    <tabColor theme="6" tint="-0.249977111117893"/>
    <pageSetUpPr fitToPage="1"/>
  </sheetPr>
  <dimension ref="A1:Z80"/>
  <sheetViews>
    <sheetView showWhiteSpace="0" topLeftCell="A18" zoomScaleNormal="100" zoomScaleSheetLayoutView="100" workbookViewId="0">
      <selection activeCell="A44" sqref="A44:XFD44"/>
    </sheetView>
  </sheetViews>
  <sheetFormatPr defaultRowHeight="30.75" x14ac:dyDescent="0.25"/>
  <cols>
    <col min="1" max="1" width="9.375" style="31" customWidth="1"/>
    <col min="2" max="2" width="6.75" style="4" customWidth="1"/>
    <col min="3" max="3" width="24.625" style="4" customWidth="1"/>
    <col min="4" max="4" width="12.875" style="4" customWidth="1"/>
    <col min="5" max="5" width="9.625" style="57" customWidth="1"/>
    <col min="6" max="6" width="13.375" style="4" customWidth="1"/>
    <col min="7" max="7" width="8.5" style="4" customWidth="1"/>
    <col min="8" max="8" width="9.75" style="4" customWidth="1"/>
    <col min="9" max="9" width="13.125" style="4" customWidth="1"/>
    <col min="10" max="10" width="11.125" style="4" customWidth="1"/>
    <col min="11" max="11" width="12.625" style="4" customWidth="1"/>
    <col min="12" max="12" width="10.625" style="4" customWidth="1"/>
    <col min="13" max="13" width="11.5" style="4" customWidth="1"/>
    <col min="14" max="14" width="10.375" style="4" customWidth="1"/>
    <col min="15" max="15" width="11" style="4" bestFit="1" customWidth="1"/>
    <col min="16" max="16" width="11.875" style="4" customWidth="1"/>
    <col min="17" max="17" width="15.125" style="4" bestFit="1" customWidth="1"/>
    <col min="18" max="18" width="13.125" style="4" customWidth="1"/>
    <col min="19" max="19" width="12.75" style="4" customWidth="1"/>
    <col min="20" max="20" width="12.125" style="4" bestFit="1" customWidth="1"/>
    <col min="21" max="21" width="3.75" style="57" customWidth="1"/>
    <col min="22" max="22" width="14.25" style="4" customWidth="1"/>
    <col min="23" max="23" width="10.625" style="4" customWidth="1"/>
    <col min="24" max="24" width="11.625" style="4" bestFit="1" customWidth="1"/>
    <col min="25" max="25" width="11" style="4" bestFit="1" customWidth="1"/>
    <col min="26" max="26" width="5.625" style="4" customWidth="1"/>
    <col min="27" max="16384" width="9" style="4"/>
  </cols>
  <sheetData>
    <row r="1" spans="1:25" ht="23.25" customHeight="1" x14ac:dyDescent="0.25">
      <c r="A1" s="98">
        <v>94</v>
      </c>
      <c r="Q1" s="5"/>
      <c r="R1" s="5"/>
      <c r="S1" s="5"/>
      <c r="T1" s="5"/>
      <c r="U1" s="52"/>
      <c r="V1" s="3"/>
      <c r="W1" s="3"/>
    </row>
    <row r="2" spans="1:25" ht="23.25" x14ac:dyDescent="0.25">
      <c r="A2" s="98"/>
      <c r="Q2" s="5"/>
      <c r="R2" s="5"/>
      <c r="S2" s="5"/>
      <c r="T2" s="5"/>
      <c r="U2" s="53"/>
      <c r="V2" s="2"/>
      <c r="W2" s="2"/>
      <c r="X2" s="864" t="s">
        <v>40</v>
      </c>
      <c r="Y2" s="864"/>
    </row>
    <row r="3" spans="1:25" ht="15.75" customHeight="1" x14ac:dyDescent="0.25">
      <c r="A3" s="98"/>
      <c r="B3" s="877" t="s">
        <v>42</v>
      </c>
      <c r="C3" s="877"/>
      <c r="D3" s="877"/>
      <c r="E3" s="877"/>
      <c r="F3" s="877"/>
      <c r="G3" s="877"/>
      <c r="H3" s="877"/>
      <c r="I3" s="877"/>
      <c r="J3" s="877"/>
      <c r="K3" s="877"/>
      <c r="L3" s="877"/>
      <c r="M3" s="877"/>
      <c r="N3" s="877"/>
      <c r="O3" s="877"/>
      <c r="P3" s="877"/>
      <c r="Q3" s="877"/>
      <c r="R3" s="877"/>
      <c r="S3" s="877"/>
      <c r="T3" s="877"/>
      <c r="U3" s="877"/>
      <c r="V3" s="877"/>
      <c r="W3" s="877"/>
      <c r="X3" s="877"/>
      <c r="Y3" s="877"/>
    </row>
    <row r="4" spans="1:25" ht="15.75" customHeight="1" x14ac:dyDescent="0.25">
      <c r="A4" s="98"/>
      <c r="B4" s="878" t="s">
        <v>43</v>
      </c>
      <c r="C4" s="878"/>
      <c r="D4" s="878"/>
      <c r="E4" s="878"/>
      <c r="F4" s="878"/>
      <c r="G4" s="878"/>
      <c r="H4" s="878"/>
      <c r="I4" s="878"/>
      <c r="J4" s="878"/>
      <c r="K4" s="878"/>
      <c r="L4" s="878"/>
      <c r="M4" s="878"/>
      <c r="N4" s="878"/>
      <c r="O4" s="878"/>
      <c r="P4" s="878"/>
      <c r="Q4" s="878"/>
      <c r="R4" s="878"/>
      <c r="S4" s="878"/>
      <c r="T4" s="878"/>
      <c r="U4" s="878"/>
      <c r="V4" s="878"/>
      <c r="W4" s="878"/>
      <c r="X4" s="878"/>
      <c r="Y4" s="878"/>
    </row>
    <row r="5" spans="1:25" ht="15.75" customHeight="1" x14ac:dyDescent="0.25">
      <c r="A5" s="98"/>
      <c r="B5" s="878" t="s">
        <v>44</v>
      </c>
      <c r="C5" s="878"/>
      <c r="D5" s="878"/>
      <c r="E5" s="878"/>
      <c r="F5" s="878"/>
      <c r="G5" s="878"/>
      <c r="H5" s="878"/>
      <c r="I5" s="878"/>
      <c r="J5" s="878"/>
      <c r="K5" s="878"/>
      <c r="L5" s="878"/>
      <c r="M5" s="878"/>
      <c r="N5" s="878"/>
      <c r="O5" s="878"/>
      <c r="P5" s="878"/>
      <c r="Q5" s="878"/>
      <c r="R5" s="878"/>
      <c r="S5" s="878"/>
      <c r="T5" s="878"/>
      <c r="U5" s="878"/>
      <c r="V5" s="878"/>
      <c r="W5" s="878"/>
      <c r="X5" s="878"/>
      <c r="Y5" s="878"/>
    </row>
    <row r="6" spans="1:25" ht="15.75" customHeight="1" x14ac:dyDescent="0.25">
      <c r="A6" s="98"/>
      <c r="B6" s="877" t="s">
        <v>45</v>
      </c>
      <c r="C6" s="877"/>
      <c r="D6" s="877"/>
      <c r="E6" s="877"/>
      <c r="F6" s="877"/>
      <c r="G6" s="877"/>
      <c r="H6" s="877"/>
      <c r="I6" s="877"/>
      <c r="J6" s="877"/>
      <c r="K6" s="877"/>
      <c r="L6" s="877"/>
      <c r="M6" s="877"/>
      <c r="N6" s="877"/>
      <c r="O6" s="877"/>
      <c r="P6" s="877"/>
      <c r="Q6" s="877"/>
      <c r="R6" s="877"/>
      <c r="S6" s="877"/>
      <c r="T6" s="877"/>
      <c r="U6" s="877"/>
      <c r="V6" s="877"/>
      <c r="W6" s="877"/>
      <c r="X6" s="877"/>
      <c r="Y6" s="877"/>
    </row>
    <row r="7" spans="1:25" ht="15.75" customHeight="1" x14ac:dyDescent="0.25">
      <c r="A7" s="98"/>
      <c r="Q7" s="2"/>
      <c r="R7" s="2"/>
      <c r="S7" s="2"/>
      <c r="T7" s="2"/>
      <c r="U7" s="53"/>
      <c r="V7" s="2"/>
      <c r="W7" s="2"/>
      <c r="X7" s="2"/>
      <c r="Y7" s="2"/>
    </row>
    <row r="8" spans="1:25" ht="22.5" x14ac:dyDescent="0.25">
      <c r="A8" s="98"/>
      <c r="B8" s="882" t="s">
        <v>13</v>
      </c>
      <c r="C8" s="882"/>
      <c r="D8" s="882"/>
      <c r="E8" s="882"/>
      <c r="F8" s="882"/>
      <c r="G8" s="882"/>
      <c r="H8" s="882"/>
      <c r="I8" s="882"/>
      <c r="J8" s="882"/>
      <c r="K8" s="882"/>
      <c r="L8" s="882"/>
      <c r="M8" s="882"/>
      <c r="N8" s="882"/>
      <c r="O8" s="882"/>
      <c r="P8" s="882"/>
      <c r="Q8" s="882"/>
      <c r="R8" s="882"/>
      <c r="S8" s="882"/>
      <c r="T8" s="882"/>
      <c r="U8" s="882"/>
      <c r="V8" s="882"/>
      <c r="W8" s="882"/>
      <c r="X8" s="882"/>
      <c r="Y8" s="882"/>
    </row>
    <row r="9" spans="1:25" ht="20.25" x14ac:dyDescent="0.25">
      <c r="A9" s="98"/>
      <c r="B9" s="867" t="s">
        <v>149</v>
      </c>
      <c r="C9" s="867"/>
      <c r="D9" s="867"/>
      <c r="E9" s="867"/>
      <c r="F9" s="867"/>
      <c r="G9" s="867"/>
      <c r="H9" s="867"/>
      <c r="I9" s="867"/>
      <c r="J9" s="867"/>
      <c r="K9" s="867"/>
      <c r="L9" s="867"/>
      <c r="M9" s="867"/>
      <c r="N9" s="867"/>
      <c r="O9" s="867"/>
      <c r="P9" s="867"/>
      <c r="Q9" s="867"/>
      <c r="R9" s="867"/>
      <c r="S9" s="867"/>
      <c r="T9" s="867"/>
      <c r="U9" s="867"/>
      <c r="V9" s="867"/>
      <c r="W9" s="867"/>
      <c r="X9" s="867"/>
      <c r="Y9" s="867"/>
    </row>
    <row r="10" spans="1:25" ht="20.25" x14ac:dyDescent="0.25">
      <c r="A10" s="98"/>
      <c r="B10" s="879" t="s">
        <v>41</v>
      </c>
      <c r="C10" s="879"/>
      <c r="D10" s="879"/>
      <c r="E10" s="879"/>
      <c r="F10" s="879"/>
      <c r="G10" s="879"/>
      <c r="H10" s="879"/>
      <c r="I10" s="879"/>
      <c r="J10" s="879"/>
      <c r="K10" s="879"/>
      <c r="L10" s="879"/>
      <c r="M10" s="879"/>
      <c r="N10" s="879"/>
      <c r="O10" s="879"/>
      <c r="P10" s="879"/>
      <c r="Q10" s="879"/>
      <c r="R10" s="879"/>
      <c r="S10" s="879"/>
      <c r="T10" s="879"/>
      <c r="U10" s="879"/>
      <c r="V10" s="879"/>
      <c r="W10" s="879"/>
      <c r="X10" s="879"/>
      <c r="Y10" s="879"/>
    </row>
    <row r="11" spans="1:25" ht="20.25" x14ac:dyDescent="0.25">
      <c r="A11" s="98"/>
      <c r="B11" s="879" t="s">
        <v>138</v>
      </c>
      <c r="C11" s="879"/>
      <c r="D11" s="879"/>
      <c r="E11" s="879"/>
      <c r="F11" s="879"/>
      <c r="G11" s="879"/>
      <c r="H11" s="879"/>
      <c r="I11" s="879"/>
      <c r="J11" s="879"/>
      <c r="K11" s="879"/>
      <c r="L11" s="879"/>
      <c r="M11" s="879"/>
      <c r="N11" s="879"/>
      <c r="O11" s="879"/>
      <c r="P11" s="879"/>
      <c r="Q11" s="879"/>
      <c r="R11" s="879"/>
      <c r="S11" s="879"/>
      <c r="T11" s="879"/>
      <c r="U11" s="879"/>
      <c r="V11" s="879"/>
      <c r="W11" s="879"/>
      <c r="X11" s="879"/>
      <c r="Y11" s="879"/>
    </row>
    <row r="12" spans="1:25" ht="15.75" x14ac:dyDescent="0.25">
      <c r="A12" s="98"/>
      <c r="B12" s="9"/>
      <c r="C12" s="6"/>
      <c r="D12" s="866" t="s">
        <v>106</v>
      </c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</row>
    <row r="13" spans="1:25" s="8" customFormat="1" ht="24.95" customHeight="1" x14ac:dyDescent="0.25">
      <c r="A13" s="98"/>
      <c r="B13" s="865" t="s">
        <v>88</v>
      </c>
      <c r="C13" s="865"/>
      <c r="D13" s="867"/>
      <c r="E13" s="178"/>
      <c r="F13" s="169"/>
      <c r="G13" s="169"/>
      <c r="H13" s="169"/>
      <c r="I13" s="169"/>
      <c r="J13" s="169"/>
      <c r="K13" s="169"/>
      <c r="L13" s="169"/>
      <c r="M13" s="169"/>
      <c r="N13" s="169"/>
      <c r="O13" s="169"/>
      <c r="P13" s="169"/>
      <c r="Q13" s="9"/>
      <c r="R13" s="9"/>
      <c r="S13" s="9"/>
      <c r="T13" s="9"/>
      <c r="U13" s="169" t="s">
        <v>103</v>
      </c>
      <c r="V13" s="169"/>
      <c r="W13" s="832" t="str">
        <f>SUMMARY!B18</f>
        <v>2026-01-024</v>
      </c>
      <c r="X13" s="832"/>
      <c r="Y13" s="832"/>
    </row>
    <row r="14" spans="1:25" s="8" customFormat="1" ht="24.95" customHeight="1" x14ac:dyDescent="0.25">
      <c r="A14" s="98"/>
      <c r="B14" s="9"/>
      <c r="C14" s="9"/>
      <c r="D14" s="867"/>
      <c r="E14" s="6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169"/>
      <c r="V14" s="169"/>
      <c r="W14" s="9"/>
      <c r="X14" s="9"/>
      <c r="Y14" s="9"/>
    </row>
    <row r="15" spans="1:25" s="8" customFormat="1" ht="15.75" customHeight="1" x14ac:dyDescent="0.25">
      <c r="A15" s="98"/>
      <c r="B15" s="872" t="s">
        <v>0</v>
      </c>
      <c r="C15" s="872"/>
      <c r="D15" s="872"/>
      <c r="E15" s="872"/>
      <c r="F15" s="872"/>
      <c r="G15" s="872"/>
      <c r="H15" s="872"/>
      <c r="I15" s="872"/>
      <c r="J15" s="872"/>
      <c r="K15" s="872"/>
      <c r="L15" s="872"/>
      <c r="M15" s="872"/>
      <c r="N15" s="872"/>
      <c r="O15" s="872"/>
      <c r="P15" s="872"/>
      <c r="Q15" s="872"/>
      <c r="R15" s="872"/>
      <c r="S15" s="872"/>
      <c r="T15" s="872"/>
      <c r="U15" s="872"/>
      <c r="V15" s="872"/>
      <c r="W15" s="872"/>
      <c r="X15" s="872"/>
      <c r="Y15" s="872"/>
    </row>
    <row r="16" spans="1:25" ht="9" customHeight="1" thickBot="1" x14ac:dyDescent="0.3">
      <c r="A16" s="98"/>
      <c r="B16" s="9"/>
      <c r="C16" s="10"/>
      <c r="D16" s="10"/>
      <c r="E16" s="54"/>
      <c r="F16" s="10"/>
      <c r="G16" s="10"/>
      <c r="H16" s="10"/>
      <c r="I16" s="10"/>
      <c r="J16" s="9"/>
      <c r="K16" s="9"/>
      <c r="L16" s="9"/>
      <c r="M16" s="9"/>
      <c r="N16" s="9"/>
      <c r="O16" s="9"/>
      <c r="P16" s="9"/>
      <c r="Q16" s="10"/>
      <c r="R16" s="10"/>
      <c r="S16" s="10"/>
      <c r="T16" s="10"/>
      <c r="U16" s="54"/>
      <c r="V16" s="10"/>
      <c r="W16" s="10"/>
      <c r="X16" s="10"/>
      <c r="Y16" s="10"/>
    </row>
    <row r="17" spans="1:26" ht="16.5" customHeight="1" thickBot="1" x14ac:dyDescent="0.3">
      <c r="A17" s="98"/>
      <c r="B17" s="802" t="s">
        <v>6</v>
      </c>
      <c r="C17" s="777" t="s">
        <v>1</v>
      </c>
      <c r="D17" s="777" t="s">
        <v>2</v>
      </c>
      <c r="E17" s="802" t="s">
        <v>14</v>
      </c>
      <c r="F17" s="841" t="s">
        <v>4</v>
      </c>
      <c r="G17" s="833"/>
      <c r="H17" s="833"/>
      <c r="I17" s="833"/>
      <c r="J17" s="833"/>
      <c r="K17" s="834"/>
      <c r="L17" s="833" t="s">
        <v>3</v>
      </c>
      <c r="M17" s="833"/>
      <c r="N17" s="833"/>
      <c r="O17" s="833"/>
      <c r="P17" s="833"/>
      <c r="Q17" s="834"/>
      <c r="R17" s="802" t="s">
        <v>16</v>
      </c>
      <c r="S17" s="856" t="s">
        <v>51</v>
      </c>
      <c r="T17" s="861" t="s">
        <v>52</v>
      </c>
      <c r="U17" s="777" t="s">
        <v>59</v>
      </c>
      <c r="V17" s="841" t="s">
        <v>60</v>
      </c>
      <c r="W17" s="833"/>
      <c r="X17" s="833"/>
      <c r="Y17" s="834"/>
      <c r="Z17" s="11"/>
    </row>
    <row r="18" spans="1:26" ht="19.5" customHeight="1" x14ac:dyDescent="0.25">
      <c r="A18" s="98"/>
      <c r="B18" s="803"/>
      <c r="C18" s="778"/>
      <c r="D18" s="778"/>
      <c r="E18" s="803"/>
      <c r="F18" s="844" t="s">
        <v>48</v>
      </c>
      <c r="G18" s="887" t="s">
        <v>50</v>
      </c>
      <c r="H18" s="892" t="s">
        <v>49</v>
      </c>
      <c r="I18" s="859" t="s">
        <v>5</v>
      </c>
      <c r="J18" s="859" t="s">
        <v>53</v>
      </c>
      <c r="K18" s="848" t="s">
        <v>137</v>
      </c>
      <c r="L18" s="873" t="s">
        <v>54</v>
      </c>
      <c r="M18" s="859" t="s">
        <v>55</v>
      </c>
      <c r="N18" s="859" t="s">
        <v>56</v>
      </c>
      <c r="O18" s="890" t="s">
        <v>57</v>
      </c>
      <c r="P18" s="859" t="s">
        <v>58</v>
      </c>
      <c r="Q18" s="846" t="s">
        <v>17</v>
      </c>
      <c r="R18" s="803"/>
      <c r="S18" s="857"/>
      <c r="T18" s="862"/>
      <c r="U18" s="778"/>
      <c r="V18" s="850" t="s">
        <v>61</v>
      </c>
      <c r="W18" s="852" t="s">
        <v>62</v>
      </c>
      <c r="X18" s="883" t="s">
        <v>57</v>
      </c>
      <c r="Y18" s="885" t="s">
        <v>63</v>
      </c>
      <c r="Z18" s="11"/>
    </row>
    <row r="19" spans="1:26" ht="26.25" customHeight="1" thickBot="1" x14ac:dyDescent="0.3">
      <c r="A19" s="98"/>
      <c r="B19" s="803"/>
      <c r="C19" s="778"/>
      <c r="D19" s="778"/>
      <c r="E19" s="803"/>
      <c r="F19" s="845"/>
      <c r="G19" s="888"/>
      <c r="H19" s="893"/>
      <c r="I19" s="860"/>
      <c r="J19" s="860"/>
      <c r="K19" s="849"/>
      <c r="L19" s="874"/>
      <c r="M19" s="860"/>
      <c r="N19" s="860"/>
      <c r="O19" s="891"/>
      <c r="P19" s="860"/>
      <c r="Q19" s="847"/>
      <c r="R19" s="804"/>
      <c r="S19" s="858"/>
      <c r="T19" s="863"/>
      <c r="U19" s="778"/>
      <c r="V19" s="851"/>
      <c r="W19" s="853"/>
      <c r="X19" s="884"/>
      <c r="Y19" s="886"/>
      <c r="Z19" s="11"/>
    </row>
    <row r="20" spans="1:26" ht="18.75" customHeight="1" x14ac:dyDescent="0.25">
      <c r="A20" s="98"/>
      <c r="B20" s="12"/>
      <c r="C20" s="12"/>
      <c r="D20" s="12"/>
      <c r="E20" s="55"/>
      <c r="F20" s="84"/>
      <c r="G20" s="85"/>
      <c r="H20" s="85"/>
      <c r="I20" s="13"/>
      <c r="J20" s="13"/>
      <c r="K20" s="210"/>
      <c r="L20" s="39"/>
      <c r="M20" s="13"/>
      <c r="N20" s="13"/>
      <c r="O20" s="13"/>
      <c r="P20" s="13"/>
      <c r="Q20" s="14"/>
      <c r="R20" s="12"/>
      <c r="S20" s="48"/>
      <c r="T20" s="43"/>
      <c r="U20" s="55"/>
      <c r="V20" s="46"/>
      <c r="W20" s="47"/>
      <c r="X20" s="47"/>
      <c r="Y20" s="43"/>
    </row>
    <row r="21" spans="1:26" ht="18.75" customHeight="1" x14ac:dyDescent="0.25">
      <c r="A21" s="98"/>
      <c r="B21" s="33">
        <v>1</v>
      </c>
      <c r="C21" s="72">
        <f>VLOOKUP(B21,'WTAX-EXTENSION'!B:N,2,0)</f>
        <v>0</v>
      </c>
      <c r="D21" s="72" t="e">
        <f>VLOOKUP(C21,'WTAX-EXTENSION'!C:O,2,0)</f>
        <v>#N/A</v>
      </c>
      <c r="E21" s="306">
        <f>VLOOKUP(B21,'WTAX-EXTENSION'!B:N,4,0)</f>
        <v>0</v>
      </c>
      <c r="F21" s="86"/>
      <c r="G21" s="88"/>
      <c r="H21" s="88"/>
      <c r="I21" s="37">
        <f t="shared" ref="I21:I36" si="0">SUM(F21:H21)</f>
        <v>0</v>
      </c>
      <c r="J21" s="332">
        <f>'WTAX-EXTENSION'!N8</f>
        <v>0</v>
      </c>
      <c r="K21" s="211">
        <f t="shared" ref="K21:K36" si="1">ROUND(I21-J21,2)</f>
        <v>0</v>
      </c>
      <c r="L21" s="40">
        <f>'WTAX-EXTENSION'!F8</f>
        <v>0</v>
      </c>
      <c r="M21" s="37">
        <f>'EXTENSION - DEDS'!R20</f>
        <v>0</v>
      </c>
      <c r="N21" s="37">
        <f>'EXTENSION - DEDS'!X20</f>
        <v>0</v>
      </c>
      <c r="O21" s="37">
        <f>'EXTENSION - DEDS'!Y20</f>
        <v>0</v>
      </c>
      <c r="P21" s="37">
        <f>'EXTENSION - DEDS'!AE20</f>
        <v>0</v>
      </c>
      <c r="Q21" s="38">
        <f t="shared" ref="Q21:Q36" si="2">ROUND(SUM(L21:P21),2)</f>
        <v>0</v>
      </c>
      <c r="R21" s="49">
        <f t="shared" ref="R21:R36" si="3">K21-Q21</f>
        <v>0</v>
      </c>
      <c r="S21" s="76">
        <f t="shared" ref="S21:S36" si="4">ROUND(R21/2,0)</f>
        <v>0</v>
      </c>
      <c r="T21" s="77">
        <f>R21-S21</f>
        <v>0</v>
      </c>
      <c r="U21" s="33">
        <f>B21</f>
        <v>1</v>
      </c>
      <c r="V21" s="36">
        <f>ROUND('EXTENSION - PAY'!I21*0.12,2)</f>
        <v>0</v>
      </c>
      <c r="W21" s="37">
        <v>100</v>
      </c>
      <c r="X21" s="37">
        <f>MIN((I21*0.05)-'EXTENSION - DEDS'!Y20,2500)</f>
        <v>0</v>
      </c>
      <c r="Y21" s="41">
        <v>200</v>
      </c>
    </row>
    <row r="22" spans="1:26" ht="18.75" customHeight="1" x14ac:dyDescent="0.25">
      <c r="A22" s="98"/>
      <c r="B22" s="33">
        <f>+B21+1</f>
        <v>2</v>
      </c>
      <c r="C22" s="72">
        <f>VLOOKUP(B22,'WTAX-EXTENSION'!B:N,2,0)</f>
        <v>0</v>
      </c>
      <c r="D22" s="72" t="e">
        <f>VLOOKUP(C22,'WTAX-EXTENSION'!C:O,2,0)</f>
        <v>#N/A</v>
      </c>
      <c r="E22" s="306">
        <f>VLOOKUP(B22,'WTAX-EXTENSION'!B:N,4,0)</f>
        <v>0</v>
      </c>
      <c r="F22" s="86"/>
      <c r="G22" s="88"/>
      <c r="H22" s="88"/>
      <c r="I22" s="37">
        <f t="shared" si="0"/>
        <v>0</v>
      </c>
      <c r="J22" s="332">
        <f>'WTAX-EXTENSION'!N9</f>
        <v>0</v>
      </c>
      <c r="K22" s="211">
        <f t="shared" si="1"/>
        <v>0</v>
      </c>
      <c r="L22" s="40">
        <f>'WTAX-EXTENSION'!F9</f>
        <v>0</v>
      </c>
      <c r="M22" s="37">
        <f>'EXTENSION - DEDS'!R21</f>
        <v>0</v>
      </c>
      <c r="N22" s="37">
        <f>'EXTENSION - DEDS'!X21</f>
        <v>0</v>
      </c>
      <c r="O22" s="37">
        <f>'EXTENSION - DEDS'!Y21</f>
        <v>0</v>
      </c>
      <c r="P22" s="37">
        <f>'EXTENSION - DEDS'!AE21</f>
        <v>0</v>
      </c>
      <c r="Q22" s="38">
        <f t="shared" si="2"/>
        <v>0</v>
      </c>
      <c r="R22" s="49">
        <f t="shared" si="3"/>
        <v>0</v>
      </c>
      <c r="S22" s="76">
        <f t="shared" si="4"/>
        <v>0</v>
      </c>
      <c r="T22" s="77">
        <f t="shared" ref="T22:T36" si="5">R22-S22</f>
        <v>0</v>
      </c>
      <c r="U22" s="33">
        <f t="shared" ref="U22:U36" si="6">B22</f>
        <v>2</v>
      </c>
      <c r="V22" s="36">
        <f>ROUND('EXTENSION - PAY'!I22*0.12,2)</f>
        <v>0</v>
      </c>
      <c r="W22" s="37">
        <f>W21</f>
        <v>100</v>
      </c>
      <c r="X22" s="37">
        <f>MIN((I22*0.05)-'EXTENSION - DEDS'!Y21,2500)</f>
        <v>0</v>
      </c>
      <c r="Y22" s="41">
        <f>Y21</f>
        <v>200</v>
      </c>
    </row>
    <row r="23" spans="1:26" ht="18.75" customHeight="1" x14ac:dyDescent="0.25">
      <c r="A23" s="98"/>
      <c r="B23" s="33">
        <f t="shared" ref="B23:B45" si="7">+B22+1</f>
        <v>3</v>
      </c>
      <c r="C23" s="72">
        <f>VLOOKUP(B23,'WTAX-EXTENSION'!B:N,2,0)</f>
        <v>0</v>
      </c>
      <c r="D23" s="72" t="e">
        <f>VLOOKUP(C23,'WTAX-EXTENSION'!C:O,2,0)</f>
        <v>#N/A</v>
      </c>
      <c r="E23" s="306">
        <f>VLOOKUP(B23,'WTAX-EXTENSION'!B:N,4,0)</f>
        <v>0</v>
      </c>
      <c r="F23" s="86"/>
      <c r="G23" s="88"/>
      <c r="H23" s="88"/>
      <c r="I23" s="37">
        <f t="shared" si="0"/>
        <v>0</v>
      </c>
      <c r="J23" s="332">
        <f>'WTAX-EXTENSION'!N10</f>
        <v>0</v>
      </c>
      <c r="K23" s="211">
        <f t="shared" si="1"/>
        <v>0</v>
      </c>
      <c r="L23" s="40">
        <f>'WTAX-EXTENSION'!F10</f>
        <v>0</v>
      </c>
      <c r="M23" s="37">
        <f>'EXTENSION - DEDS'!R22</f>
        <v>0</v>
      </c>
      <c r="N23" s="37">
        <f>'EXTENSION - DEDS'!X22</f>
        <v>0</v>
      </c>
      <c r="O23" s="37">
        <f>'EXTENSION - DEDS'!Y22</f>
        <v>0</v>
      </c>
      <c r="P23" s="37">
        <f>'EXTENSION - DEDS'!AE22</f>
        <v>0</v>
      </c>
      <c r="Q23" s="38">
        <f t="shared" si="2"/>
        <v>0</v>
      </c>
      <c r="R23" s="49">
        <f t="shared" si="3"/>
        <v>0</v>
      </c>
      <c r="S23" s="76">
        <f t="shared" si="4"/>
        <v>0</v>
      </c>
      <c r="T23" s="77">
        <f t="shared" si="5"/>
        <v>0</v>
      </c>
      <c r="U23" s="33">
        <f t="shared" si="6"/>
        <v>3</v>
      </c>
      <c r="V23" s="36">
        <f>ROUND('EXTENSION - PAY'!I23*0.12,2)</f>
        <v>0</v>
      </c>
      <c r="W23" s="37">
        <f t="shared" ref="W23:W45" si="8">W22</f>
        <v>100</v>
      </c>
      <c r="X23" s="37">
        <f>MIN((I23*0.05)-'EXTENSION - DEDS'!Y22,2500)</f>
        <v>0</v>
      </c>
      <c r="Y23" s="41">
        <f t="shared" ref="Y23:Y45" si="9">Y22</f>
        <v>200</v>
      </c>
    </row>
    <row r="24" spans="1:26" ht="18.75" customHeight="1" x14ac:dyDescent="0.25">
      <c r="A24" s="98"/>
      <c r="B24" s="33">
        <f t="shared" si="7"/>
        <v>4</v>
      </c>
      <c r="C24" s="72">
        <f>VLOOKUP(B24,'WTAX-EXTENSION'!B:N,2,0)</f>
        <v>0</v>
      </c>
      <c r="D24" s="72" t="e">
        <f>VLOOKUP(C24,'WTAX-EXTENSION'!C:O,2,0)</f>
        <v>#N/A</v>
      </c>
      <c r="E24" s="306">
        <f>VLOOKUP(B24,'WTAX-EXTENSION'!B:N,4,0)</f>
        <v>0</v>
      </c>
      <c r="F24" s="86"/>
      <c r="G24" s="88"/>
      <c r="H24" s="88"/>
      <c r="I24" s="37">
        <f t="shared" si="0"/>
        <v>0</v>
      </c>
      <c r="J24" s="332">
        <f>'WTAX-EXTENSION'!N11</f>
        <v>0</v>
      </c>
      <c r="K24" s="211">
        <f t="shared" si="1"/>
        <v>0</v>
      </c>
      <c r="L24" s="40">
        <f>'WTAX-EXTENSION'!F11</f>
        <v>0</v>
      </c>
      <c r="M24" s="37">
        <f>'EXTENSION - DEDS'!R23</f>
        <v>0</v>
      </c>
      <c r="N24" s="37">
        <f>'EXTENSION - DEDS'!X23</f>
        <v>0</v>
      </c>
      <c r="O24" s="37">
        <f>'EXTENSION - DEDS'!Y23</f>
        <v>0</v>
      </c>
      <c r="P24" s="37">
        <f>'EXTENSION - DEDS'!AE23</f>
        <v>0</v>
      </c>
      <c r="Q24" s="38">
        <f t="shared" si="2"/>
        <v>0</v>
      </c>
      <c r="R24" s="49">
        <f t="shared" si="3"/>
        <v>0</v>
      </c>
      <c r="S24" s="76">
        <f t="shared" si="4"/>
        <v>0</v>
      </c>
      <c r="T24" s="77">
        <f t="shared" si="5"/>
        <v>0</v>
      </c>
      <c r="U24" s="33">
        <f t="shared" si="6"/>
        <v>4</v>
      </c>
      <c r="V24" s="36">
        <f>ROUND('EXTENSION - PAY'!I24*0.12,2)</f>
        <v>0</v>
      </c>
      <c r="W24" s="37">
        <f t="shared" si="8"/>
        <v>100</v>
      </c>
      <c r="X24" s="37">
        <f>MIN((I24*0.05)-'EXTENSION - DEDS'!Y23,2500)</f>
        <v>0</v>
      </c>
      <c r="Y24" s="41">
        <f t="shared" si="9"/>
        <v>200</v>
      </c>
    </row>
    <row r="25" spans="1:26" ht="18.75" customHeight="1" x14ac:dyDescent="0.25">
      <c r="A25" s="98"/>
      <c r="B25" s="33">
        <f t="shared" si="7"/>
        <v>5</v>
      </c>
      <c r="C25" s="72">
        <f>VLOOKUP(B25,'WTAX-EXTENSION'!B:N,2,0)</f>
        <v>0</v>
      </c>
      <c r="D25" s="72" t="e">
        <f>VLOOKUP(C25,'WTAX-EXTENSION'!C:O,2,0)</f>
        <v>#N/A</v>
      </c>
      <c r="E25" s="306">
        <f>VLOOKUP(B25,'WTAX-EXTENSION'!B:N,4,0)</f>
        <v>0</v>
      </c>
      <c r="F25" s="86"/>
      <c r="G25" s="88"/>
      <c r="H25" s="88"/>
      <c r="I25" s="37">
        <f t="shared" si="0"/>
        <v>0</v>
      </c>
      <c r="J25" s="332">
        <f>'WTAX-EXTENSION'!N12</f>
        <v>0</v>
      </c>
      <c r="K25" s="211">
        <f t="shared" si="1"/>
        <v>0</v>
      </c>
      <c r="L25" s="40">
        <f>'WTAX-EXTENSION'!F12</f>
        <v>0</v>
      </c>
      <c r="M25" s="37">
        <f>'EXTENSION - DEDS'!R24</f>
        <v>0</v>
      </c>
      <c r="N25" s="37">
        <f>'EXTENSION - DEDS'!X24</f>
        <v>0</v>
      </c>
      <c r="O25" s="37">
        <f>'EXTENSION - DEDS'!Y24</f>
        <v>0</v>
      </c>
      <c r="P25" s="37">
        <f>'EXTENSION - DEDS'!AE24</f>
        <v>0</v>
      </c>
      <c r="Q25" s="38">
        <f t="shared" si="2"/>
        <v>0</v>
      </c>
      <c r="R25" s="49">
        <f t="shared" si="3"/>
        <v>0</v>
      </c>
      <c r="S25" s="76">
        <f t="shared" si="4"/>
        <v>0</v>
      </c>
      <c r="T25" s="77">
        <f t="shared" si="5"/>
        <v>0</v>
      </c>
      <c r="U25" s="33">
        <f t="shared" si="6"/>
        <v>5</v>
      </c>
      <c r="V25" s="36">
        <f>ROUND('EXTENSION - PAY'!I25*0.12,2)</f>
        <v>0</v>
      </c>
      <c r="W25" s="37">
        <f t="shared" si="8"/>
        <v>100</v>
      </c>
      <c r="X25" s="37">
        <f>MIN((I25*0.05)-'EXTENSION - DEDS'!Y24,2500)</f>
        <v>0</v>
      </c>
      <c r="Y25" s="41">
        <f t="shared" si="9"/>
        <v>200</v>
      </c>
    </row>
    <row r="26" spans="1:26" ht="18.75" customHeight="1" x14ac:dyDescent="0.25">
      <c r="A26" s="98"/>
      <c r="B26" s="33">
        <f t="shared" si="7"/>
        <v>6</v>
      </c>
      <c r="C26" s="72">
        <f>VLOOKUP(B26,'WTAX-EXTENSION'!B:N,2,0)</f>
        <v>0</v>
      </c>
      <c r="D26" s="72" t="e">
        <f>VLOOKUP(C26,'WTAX-EXTENSION'!C:O,2,0)</f>
        <v>#N/A</v>
      </c>
      <c r="E26" s="306">
        <f>VLOOKUP(B26,'WTAX-EXTENSION'!B:N,4,0)</f>
        <v>0</v>
      </c>
      <c r="F26" s="86"/>
      <c r="G26" s="88"/>
      <c r="H26" s="88"/>
      <c r="I26" s="37">
        <f t="shared" si="0"/>
        <v>0</v>
      </c>
      <c r="J26" s="332">
        <f>'WTAX-EXTENSION'!N13</f>
        <v>0</v>
      </c>
      <c r="K26" s="211">
        <f t="shared" si="1"/>
        <v>0</v>
      </c>
      <c r="L26" s="40">
        <f>'WTAX-EXTENSION'!F13</f>
        <v>0</v>
      </c>
      <c r="M26" s="37">
        <f>'EXTENSION - DEDS'!R25</f>
        <v>0</v>
      </c>
      <c r="N26" s="37">
        <f>'EXTENSION - DEDS'!X25</f>
        <v>0</v>
      </c>
      <c r="O26" s="37">
        <f>'EXTENSION - DEDS'!Y25</f>
        <v>0</v>
      </c>
      <c r="P26" s="37">
        <f>'EXTENSION - DEDS'!AE25</f>
        <v>0</v>
      </c>
      <c r="Q26" s="38">
        <f t="shared" si="2"/>
        <v>0</v>
      </c>
      <c r="R26" s="49">
        <f t="shared" si="3"/>
        <v>0</v>
      </c>
      <c r="S26" s="76">
        <f t="shared" si="4"/>
        <v>0</v>
      </c>
      <c r="T26" s="77">
        <f t="shared" si="5"/>
        <v>0</v>
      </c>
      <c r="U26" s="33">
        <f t="shared" si="6"/>
        <v>6</v>
      </c>
      <c r="V26" s="36">
        <f>ROUND('EXTENSION - PAY'!I26*0.12,2)</f>
        <v>0</v>
      </c>
      <c r="W26" s="37">
        <f t="shared" si="8"/>
        <v>100</v>
      </c>
      <c r="X26" s="37">
        <f>MIN((I26*0.05)-'EXTENSION - DEDS'!Y25,2500)</f>
        <v>0</v>
      </c>
      <c r="Y26" s="41">
        <f t="shared" si="9"/>
        <v>200</v>
      </c>
    </row>
    <row r="27" spans="1:26" ht="18.75" customHeight="1" x14ac:dyDescent="0.25">
      <c r="A27" s="98"/>
      <c r="B27" s="33">
        <f t="shared" si="7"/>
        <v>7</v>
      </c>
      <c r="C27" s="72">
        <f>VLOOKUP(B27,'WTAX-EXTENSION'!B:N,2,0)</f>
        <v>0</v>
      </c>
      <c r="D27" s="72" t="e">
        <f>VLOOKUP(C27,'WTAX-EXTENSION'!C:O,2,0)</f>
        <v>#N/A</v>
      </c>
      <c r="E27" s="306">
        <f>VLOOKUP(B27,'WTAX-EXTENSION'!B:N,4,0)</f>
        <v>0</v>
      </c>
      <c r="F27" s="86"/>
      <c r="G27" s="88"/>
      <c r="H27" s="88"/>
      <c r="I27" s="37">
        <f t="shared" si="0"/>
        <v>0</v>
      </c>
      <c r="J27" s="332">
        <f>'WTAX-EXTENSION'!N14</f>
        <v>0</v>
      </c>
      <c r="K27" s="211">
        <f t="shared" si="1"/>
        <v>0</v>
      </c>
      <c r="L27" s="40">
        <f>'WTAX-EXTENSION'!F14</f>
        <v>0</v>
      </c>
      <c r="M27" s="37">
        <f>'EXTENSION - DEDS'!R26</f>
        <v>0</v>
      </c>
      <c r="N27" s="37">
        <f>'EXTENSION - DEDS'!X26</f>
        <v>0</v>
      </c>
      <c r="O27" s="37">
        <f>'EXTENSION - DEDS'!Y26</f>
        <v>0</v>
      </c>
      <c r="P27" s="37">
        <f>'EXTENSION - DEDS'!AE26</f>
        <v>0</v>
      </c>
      <c r="Q27" s="38">
        <f t="shared" si="2"/>
        <v>0</v>
      </c>
      <c r="R27" s="49">
        <f t="shared" si="3"/>
        <v>0</v>
      </c>
      <c r="S27" s="76">
        <f t="shared" si="4"/>
        <v>0</v>
      </c>
      <c r="T27" s="77">
        <f t="shared" si="5"/>
        <v>0</v>
      </c>
      <c r="U27" s="33">
        <f t="shared" si="6"/>
        <v>7</v>
      </c>
      <c r="V27" s="36">
        <f>ROUND('EXTENSION - PAY'!I27*0.12,2)</f>
        <v>0</v>
      </c>
      <c r="W27" s="37">
        <f t="shared" si="8"/>
        <v>100</v>
      </c>
      <c r="X27" s="37">
        <f>MIN((I27*0.05)-'EXTENSION - DEDS'!Y26,2500)</f>
        <v>0</v>
      </c>
      <c r="Y27" s="41">
        <f t="shared" si="9"/>
        <v>200</v>
      </c>
    </row>
    <row r="28" spans="1:26" ht="18.75" customHeight="1" x14ac:dyDescent="0.25">
      <c r="A28" s="98"/>
      <c r="B28" s="33">
        <f t="shared" si="7"/>
        <v>8</v>
      </c>
      <c r="C28" s="72">
        <f>VLOOKUP(B28,'WTAX-EXTENSION'!B:N,2,0)</f>
        <v>0</v>
      </c>
      <c r="D28" s="72" t="e">
        <f>VLOOKUP(C28,'WTAX-EXTENSION'!C:O,2,0)</f>
        <v>#N/A</v>
      </c>
      <c r="E28" s="306">
        <f>VLOOKUP(B28,'WTAX-EXTENSION'!B:N,4,0)</f>
        <v>0</v>
      </c>
      <c r="F28" s="89"/>
      <c r="G28" s="91"/>
      <c r="H28" s="91"/>
      <c r="I28" s="37">
        <f t="shared" si="0"/>
        <v>0</v>
      </c>
      <c r="J28" s="332">
        <f>'WTAX-EXTENSION'!N15</f>
        <v>0</v>
      </c>
      <c r="K28" s="211">
        <f t="shared" si="1"/>
        <v>0</v>
      </c>
      <c r="L28" s="40">
        <f>'WTAX-EXTENSION'!F15</f>
        <v>0</v>
      </c>
      <c r="M28" s="37">
        <f>'EXTENSION - DEDS'!R27</f>
        <v>0</v>
      </c>
      <c r="N28" s="37">
        <f>'EXTENSION - DEDS'!X27</f>
        <v>0</v>
      </c>
      <c r="O28" s="37">
        <f>'EXTENSION - DEDS'!Y27</f>
        <v>0</v>
      </c>
      <c r="P28" s="37">
        <f>'EXTENSION - DEDS'!AE27</f>
        <v>0</v>
      </c>
      <c r="Q28" s="38">
        <f t="shared" si="2"/>
        <v>0</v>
      </c>
      <c r="R28" s="49">
        <f t="shared" si="3"/>
        <v>0</v>
      </c>
      <c r="S28" s="76">
        <f t="shared" si="4"/>
        <v>0</v>
      </c>
      <c r="T28" s="77">
        <f t="shared" si="5"/>
        <v>0</v>
      </c>
      <c r="U28" s="33">
        <f t="shared" si="6"/>
        <v>8</v>
      </c>
      <c r="V28" s="36">
        <f>ROUND('EXTENSION - PAY'!I28*0.12,2)</f>
        <v>0</v>
      </c>
      <c r="W28" s="37">
        <f t="shared" si="8"/>
        <v>100</v>
      </c>
      <c r="X28" s="37">
        <f>MIN((I28*0.05)-'EXTENSION - DEDS'!Y27,2500)</f>
        <v>0</v>
      </c>
      <c r="Y28" s="41">
        <f t="shared" si="9"/>
        <v>200</v>
      </c>
    </row>
    <row r="29" spans="1:26" ht="18.75" customHeight="1" x14ac:dyDescent="0.25">
      <c r="A29" s="98"/>
      <c r="B29" s="33">
        <f t="shared" si="7"/>
        <v>9</v>
      </c>
      <c r="C29" s="72">
        <f>VLOOKUP(B29,'WTAX-EXTENSION'!B:N,2,0)</f>
        <v>0</v>
      </c>
      <c r="D29" s="72" t="e">
        <f>VLOOKUP(C29,'WTAX-EXTENSION'!C:O,2,0)</f>
        <v>#N/A</v>
      </c>
      <c r="E29" s="306">
        <f>VLOOKUP(B29,'WTAX-EXTENSION'!B:N,4,0)</f>
        <v>0</v>
      </c>
      <c r="F29" s="89"/>
      <c r="G29" s="91"/>
      <c r="H29" s="91"/>
      <c r="I29" s="37">
        <f t="shared" si="0"/>
        <v>0</v>
      </c>
      <c r="J29" s="332">
        <f>'WTAX-EXTENSION'!N16</f>
        <v>0</v>
      </c>
      <c r="K29" s="211">
        <f t="shared" si="1"/>
        <v>0</v>
      </c>
      <c r="L29" s="40">
        <f>'WTAX-EXTENSION'!F16</f>
        <v>0</v>
      </c>
      <c r="M29" s="37">
        <f>'EXTENSION - DEDS'!R28</f>
        <v>0</v>
      </c>
      <c r="N29" s="37">
        <f>'EXTENSION - DEDS'!X28</f>
        <v>0</v>
      </c>
      <c r="O29" s="37">
        <f>'EXTENSION - DEDS'!Y28</f>
        <v>0</v>
      </c>
      <c r="P29" s="37">
        <f>'EXTENSION - DEDS'!AE28</f>
        <v>0</v>
      </c>
      <c r="Q29" s="38">
        <f t="shared" si="2"/>
        <v>0</v>
      </c>
      <c r="R29" s="49">
        <f t="shared" si="3"/>
        <v>0</v>
      </c>
      <c r="S29" s="76">
        <f t="shared" si="4"/>
        <v>0</v>
      </c>
      <c r="T29" s="77">
        <f t="shared" si="5"/>
        <v>0</v>
      </c>
      <c r="U29" s="33">
        <f t="shared" si="6"/>
        <v>9</v>
      </c>
      <c r="V29" s="36">
        <f>ROUND('EXTENSION - PAY'!I29*0.12,2)</f>
        <v>0</v>
      </c>
      <c r="W29" s="37">
        <f t="shared" si="8"/>
        <v>100</v>
      </c>
      <c r="X29" s="37">
        <f>MIN((I29*0.05)-'EXTENSION - DEDS'!Y28,2500)</f>
        <v>0</v>
      </c>
      <c r="Y29" s="41">
        <f t="shared" si="9"/>
        <v>200</v>
      </c>
    </row>
    <row r="30" spans="1:26" ht="18.75" customHeight="1" x14ac:dyDescent="0.25">
      <c r="A30" s="98"/>
      <c r="B30" s="33">
        <f t="shared" si="7"/>
        <v>10</v>
      </c>
      <c r="C30" s="72">
        <f>VLOOKUP(B30,'WTAX-EXTENSION'!B:N,2,0)</f>
        <v>0</v>
      </c>
      <c r="D30" s="72" t="e">
        <f>VLOOKUP(C30,'WTAX-EXTENSION'!C:O,2,0)</f>
        <v>#N/A</v>
      </c>
      <c r="E30" s="306">
        <f>VLOOKUP(B30,'WTAX-EXTENSION'!B:N,4,0)</f>
        <v>0</v>
      </c>
      <c r="F30" s="86"/>
      <c r="G30" s="91"/>
      <c r="H30" s="91"/>
      <c r="I30" s="37">
        <f t="shared" si="0"/>
        <v>0</v>
      </c>
      <c r="J30" s="332">
        <f>'WTAX-EXTENSION'!N17</f>
        <v>0</v>
      </c>
      <c r="K30" s="211">
        <f t="shared" si="1"/>
        <v>0</v>
      </c>
      <c r="L30" s="40">
        <f>'WTAX-EXTENSION'!F17</f>
        <v>0</v>
      </c>
      <c r="M30" s="37">
        <f>'EXTENSION - DEDS'!R29</f>
        <v>0</v>
      </c>
      <c r="N30" s="37">
        <f>'EXTENSION - DEDS'!X29</f>
        <v>0</v>
      </c>
      <c r="O30" s="37">
        <f>'EXTENSION - DEDS'!Y29</f>
        <v>0</v>
      </c>
      <c r="P30" s="37">
        <f>'EXTENSION - DEDS'!AE29</f>
        <v>0</v>
      </c>
      <c r="Q30" s="38">
        <f t="shared" si="2"/>
        <v>0</v>
      </c>
      <c r="R30" s="49">
        <f t="shared" si="3"/>
        <v>0</v>
      </c>
      <c r="S30" s="76">
        <f t="shared" si="4"/>
        <v>0</v>
      </c>
      <c r="T30" s="77">
        <f t="shared" si="5"/>
        <v>0</v>
      </c>
      <c r="U30" s="33">
        <f t="shared" si="6"/>
        <v>10</v>
      </c>
      <c r="V30" s="36">
        <f>ROUND('EXTENSION - PAY'!I30*0.12,2)</f>
        <v>0</v>
      </c>
      <c r="W30" s="37">
        <f t="shared" si="8"/>
        <v>100</v>
      </c>
      <c r="X30" s="37">
        <f>MIN((I30*0.05)-'EXTENSION - DEDS'!Y29,2500)</f>
        <v>0</v>
      </c>
      <c r="Y30" s="41">
        <f t="shared" si="9"/>
        <v>200</v>
      </c>
    </row>
    <row r="31" spans="1:26" ht="18.75" customHeight="1" x14ac:dyDescent="0.25">
      <c r="A31" s="98"/>
      <c r="B31" s="33">
        <f t="shared" si="7"/>
        <v>11</v>
      </c>
      <c r="C31" s="72">
        <f>VLOOKUP(B31,'WTAX-EXTENSION'!B:N,2,0)</f>
        <v>0</v>
      </c>
      <c r="D31" s="72" t="e">
        <f>VLOOKUP(C31,'WTAX-EXTENSION'!C:O,2,0)</f>
        <v>#N/A</v>
      </c>
      <c r="E31" s="306">
        <f>VLOOKUP(B31,'WTAX-EXTENSION'!B:N,4,0)</f>
        <v>0</v>
      </c>
      <c r="F31" s="89"/>
      <c r="G31" s="91"/>
      <c r="H31" s="91"/>
      <c r="I31" s="37">
        <f t="shared" si="0"/>
        <v>0</v>
      </c>
      <c r="J31" s="332">
        <f>'WTAX-EXTENSION'!N18</f>
        <v>0</v>
      </c>
      <c r="K31" s="211">
        <f t="shared" si="1"/>
        <v>0</v>
      </c>
      <c r="L31" s="40">
        <f>'WTAX-EXTENSION'!F18</f>
        <v>0</v>
      </c>
      <c r="M31" s="37">
        <f>'EXTENSION - DEDS'!R30</f>
        <v>0</v>
      </c>
      <c r="N31" s="37">
        <f>'EXTENSION - DEDS'!X30</f>
        <v>0</v>
      </c>
      <c r="O31" s="37">
        <f>'EXTENSION - DEDS'!Y30</f>
        <v>0</v>
      </c>
      <c r="P31" s="37">
        <f>'EXTENSION - DEDS'!AE30</f>
        <v>0</v>
      </c>
      <c r="Q31" s="38">
        <f t="shared" si="2"/>
        <v>0</v>
      </c>
      <c r="R31" s="49">
        <f t="shared" si="3"/>
        <v>0</v>
      </c>
      <c r="S31" s="76">
        <f t="shared" si="4"/>
        <v>0</v>
      </c>
      <c r="T31" s="77">
        <f t="shared" si="5"/>
        <v>0</v>
      </c>
      <c r="U31" s="33">
        <f t="shared" si="6"/>
        <v>11</v>
      </c>
      <c r="V31" s="36">
        <f>ROUND('EXTENSION - PAY'!I31*0.12,2)</f>
        <v>0</v>
      </c>
      <c r="W31" s="37">
        <f t="shared" si="8"/>
        <v>100</v>
      </c>
      <c r="X31" s="37">
        <f>MIN((I31*0.05)-'EXTENSION - DEDS'!Y30,2500)</f>
        <v>0</v>
      </c>
      <c r="Y31" s="41">
        <f t="shared" si="9"/>
        <v>200</v>
      </c>
    </row>
    <row r="32" spans="1:26" ht="18.75" customHeight="1" x14ac:dyDescent="0.25">
      <c r="A32" s="98"/>
      <c r="B32" s="33">
        <f t="shared" si="7"/>
        <v>12</v>
      </c>
      <c r="C32" s="72">
        <f>VLOOKUP(B32,'WTAX-EXTENSION'!B:N,2,0)</f>
        <v>0</v>
      </c>
      <c r="D32" s="72" t="e">
        <f>VLOOKUP(C32,'WTAX-EXTENSION'!C:O,2,0)</f>
        <v>#N/A</v>
      </c>
      <c r="E32" s="306">
        <f>VLOOKUP(B32,'WTAX-EXTENSION'!B:N,4,0)</f>
        <v>0</v>
      </c>
      <c r="F32" s="86"/>
      <c r="G32" s="91"/>
      <c r="H32" s="91"/>
      <c r="I32" s="37">
        <f t="shared" si="0"/>
        <v>0</v>
      </c>
      <c r="J32" s="332">
        <f>'WTAX-EXTENSION'!N19</f>
        <v>0</v>
      </c>
      <c r="K32" s="211">
        <f t="shared" si="1"/>
        <v>0</v>
      </c>
      <c r="L32" s="40">
        <f>'WTAX-EXTENSION'!F19</f>
        <v>0</v>
      </c>
      <c r="M32" s="37">
        <f>'EXTENSION - DEDS'!R31</f>
        <v>0</v>
      </c>
      <c r="N32" s="37">
        <f>'EXTENSION - DEDS'!X31</f>
        <v>0</v>
      </c>
      <c r="O32" s="37">
        <f>'EXTENSION - DEDS'!Y31</f>
        <v>0</v>
      </c>
      <c r="P32" s="37">
        <f>'EXTENSION - DEDS'!AE31</f>
        <v>0</v>
      </c>
      <c r="Q32" s="38">
        <f t="shared" si="2"/>
        <v>0</v>
      </c>
      <c r="R32" s="49">
        <f t="shared" si="3"/>
        <v>0</v>
      </c>
      <c r="S32" s="76">
        <f t="shared" si="4"/>
        <v>0</v>
      </c>
      <c r="T32" s="77">
        <f t="shared" si="5"/>
        <v>0</v>
      </c>
      <c r="U32" s="33">
        <f t="shared" si="6"/>
        <v>12</v>
      </c>
      <c r="V32" s="36">
        <f>ROUND('EXTENSION - PAY'!I32*0.12,2)</f>
        <v>0</v>
      </c>
      <c r="W32" s="37">
        <f t="shared" si="8"/>
        <v>100</v>
      </c>
      <c r="X32" s="37">
        <f>MIN((I32*0.05)-'EXTENSION - DEDS'!Y31,2500)</f>
        <v>0</v>
      </c>
      <c r="Y32" s="41">
        <f t="shared" si="9"/>
        <v>200</v>
      </c>
    </row>
    <row r="33" spans="1:25" ht="18.75" customHeight="1" x14ac:dyDescent="0.25">
      <c r="A33" s="98"/>
      <c r="B33" s="33">
        <f t="shared" si="7"/>
        <v>13</v>
      </c>
      <c r="C33" s="72">
        <f>VLOOKUP(B33,'WTAX-EXTENSION'!B:N,2,0)</f>
        <v>0</v>
      </c>
      <c r="D33" s="72" t="e">
        <f>VLOOKUP(C33,'WTAX-EXTENSION'!C:O,2,0)</f>
        <v>#N/A</v>
      </c>
      <c r="E33" s="306">
        <f>VLOOKUP(B33,'WTAX-EXTENSION'!B:N,4,0)</f>
        <v>0</v>
      </c>
      <c r="F33" s="89"/>
      <c r="G33" s="91"/>
      <c r="H33" s="91"/>
      <c r="I33" s="37">
        <f t="shared" si="0"/>
        <v>0</v>
      </c>
      <c r="J33" s="332">
        <f>'WTAX-EXTENSION'!N20</f>
        <v>0</v>
      </c>
      <c r="K33" s="211">
        <f t="shared" si="1"/>
        <v>0</v>
      </c>
      <c r="L33" s="40">
        <f>'WTAX-EXTENSION'!F20</f>
        <v>0</v>
      </c>
      <c r="M33" s="37">
        <f>'EXTENSION - DEDS'!R32</f>
        <v>0</v>
      </c>
      <c r="N33" s="37">
        <f>'EXTENSION - DEDS'!X32</f>
        <v>0</v>
      </c>
      <c r="O33" s="37">
        <f>'EXTENSION - DEDS'!Y32</f>
        <v>0</v>
      </c>
      <c r="P33" s="37">
        <f>'EXTENSION - DEDS'!AE32</f>
        <v>0</v>
      </c>
      <c r="Q33" s="38">
        <f t="shared" si="2"/>
        <v>0</v>
      </c>
      <c r="R33" s="49">
        <f t="shared" si="3"/>
        <v>0</v>
      </c>
      <c r="S33" s="76">
        <f t="shared" si="4"/>
        <v>0</v>
      </c>
      <c r="T33" s="77">
        <f t="shared" si="5"/>
        <v>0</v>
      </c>
      <c r="U33" s="33">
        <f t="shared" si="6"/>
        <v>13</v>
      </c>
      <c r="V33" s="36">
        <f>ROUND('EXTENSION - PAY'!I33*0.12,2)</f>
        <v>0</v>
      </c>
      <c r="W33" s="37">
        <f t="shared" si="8"/>
        <v>100</v>
      </c>
      <c r="X33" s="37">
        <f>MIN((I33*0.05)-'EXTENSION - DEDS'!Y32,2500)</f>
        <v>0</v>
      </c>
      <c r="Y33" s="41">
        <f t="shared" si="9"/>
        <v>200</v>
      </c>
    </row>
    <row r="34" spans="1:25" ht="18.75" customHeight="1" x14ac:dyDescent="0.25">
      <c r="A34" s="98"/>
      <c r="B34" s="33">
        <f t="shared" si="7"/>
        <v>14</v>
      </c>
      <c r="C34" s="72">
        <f>VLOOKUP(B34,'WTAX-EXTENSION'!B:N,2,0)</f>
        <v>0</v>
      </c>
      <c r="D34" s="72" t="e">
        <f>VLOOKUP(C34,'WTAX-EXTENSION'!C:O,2,0)</f>
        <v>#N/A</v>
      </c>
      <c r="E34" s="306">
        <f>VLOOKUP(B34,'WTAX-EXTENSION'!B:N,4,0)</f>
        <v>0</v>
      </c>
      <c r="F34" s="89"/>
      <c r="G34" s="91"/>
      <c r="H34" s="91"/>
      <c r="I34" s="37">
        <f t="shared" si="0"/>
        <v>0</v>
      </c>
      <c r="J34" s="332">
        <f>'WTAX-EXTENSION'!N21</f>
        <v>0</v>
      </c>
      <c r="K34" s="211">
        <f t="shared" si="1"/>
        <v>0</v>
      </c>
      <c r="L34" s="40">
        <f>'WTAX-EXTENSION'!F21</f>
        <v>0</v>
      </c>
      <c r="M34" s="37">
        <f>'EXTENSION - DEDS'!R33</f>
        <v>0</v>
      </c>
      <c r="N34" s="37">
        <f>'EXTENSION - DEDS'!X33</f>
        <v>0</v>
      </c>
      <c r="O34" s="37">
        <f>'EXTENSION - DEDS'!Y33</f>
        <v>0</v>
      </c>
      <c r="P34" s="37">
        <f>'EXTENSION - DEDS'!AE33</f>
        <v>0</v>
      </c>
      <c r="Q34" s="38">
        <f t="shared" si="2"/>
        <v>0</v>
      </c>
      <c r="R34" s="49">
        <f t="shared" si="3"/>
        <v>0</v>
      </c>
      <c r="S34" s="76">
        <f t="shared" si="4"/>
        <v>0</v>
      </c>
      <c r="T34" s="77">
        <f t="shared" si="5"/>
        <v>0</v>
      </c>
      <c r="U34" s="33">
        <f t="shared" si="6"/>
        <v>14</v>
      </c>
      <c r="V34" s="36">
        <f>ROUND('EXTENSION - PAY'!I34*0.12,2)</f>
        <v>0</v>
      </c>
      <c r="W34" s="37">
        <f t="shared" si="8"/>
        <v>100</v>
      </c>
      <c r="X34" s="37">
        <f>MIN((I34*0.05)-'EXTENSION - DEDS'!Y33,2500)</f>
        <v>0</v>
      </c>
      <c r="Y34" s="41">
        <f t="shared" si="9"/>
        <v>200</v>
      </c>
    </row>
    <row r="35" spans="1:25" ht="18.75" customHeight="1" x14ac:dyDescent="0.25">
      <c r="A35" s="98"/>
      <c r="B35" s="33">
        <f t="shared" si="7"/>
        <v>15</v>
      </c>
      <c r="C35" s="72">
        <f>VLOOKUP(B35,'WTAX-EXTENSION'!B:N,2,0)</f>
        <v>0</v>
      </c>
      <c r="D35" s="72" t="e">
        <f>VLOOKUP(C35,'WTAX-EXTENSION'!C:O,2,0)</f>
        <v>#N/A</v>
      </c>
      <c r="E35" s="306">
        <f>VLOOKUP(B35,'WTAX-EXTENSION'!B:N,4,0)</f>
        <v>0</v>
      </c>
      <c r="F35" s="89"/>
      <c r="G35" s="91"/>
      <c r="H35" s="91"/>
      <c r="I35" s="37">
        <f t="shared" si="0"/>
        <v>0</v>
      </c>
      <c r="J35" s="332">
        <f>'WTAX-EXTENSION'!N22</f>
        <v>0</v>
      </c>
      <c r="K35" s="211">
        <f t="shared" si="1"/>
        <v>0</v>
      </c>
      <c r="L35" s="40">
        <f>'WTAX-EXTENSION'!F22</f>
        <v>0</v>
      </c>
      <c r="M35" s="37">
        <f>'EXTENSION - DEDS'!R34</f>
        <v>0</v>
      </c>
      <c r="N35" s="37">
        <f>'EXTENSION - DEDS'!X34</f>
        <v>0</v>
      </c>
      <c r="O35" s="37">
        <f>'EXTENSION - DEDS'!Y34</f>
        <v>0</v>
      </c>
      <c r="P35" s="37">
        <f>'EXTENSION - DEDS'!AE34</f>
        <v>0</v>
      </c>
      <c r="Q35" s="38">
        <f t="shared" si="2"/>
        <v>0</v>
      </c>
      <c r="R35" s="49">
        <f t="shared" si="3"/>
        <v>0</v>
      </c>
      <c r="S35" s="76">
        <f t="shared" si="4"/>
        <v>0</v>
      </c>
      <c r="T35" s="77">
        <f t="shared" si="5"/>
        <v>0</v>
      </c>
      <c r="U35" s="33">
        <f t="shared" si="6"/>
        <v>15</v>
      </c>
      <c r="V35" s="36">
        <f>ROUND('EXTENSION - PAY'!I35*0.12,2)</f>
        <v>0</v>
      </c>
      <c r="W35" s="37">
        <f t="shared" si="8"/>
        <v>100</v>
      </c>
      <c r="X35" s="37">
        <f>MIN((I35*0.05)-'EXTENSION - DEDS'!Y34,2500)</f>
        <v>0</v>
      </c>
      <c r="Y35" s="41">
        <f t="shared" si="9"/>
        <v>200</v>
      </c>
    </row>
    <row r="36" spans="1:25" ht="18.75" customHeight="1" x14ac:dyDescent="0.25">
      <c r="A36" s="98"/>
      <c r="B36" s="33">
        <f t="shared" si="7"/>
        <v>16</v>
      </c>
      <c r="C36" s="72">
        <f>VLOOKUP(B36,'WTAX-EXTENSION'!B:N,2,0)</f>
        <v>0</v>
      </c>
      <c r="D36" s="72" t="e">
        <f>VLOOKUP(C36,'WTAX-EXTENSION'!C:O,2,0)</f>
        <v>#N/A</v>
      </c>
      <c r="E36" s="306">
        <f>VLOOKUP(B36,'WTAX-EXTENSION'!B:N,4,0)</f>
        <v>0</v>
      </c>
      <c r="F36" s="89"/>
      <c r="G36" s="91"/>
      <c r="H36" s="91"/>
      <c r="I36" s="37">
        <f t="shared" si="0"/>
        <v>0</v>
      </c>
      <c r="J36" s="332">
        <f>'WTAX-EXTENSION'!N23</f>
        <v>0</v>
      </c>
      <c r="K36" s="211">
        <f t="shared" si="1"/>
        <v>0</v>
      </c>
      <c r="L36" s="40">
        <f>'WTAX-EXTENSION'!F23</f>
        <v>0</v>
      </c>
      <c r="M36" s="37">
        <f>'EXTENSION - DEDS'!R35</f>
        <v>0</v>
      </c>
      <c r="N36" s="37">
        <f>'EXTENSION - DEDS'!X35</f>
        <v>0</v>
      </c>
      <c r="O36" s="37">
        <f>'EXTENSION - DEDS'!Y35</f>
        <v>0</v>
      </c>
      <c r="P36" s="37">
        <f>'EXTENSION - DEDS'!AE35</f>
        <v>0</v>
      </c>
      <c r="Q36" s="38">
        <f t="shared" si="2"/>
        <v>0</v>
      </c>
      <c r="R36" s="49">
        <f t="shared" si="3"/>
        <v>0</v>
      </c>
      <c r="S36" s="76">
        <f t="shared" si="4"/>
        <v>0</v>
      </c>
      <c r="T36" s="77">
        <f t="shared" si="5"/>
        <v>0</v>
      </c>
      <c r="U36" s="33">
        <f t="shared" si="6"/>
        <v>16</v>
      </c>
      <c r="V36" s="36">
        <f>ROUND('EXTENSION - PAY'!I36*0.12,2)</f>
        <v>0</v>
      </c>
      <c r="W36" s="37">
        <f t="shared" si="8"/>
        <v>100</v>
      </c>
      <c r="X36" s="37">
        <f>MIN((I36*0.05)-'EXTENSION - DEDS'!Y35,2500)</f>
        <v>0</v>
      </c>
      <c r="Y36" s="41">
        <f t="shared" si="9"/>
        <v>200</v>
      </c>
    </row>
    <row r="37" spans="1:25" ht="18.75" customHeight="1" x14ac:dyDescent="0.25">
      <c r="A37" s="98"/>
      <c r="B37" s="33">
        <f t="shared" si="7"/>
        <v>17</v>
      </c>
      <c r="C37" s="72">
        <f>VLOOKUP(B37,'WTAX-EXTENSION'!B:N,2,0)</f>
        <v>0</v>
      </c>
      <c r="D37" s="72" t="e">
        <f>VLOOKUP(C37,'WTAX-EXTENSION'!C:O,2,0)</f>
        <v>#N/A</v>
      </c>
      <c r="E37" s="306">
        <f>VLOOKUP(B37,'WTAX-EXTENSION'!B:N,4,0)</f>
        <v>0</v>
      </c>
      <c r="F37" s="89"/>
      <c r="G37" s="91"/>
      <c r="H37" s="91"/>
      <c r="I37" s="37">
        <f>SUM(F37:H37)</f>
        <v>0</v>
      </c>
      <c r="J37" s="332">
        <f>'WTAX-EXTENSION'!N24</f>
        <v>0</v>
      </c>
      <c r="K37" s="211">
        <f>ROUND(I37-J37,2)</f>
        <v>0</v>
      </c>
      <c r="L37" s="40">
        <f>'WTAX-EXTENSION'!F24</f>
        <v>0</v>
      </c>
      <c r="M37" s="37">
        <f>'EXTENSION - DEDS'!R36</f>
        <v>0</v>
      </c>
      <c r="N37" s="37">
        <f>'EXTENSION - DEDS'!X36</f>
        <v>0</v>
      </c>
      <c r="O37" s="37">
        <f>'EXTENSION - DEDS'!Y36</f>
        <v>0</v>
      </c>
      <c r="P37" s="37">
        <f>'EXTENSION - DEDS'!AE36</f>
        <v>0</v>
      </c>
      <c r="Q37" s="38">
        <f>ROUND(SUM(L37:P37),2)</f>
        <v>0</v>
      </c>
      <c r="R37" s="49">
        <f>K37-Q37</f>
        <v>0</v>
      </c>
      <c r="S37" s="76">
        <f>ROUND(R37/2,0)</f>
        <v>0</v>
      </c>
      <c r="T37" s="77">
        <f>R37-S37</f>
        <v>0</v>
      </c>
      <c r="U37" s="33">
        <f>B37</f>
        <v>17</v>
      </c>
      <c r="V37" s="36">
        <f>ROUND('EXTENSION - PAY'!I37*0.12,2)</f>
        <v>0</v>
      </c>
      <c r="W37" s="37">
        <f t="shared" si="8"/>
        <v>100</v>
      </c>
      <c r="X37" s="37">
        <f>MIN((I37*0.05)-'EXTENSION - DEDS'!Y36,2500)</f>
        <v>0</v>
      </c>
      <c r="Y37" s="41">
        <f t="shared" si="9"/>
        <v>200</v>
      </c>
    </row>
    <row r="38" spans="1:25" ht="18.75" customHeight="1" x14ac:dyDescent="0.25">
      <c r="A38" s="98"/>
      <c r="B38" s="33">
        <f t="shared" si="7"/>
        <v>18</v>
      </c>
      <c r="C38" s="72">
        <f>VLOOKUP(B38,'WTAX-EXTENSION'!B:N,2,0)</f>
        <v>0</v>
      </c>
      <c r="D38" s="72" t="e">
        <f>VLOOKUP(C38,'WTAX-EXTENSION'!C:O,2,0)</f>
        <v>#N/A</v>
      </c>
      <c r="E38" s="306">
        <f>VLOOKUP(B38,'WTAX-EXTENSION'!B:N,4,0)</f>
        <v>0</v>
      </c>
      <c r="F38" s="89"/>
      <c r="G38" s="91"/>
      <c r="H38" s="91"/>
      <c r="I38" s="37">
        <f>SUM(F38:H38)</f>
        <v>0</v>
      </c>
      <c r="J38" s="332">
        <f>'WTAX-EXTENSION'!N25</f>
        <v>0</v>
      </c>
      <c r="K38" s="211">
        <f>ROUND(I38-J38,2)</f>
        <v>0</v>
      </c>
      <c r="L38" s="40">
        <f>'WTAX-EXTENSION'!F25</f>
        <v>0</v>
      </c>
      <c r="M38" s="37">
        <f>'EXTENSION - DEDS'!R37</f>
        <v>0</v>
      </c>
      <c r="N38" s="37">
        <f>'EXTENSION - DEDS'!X37</f>
        <v>0</v>
      </c>
      <c r="O38" s="37">
        <f>'EXTENSION - DEDS'!Y37</f>
        <v>0</v>
      </c>
      <c r="P38" s="37">
        <f>'EXTENSION - DEDS'!AE37</f>
        <v>0</v>
      </c>
      <c r="Q38" s="38">
        <f>ROUND(SUM(L38:P38),2)</f>
        <v>0</v>
      </c>
      <c r="R38" s="49">
        <f>K38-Q38</f>
        <v>0</v>
      </c>
      <c r="S38" s="76">
        <f>ROUND(R38/2,0)</f>
        <v>0</v>
      </c>
      <c r="T38" s="77">
        <f>R38-S38</f>
        <v>0</v>
      </c>
      <c r="U38" s="33">
        <f>B38</f>
        <v>18</v>
      </c>
      <c r="V38" s="36">
        <f>ROUND('EXTENSION - PAY'!I38*0.12,2)</f>
        <v>0</v>
      </c>
      <c r="W38" s="37">
        <f t="shared" si="8"/>
        <v>100</v>
      </c>
      <c r="X38" s="37">
        <f>MIN((I38*0.05)-'EXTENSION - DEDS'!Y37,2500)</f>
        <v>0</v>
      </c>
      <c r="Y38" s="41">
        <f t="shared" si="9"/>
        <v>200</v>
      </c>
    </row>
    <row r="39" spans="1:25" ht="18.75" customHeight="1" x14ac:dyDescent="0.25">
      <c r="A39" s="98"/>
      <c r="B39" s="33">
        <f t="shared" si="7"/>
        <v>19</v>
      </c>
      <c r="C39" s="72">
        <f>VLOOKUP(B39,'WTAX-EXTENSION'!B:N,2,0)</f>
        <v>0</v>
      </c>
      <c r="D39" s="72" t="e">
        <f>VLOOKUP(C39,'WTAX-EXTENSION'!C:O,2,0)</f>
        <v>#N/A</v>
      </c>
      <c r="E39" s="306">
        <f>VLOOKUP(B39,'WTAX-EXTENSION'!B:N,4,0)</f>
        <v>0</v>
      </c>
      <c r="F39" s="89"/>
      <c r="G39" s="91"/>
      <c r="H39" s="91"/>
      <c r="I39" s="37">
        <f t="shared" ref="I39:I59" si="10">SUM(F39:H39)</f>
        <v>0</v>
      </c>
      <c r="J39" s="332">
        <f>'WTAX-EXTENSION'!N26</f>
        <v>0</v>
      </c>
      <c r="K39" s="211">
        <f t="shared" ref="K39:K59" si="11">ROUND(I39-J39,2)</f>
        <v>0</v>
      </c>
      <c r="L39" s="40">
        <f>'WTAX-EXTENSION'!F26</f>
        <v>0</v>
      </c>
      <c r="M39" s="37">
        <f>'EXTENSION - DEDS'!R38</f>
        <v>0</v>
      </c>
      <c r="N39" s="37">
        <f>'EXTENSION - DEDS'!X38</f>
        <v>0</v>
      </c>
      <c r="O39" s="37">
        <f>'EXTENSION - DEDS'!Y38</f>
        <v>0</v>
      </c>
      <c r="P39" s="37">
        <f>'EXTENSION - DEDS'!AE38</f>
        <v>0</v>
      </c>
      <c r="Q39" s="38">
        <f t="shared" ref="Q39:Q59" si="12">ROUND(SUM(L39:P39),2)</f>
        <v>0</v>
      </c>
      <c r="R39" s="49">
        <f t="shared" ref="R39:R59" si="13">K39-Q39</f>
        <v>0</v>
      </c>
      <c r="S39" s="76">
        <f t="shared" ref="S39:S59" si="14">ROUND(R39/2,0)</f>
        <v>0</v>
      </c>
      <c r="T39" s="77">
        <f t="shared" ref="T39:T59" si="15">R39-S39</f>
        <v>0</v>
      </c>
      <c r="U39" s="33">
        <f t="shared" ref="U39:U59" si="16">B39</f>
        <v>19</v>
      </c>
      <c r="V39" s="36">
        <f>ROUND('EXTENSION - PAY'!I39*0.12,2)</f>
        <v>0</v>
      </c>
      <c r="W39" s="37">
        <f t="shared" si="8"/>
        <v>100</v>
      </c>
      <c r="X39" s="37">
        <f>MIN((I39*0.05)-'EXTENSION - DEDS'!Y38,2500)</f>
        <v>0</v>
      </c>
      <c r="Y39" s="41">
        <f t="shared" si="9"/>
        <v>200</v>
      </c>
    </row>
    <row r="40" spans="1:25" ht="18.75" customHeight="1" x14ac:dyDescent="0.25">
      <c r="A40" s="98"/>
      <c r="B40" s="33">
        <f t="shared" si="7"/>
        <v>20</v>
      </c>
      <c r="C40" s="72">
        <f>VLOOKUP(B40,'WTAX-EXTENSION'!B:N,2,0)</f>
        <v>0</v>
      </c>
      <c r="D40" s="72" t="e">
        <f>VLOOKUP(C40,'WTAX-EXTENSION'!C:O,2,0)</f>
        <v>#N/A</v>
      </c>
      <c r="E40" s="306">
        <f>VLOOKUP(B40,'WTAX-EXTENSION'!B:N,4,0)</f>
        <v>0</v>
      </c>
      <c r="F40" s="86"/>
      <c r="G40" s="88"/>
      <c r="H40" s="88"/>
      <c r="I40" s="37">
        <f t="shared" si="10"/>
        <v>0</v>
      </c>
      <c r="J40" s="332">
        <f>'WTAX-EXTENSION'!N27</f>
        <v>0</v>
      </c>
      <c r="K40" s="211">
        <f t="shared" si="11"/>
        <v>0</v>
      </c>
      <c r="L40" s="40">
        <f>'WTAX-EXTENSION'!F27</f>
        <v>0</v>
      </c>
      <c r="M40" s="37">
        <f>'EXTENSION - DEDS'!R39</f>
        <v>0</v>
      </c>
      <c r="N40" s="37">
        <f>'EXTENSION - DEDS'!X39</f>
        <v>0</v>
      </c>
      <c r="O40" s="37">
        <f>'EXTENSION - DEDS'!Y39</f>
        <v>0</v>
      </c>
      <c r="P40" s="37">
        <f>'EXTENSION - DEDS'!AE39</f>
        <v>0</v>
      </c>
      <c r="Q40" s="38">
        <f t="shared" si="12"/>
        <v>0</v>
      </c>
      <c r="R40" s="49">
        <f t="shared" si="13"/>
        <v>0</v>
      </c>
      <c r="S40" s="76">
        <f t="shared" si="14"/>
        <v>0</v>
      </c>
      <c r="T40" s="77">
        <f t="shared" si="15"/>
        <v>0</v>
      </c>
      <c r="U40" s="33">
        <f t="shared" si="16"/>
        <v>20</v>
      </c>
      <c r="V40" s="36">
        <f>ROUND('EXTENSION - PAY'!I40*0.12,2)</f>
        <v>0</v>
      </c>
      <c r="W40" s="37">
        <f t="shared" si="8"/>
        <v>100</v>
      </c>
      <c r="X40" s="37">
        <f>MIN((I40*0.05)-'EXTENSION - DEDS'!Y39,2500)</f>
        <v>0</v>
      </c>
      <c r="Y40" s="41">
        <f t="shared" si="9"/>
        <v>200</v>
      </c>
    </row>
    <row r="41" spans="1:25" ht="18.75" customHeight="1" x14ac:dyDescent="0.25">
      <c r="A41" s="98"/>
      <c r="B41" s="33">
        <f t="shared" si="7"/>
        <v>21</v>
      </c>
      <c r="C41" s="72">
        <f>VLOOKUP(B41,'WTAX-EXTENSION'!B:N,2,0)</f>
        <v>0</v>
      </c>
      <c r="D41" s="72" t="e">
        <f>VLOOKUP(C41,'WTAX-EXTENSION'!C:O,2,0)</f>
        <v>#N/A</v>
      </c>
      <c r="E41" s="306">
        <f>VLOOKUP(B41,'WTAX-EXTENSION'!B:N,4,0)</f>
        <v>0</v>
      </c>
      <c r="F41" s="89"/>
      <c r="G41" s="91"/>
      <c r="H41" s="91"/>
      <c r="I41" s="37">
        <f t="shared" si="10"/>
        <v>0</v>
      </c>
      <c r="J41" s="332">
        <f>'WTAX-EXTENSION'!N28</f>
        <v>0</v>
      </c>
      <c r="K41" s="211">
        <f t="shared" si="11"/>
        <v>0</v>
      </c>
      <c r="L41" s="40">
        <f>'WTAX-EXTENSION'!F28</f>
        <v>0</v>
      </c>
      <c r="M41" s="37">
        <f>'EXTENSION - DEDS'!R40</f>
        <v>0</v>
      </c>
      <c r="N41" s="37">
        <f>'EXTENSION - DEDS'!X40</f>
        <v>0</v>
      </c>
      <c r="O41" s="37">
        <f>'EXTENSION - DEDS'!Y40</f>
        <v>0</v>
      </c>
      <c r="P41" s="37">
        <f>'EXTENSION - DEDS'!AE40</f>
        <v>0</v>
      </c>
      <c r="Q41" s="38">
        <f t="shared" si="12"/>
        <v>0</v>
      </c>
      <c r="R41" s="49">
        <f t="shared" si="13"/>
        <v>0</v>
      </c>
      <c r="S41" s="76">
        <f t="shared" si="14"/>
        <v>0</v>
      </c>
      <c r="T41" s="77">
        <f t="shared" si="15"/>
        <v>0</v>
      </c>
      <c r="U41" s="33">
        <f t="shared" si="16"/>
        <v>21</v>
      </c>
      <c r="V41" s="36">
        <f>ROUND('EXTENSION - PAY'!I41*0.12,2)</f>
        <v>0</v>
      </c>
      <c r="W41" s="37">
        <f t="shared" si="8"/>
        <v>100</v>
      </c>
      <c r="X41" s="37">
        <f>MIN((I41*0.05)-'EXTENSION - DEDS'!Y40,2500)</f>
        <v>0</v>
      </c>
      <c r="Y41" s="41">
        <f t="shared" si="9"/>
        <v>200</v>
      </c>
    </row>
    <row r="42" spans="1:25" ht="18.75" customHeight="1" x14ac:dyDescent="0.25">
      <c r="A42" s="98"/>
      <c r="B42" s="33">
        <f t="shared" si="7"/>
        <v>22</v>
      </c>
      <c r="C42" s="72">
        <f>VLOOKUP(B42,'WTAX-EXTENSION'!B:N,2,0)</f>
        <v>0</v>
      </c>
      <c r="D42" s="72" t="e">
        <f>VLOOKUP(C42,'WTAX-EXTENSION'!C:O,2,0)</f>
        <v>#N/A</v>
      </c>
      <c r="E42" s="306">
        <f>VLOOKUP(B42,'WTAX-EXTENSION'!B:N,4,0)</f>
        <v>0</v>
      </c>
      <c r="F42" s="89"/>
      <c r="G42" s="91"/>
      <c r="H42" s="91"/>
      <c r="I42" s="37">
        <f t="shared" si="10"/>
        <v>0</v>
      </c>
      <c r="J42" s="332">
        <f>'WTAX-EXTENSION'!N29</f>
        <v>0</v>
      </c>
      <c r="K42" s="211">
        <f t="shared" si="11"/>
        <v>0</v>
      </c>
      <c r="L42" s="40">
        <f>'WTAX-EXTENSION'!F29</f>
        <v>0</v>
      </c>
      <c r="M42" s="37">
        <f>'EXTENSION - DEDS'!R41</f>
        <v>0</v>
      </c>
      <c r="N42" s="37">
        <f>'EXTENSION - DEDS'!X41</f>
        <v>0</v>
      </c>
      <c r="O42" s="37">
        <f>'EXTENSION - DEDS'!Y41</f>
        <v>0</v>
      </c>
      <c r="P42" s="37">
        <f>'EXTENSION - DEDS'!AE41</f>
        <v>0</v>
      </c>
      <c r="Q42" s="38">
        <f t="shared" si="12"/>
        <v>0</v>
      </c>
      <c r="R42" s="49">
        <f t="shared" si="13"/>
        <v>0</v>
      </c>
      <c r="S42" s="76">
        <f t="shared" si="14"/>
        <v>0</v>
      </c>
      <c r="T42" s="77">
        <f t="shared" si="15"/>
        <v>0</v>
      </c>
      <c r="U42" s="33">
        <f t="shared" si="16"/>
        <v>22</v>
      </c>
      <c r="V42" s="36">
        <f>ROUND('EXTENSION - PAY'!I42*0.12,2)</f>
        <v>0</v>
      </c>
      <c r="W42" s="37">
        <f t="shared" si="8"/>
        <v>100</v>
      </c>
      <c r="X42" s="37">
        <f>MIN((I42*0.05)-'EXTENSION - DEDS'!Y41,2500)</f>
        <v>0</v>
      </c>
      <c r="Y42" s="41">
        <f t="shared" si="9"/>
        <v>200</v>
      </c>
    </row>
    <row r="43" spans="1:25" ht="18.75" customHeight="1" x14ac:dyDescent="0.25">
      <c r="A43" s="98"/>
      <c r="B43" s="33">
        <f t="shared" si="7"/>
        <v>23</v>
      </c>
      <c r="C43" s="72">
        <f>VLOOKUP(B43,'WTAX-EXTENSION'!B:N,2,0)</f>
        <v>0</v>
      </c>
      <c r="D43" s="72" t="e">
        <f>VLOOKUP(C43,'WTAX-EXTENSION'!C:O,2,0)</f>
        <v>#N/A</v>
      </c>
      <c r="E43" s="306">
        <f>VLOOKUP(B43,'WTAX-EXTENSION'!B:N,4,0)</f>
        <v>0</v>
      </c>
      <c r="F43" s="89"/>
      <c r="G43" s="91"/>
      <c r="H43" s="91"/>
      <c r="I43" s="37">
        <f t="shared" si="10"/>
        <v>0</v>
      </c>
      <c r="J43" s="332">
        <f>'WTAX-EXTENSION'!N30</f>
        <v>0</v>
      </c>
      <c r="K43" s="211">
        <f t="shared" si="11"/>
        <v>0</v>
      </c>
      <c r="L43" s="40">
        <f>'WTAX-EXTENSION'!F30</f>
        <v>0</v>
      </c>
      <c r="M43" s="37">
        <f>'EXTENSION - DEDS'!R42</f>
        <v>0</v>
      </c>
      <c r="N43" s="37">
        <f>'EXTENSION - DEDS'!X42</f>
        <v>0</v>
      </c>
      <c r="O43" s="37">
        <f>'EXTENSION - DEDS'!Y42</f>
        <v>0</v>
      </c>
      <c r="P43" s="37">
        <f>'EXTENSION - DEDS'!AE42</f>
        <v>0</v>
      </c>
      <c r="Q43" s="38">
        <f t="shared" si="12"/>
        <v>0</v>
      </c>
      <c r="R43" s="49">
        <f t="shared" si="13"/>
        <v>0</v>
      </c>
      <c r="S43" s="76">
        <f t="shared" si="14"/>
        <v>0</v>
      </c>
      <c r="T43" s="77">
        <f t="shared" si="15"/>
        <v>0</v>
      </c>
      <c r="U43" s="33">
        <f t="shared" si="16"/>
        <v>23</v>
      </c>
      <c r="V43" s="36">
        <f>ROUND('EXTENSION - PAY'!I43*0.12,2)</f>
        <v>0</v>
      </c>
      <c r="W43" s="37">
        <f t="shared" si="8"/>
        <v>100</v>
      </c>
      <c r="X43" s="37">
        <f>MIN((I43*0.05)-'EXTENSION - DEDS'!Y42,2500)</f>
        <v>0</v>
      </c>
      <c r="Y43" s="41">
        <f t="shared" si="9"/>
        <v>200</v>
      </c>
    </row>
    <row r="44" spans="1:25" s="622" customFormat="1" ht="18.75" customHeight="1" x14ac:dyDescent="0.25">
      <c r="A44" s="608"/>
      <c r="B44" s="609">
        <f t="shared" si="7"/>
        <v>24</v>
      </c>
      <c r="C44" s="610">
        <f>VLOOKUP(B44,'WTAX-EXTENSION'!B:N,2,0)</f>
        <v>0</v>
      </c>
      <c r="D44" s="610" t="e">
        <f>VLOOKUP(C44,'WTAX-EXTENSION'!C:O,2,0)</f>
        <v>#N/A</v>
      </c>
      <c r="E44" s="611">
        <f>VLOOKUP(B44,'WTAX-EXTENSION'!B:N,4,0)</f>
        <v>0</v>
      </c>
      <c r="F44" s="612"/>
      <c r="G44" s="613"/>
      <c r="H44" s="613"/>
      <c r="I44" s="614">
        <f t="shared" si="10"/>
        <v>0</v>
      </c>
      <c r="J44" s="614">
        <f>'WTAX-EXTENSION'!N31</f>
        <v>0</v>
      </c>
      <c r="K44" s="615">
        <f t="shared" si="11"/>
        <v>0</v>
      </c>
      <c r="L44" s="616">
        <f>'WTAX-EXTENSION'!F31</f>
        <v>0</v>
      </c>
      <c r="M44" s="614">
        <f>'EXTENSION - DEDS'!R43</f>
        <v>0</v>
      </c>
      <c r="N44" s="614">
        <f>'EXTENSION - DEDS'!X43</f>
        <v>0</v>
      </c>
      <c r="O44" s="614">
        <f>'EXTENSION - DEDS'!Y43</f>
        <v>0</v>
      </c>
      <c r="P44" s="614">
        <f>'EXTENSION - DEDS'!AE43</f>
        <v>0</v>
      </c>
      <c r="Q44" s="617">
        <f t="shared" si="12"/>
        <v>0</v>
      </c>
      <c r="R44" s="618">
        <f t="shared" si="13"/>
        <v>0</v>
      </c>
      <c r="S44" s="619">
        <f t="shared" si="14"/>
        <v>0</v>
      </c>
      <c r="T44" s="620">
        <f t="shared" si="15"/>
        <v>0</v>
      </c>
      <c r="U44" s="609">
        <f t="shared" si="16"/>
        <v>24</v>
      </c>
      <c r="V44" s="621">
        <f>ROUND('EXTENSION - PAY'!I44*0.12,2)</f>
        <v>0</v>
      </c>
      <c r="W44" s="614">
        <f t="shared" si="8"/>
        <v>100</v>
      </c>
      <c r="X44" s="614">
        <f>MIN((I44*0.05)-'EXTENSION - DEDS'!Y43,2500)</f>
        <v>0</v>
      </c>
      <c r="Y44" s="615">
        <f t="shared" si="9"/>
        <v>200</v>
      </c>
    </row>
    <row r="45" spans="1:25" ht="18.75" customHeight="1" x14ac:dyDescent="0.25">
      <c r="A45" s="98"/>
      <c r="B45" s="33">
        <f t="shared" si="7"/>
        <v>25</v>
      </c>
      <c r="C45" s="72">
        <f>VLOOKUP(B45,'WTAX-EXTENSION'!B:N,2,0)</f>
        <v>0</v>
      </c>
      <c r="D45" s="72" t="e">
        <f>VLOOKUP(C45,'WTAX-EXTENSION'!C:O,2,0)</f>
        <v>#N/A</v>
      </c>
      <c r="E45" s="306">
        <f>VLOOKUP(B45,'WTAX-EXTENSION'!B:N,4,0)</f>
        <v>0</v>
      </c>
      <c r="F45" s="89"/>
      <c r="G45" s="91"/>
      <c r="H45" s="91"/>
      <c r="I45" s="37">
        <f t="shared" si="10"/>
        <v>0</v>
      </c>
      <c r="J45" s="332">
        <f>'WTAX-EXTENSION'!N32</f>
        <v>0</v>
      </c>
      <c r="K45" s="211">
        <f t="shared" si="11"/>
        <v>0</v>
      </c>
      <c r="L45" s="40">
        <f>'WTAX-EXTENSION'!F32</f>
        <v>0</v>
      </c>
      <c r="M45" s="37">
        <f>'EXTENSION - DEDS'!R44</f>
        <v>0</v>
      </c>
      <c r="N45" s="37">
        <f>'EXTENSION - DEDS'!X44</f>
        <v>0</v>
      </c>
      <c r="O45" s="37">
        <f>'EXTENSION - DEDS'!Y44</f>
        <v>0</v>
      </c>
      <c r="P45" s="37">
        <f>'EXTENSION - DEDS'!AE44</f>
        <v>0</v>
      </c>
      <c r="Q45" s="38">
        <f t="shared" si="12"/>
        <v>0</v>
      </c>
      <c r="R45" s="49">
        <f t="shared" si="13"/>
        <v>0</v>
      </c>
      <c r="S45" s="76">
        <f t="shared" si="14"/>
        <v>0</v>
      </c>
      <c r="T45" s="77">
        <f t="shared" si="15"/>
        <v>0</v>
      </c>
      <c r="U45" s="33">
        <f t="shared" si="16"/>
        <v>25</v>
      </c>
      <c r="V45" s="36">
        <f>ROUND('EXTENSION - PAY'!I45*0.12,2)</f>
        <v>0</v>
      </c>
      <c r="W45" s="37">
        <f t="shared" si="8"/>
        <v>100</v>
      </c>
      <c r="X45" s="37">
        <f>MIN((I45*0.05)-'EXTENSION - DEDS'!Y44,2500)</f>
        <v>0</v>
      </c>
      <c r="Y45" s="41">
        <f t="shared" si="9"/>
        <v>200</v>
      </c>
    </row>
    <row r="46" spans="1:25" ht="18.75" customHeight="1" x14ac:dyDescent="0.25">
      <c r="A46" s="98"/>
      <c r="B46" s="33">
        <f t="shared" ref="B46:B58" si="17">+B32+1</f>
        <v>13</v>
      </c>
      <c r="C46" s="72">
        <f>VLOOKUP(B46,'WTAX-EXTENSION'!B:N,2,0)</f>
        <v>0</v>
      </c>
      <c r="D46" s="72" t="e">
        <f>VLOOKUP(C46,'WTAX-EXTENSION'!C:O,2,0)</f>
        <v>#N/A</v>
      </c>
      <c r="E46" s="306">
        <f>VLOOKUP(B46,'WTAX-EXTENSION'!B:N,4,0)</f>
        <v>0</v>
      </c>
      <c r="F46" s="89"/>
      <c r="G46" s="91"/>
      <c r="H46" s="91"/>
      <c r="I46" s="37">
        <f t="shared" ref="I46:I58" si="18">SUM(F46:H46)</f>
        <v>0</v>
      </c>
      <c r="J46" s="332">
        <f>'WTAX-EXTENSION'!N33</f>
        <v>0</v>
      </c>
      <c r="K46" s="211">
        <f t="shared" ref="K46:K58" si="19">ROUND(I46-J46,2)</f>
        <v>0</v>
      </c>
      <c r="L46" s="40">
        <f>'WTAX-EXTENSION'!F33</f>
        <v>0</v>
      </c>
      <c r="M46" s="37">
        <f>'EXTENSION - DEDS'!R32</f>
        <v>0</v>
      </c>
      <c r="N46" s="37">
        <f>'EXTENSION - DEDS'!X32</f>
        <v>0</v>
      </c>
      <c r="O46" s="37">
        <f>'EXTENSION - DEDS'!Y32</f>
        <v>0</v>
      </c>
      <c r="P46" s="37">
        <f>'EXTENSION - DEDS'!AE32</f>
        <v>0</v>
      </c>
      <c r="Q46" s="38">
        <f t="shared" ref="Q46:Q58" si="20">ROUND(SUM(L46:P46),2)</f>
        <v>0</v>
      </c>
      <c r="R46" s="49">
        <f t="shared" ref="R46:R58" si="21">K46-Q46</f>
        <v>0</v>
      </c>
      <c r="S46" s="76">
        <f t="shared" ref="S46:S58" si="22">ROUND(R46/2,0)</f>
        <v>0</v>
      </c>
      <c r="T46" s="77">
        <f t="shared" ref="T46:T58" si="23">R46-S46</f>
        <v>0</v>
      </c>
      <c r="U46" s="33">
        <f t="shared" ref="U46:U58" si="24">B46</f>
        <v>13</v>
      </c>
      <c r="V46" s="36">
        <f>ROUND('EXTENSION - PAY'!I46*0.12,2)</f>
        <v>0</v>
      </c>
      <c r="W46" s="37">
        <f t="shared" ref="W46:W58" si="25">W32</f>
        <v>100</v>
      </c>
      <c r="X46" s="37">
        <f>MIN((I46*0.05)-'EXTENSION - DEDS'!Y32,2500)</f>
        <v>0</v>
      </c>
      <c r="Y46" s="41">
        <f t="shared" ref="Y46:Y58" si="26">Y32</f>
        <v>200</v>
      </c>
    </row>
    <row r="47" spans="1:25" ht="18.75" customHeight="1" x14ac:dyDescent="0.25">
      <c r="A47" s="98"/>
      <c r="B47" s="33">
        <f t="shared" si="17"/>
        <v>14</v>
      </c>
      <c r="C47" s="72">
        <f>VLOOKUP(B47,'WTAX-EXTENSION'!B:N,2,0)</f>
        <v>0</v>
      </c>
      <c r="D47" s="72" t="e">
        <f>VLOOKUP(C47,'WTAX-EXTENSION'!C:O,2,0)</f>
        <v>#N/A</v>
      </c>
      <c r="E47" s="306">
        <f>VLOOKUP(B47,'WTAX-EXTENSION'!B:N,4,0)</f>
        <v>0</v>
      </c>
      <c r="F47" s="89"/>
      <c r="G47" s="91"/>
      <c r="H47" s="91"/>
      <c r="I47" s="37">
        <f t="shared" si="18"/>
        <v>0</v>
      </c>
      <c r="J47" s="332">
        <f>'WTAX-EXTENSION'!N34</f>
        <v>0</v>
      </c>
      <c r="K47" s="211">
        <f t="shared" si="19"/>
        <v>0</v>
      </c>
      <c r="L47" s="40">
        <f>'WTAX-EXTENSION'!F34</f>
        <v>0</v>
      </c>
      <c r="M47" s="37">
        <f>'EXTENSION - DEDS'!R33</f>
        <v>0</v>
      </c>
      <c r="N47" s="37">
        <f>'EXTENSION - DEDS'!X33</f>
        <v>0</v>
      </c>
      <c r="O47" s="37">
        <f>'EXTENSION - DEDS'!Y33</f>
        <v>0</v>
      </c>
      <c r="P47" s="37">
        <f>'EXTENSION - DEDS'!AE33</f>
        <v>0</v>
      </c>
      <c r="Q47" s="38">
        <f t="shared" si="20"/>
        <v>0</v>
      </c>
      <c r="R47" s="49">
        <f t="shared" si="21"/>
        <v>0</v>
      </c>
      <c r="S47" s="76">
        <f t="shared" si="22"/>
        <v>0</v>
      </c>
      <c r="T47" s="77">
        <f t="shared" si="23"/>
        <v>0</v>
      </c>
      <c r="U47" s="33">
        <f t="shared" si="24"/>
        <v>14</v>
      </c>
      <c r="V47" s="36">
        <f>ROUND('EXTENSION - PAY'!I47*0.12,2)</f>
        <v>0</v>
      </c>
      <c r="W47" s="37">
        <f t="shared" si="25"/>
        <v>100</v>
      </c>
      <c r="X47" s="37">
        <f>MIN((I47*0.05)-'EXTENSION - DEDS'!Y33,2500)</f>
        <v>0</v>
      </c>
      <c r="Y47" s="41">
        <f t="shared" si="26"/>
        <v>200</v>
      </c>
    </row>
    <row r="48" spans="1:25" ht="18.75" customHeight="1" x14ac:dyDescent="0.25">
      <c r="A48" s="98"/>
      <c r="B48" s="33">
        <f t="shared" si="17"/>
        <v>15</v>
      </c>
      <c r="C48" s="72">
        <f>VLOOKUP(B48,'WTAX-EXTENSION'!B:N,2,0)</f>
        <v>0</v>
      </c>
      <c r="D48" s="72" t="e">
        <f>VLOOKUP(C48,'WTAX-EXTENSION'!C:O,2,0)</f>
        <v>#N/A</v>
      </c>
      <c r="E48" s="306">
        <f>VLOOKUP(B48,'WTAX-EXTENSION'!B:N,4,0)</f>
        <v>0</v>
      </c>
      <c r="F48" s="89"/>
      <c r="G48" s="91"/>
      <c r="H48" s="91"/>
      <c r="I48" s="37">
        <f t="shared" si="18"/>
        <v>0</v>
      </c>
      <c r="J48" s="332">
        <f>'WTAX-EXTENSION'!N35</f>
        <v>0</v>
      </c>
      <c r="K48" s="211">
        <f t="shared" si="19"/>
        <v>0</v>
      </c>
      <c r="L48" s="40">
        <f>'WTAX-EXTENSION'!F35</f>
        <v>0</v>
      </c>
      <c r="M48" s="37">
        <f>'EXTENSION - DEDS'!R34</f>
        <v>0</v>
      </c>
      <c r="N48" s="37">
        <f>'EXTENSION - DEDS'!X34</f>
        <v>0</v>
      </c>
      <c r="O48" s="37">
        <f>'EXTENSION - DEDS'!Y34</f>
        <v>0</v>
      </c>
      <c r="P48" s="37">
        <f>'EXTENSION - DEDS'!AE34</f>
        <v>0</v>
      </c>
      <c r="Q48" s="38">
        <f t="shared" si="20"/>
        <v>0</v>
      </c>
      <c r="R48" s="49">
        <f t="shared" si="21"/>
        <v>0</v>
      </c>
      <c r="S48" s="76">
        <f t="shared" si="22"/>
        <v>0</v>
      </c>
      <c r="T48" s="77">
        <f t="shared" si="23"/>
        <v>0</v>
      </c>
      <c r="U48" s="33">
        <f t="shared" si="24"/>
        <v>15</v>
      </c>
      <c r="V48" s="36">
        <f>ROUND('EXTENSION - PAY'!I48*0.12,2)</f>
        <v>0</v>
      </c>
      <c r="W48" s="37">
        <f t="shared" si="25"/>
        <v>100</v>
      </c>
      <c r="X48" s="37">
        <f>MIN((I48*0.05)-'EXTENSION - DEDS'!Y34,2500)</f>
        <v>0</v>
      </c>
      <c r="Y48" s="41">
        <f t="shared" si="26"/>
        <v>200</v>
      </c>
    </row>
    <row r="49" spans="1:25" ht="18.75" customHeight="1" x14ac:dyDescent="0.25">
      <c r="A49" s="98"/>
      <c r="B49" s="33">
        <f t="shared" si="17"/>
        <v>16</v>
      </c>
      <c r="C49" s="72">
        <f>VLOOKUP(B49,'WTAX-EXTENSION'!B:N,2,0)</f>
        <v>0</v>
      </c>
      <c r="D49" s="72" t="e">
        <f>VLOOKUP(C49,'WTAX-EXTENSION'!C:O,2,0)</f>
        <v>#N/A</v>
      </c>
      <c r="E49" s="306">
        <f>VLOOKUP(B49,'WTAX-EXTENSION'!B:N,4,0)</f>
        <v>0</v>
      </c>
      <c r="F49" s="89"/>
      <c r="G49" s="91"/>
      <c r="H49" s="91"/>
      <c r="I49" s="37">
        <f t="shared" si="18"/>
        <v>0</v>
      </c>
      <c r="J49" s="332">
        <f>'WTAX-EXTENSION'!N36</f>
        <v>0</v>
      </c>
      <c r="K49" s="211">
        <f t="shared" si="19"/>
        <v>0</v>
      </c>
      <c r="L49" s="40">
        <f>'WTAX-EXTENSION'!F36</f>
        <v>0</v>
      </c>
      <c r="M49" s="37">
        <f>'EXTENSION - DEDS'!R35</f>
        <v>0</v>
      </c>
      <c r="N49" s="37">
        <f>'EXTENSION - DEDS'!X35</f>
        <v>0</v>
      </c>
      <c r="O49" s="37">
        <f>'EXTENSION - DEDS'!Y35</f>
        <v>0</v>
      </c>
      <c r="P49" s="37">
        <f>'EXTENSION - DEDS'!AE35</f>
        <v>0</v>
      </c>
      <c r="Q49" s="38">
        <f t="shared" si="20"/>
        <v>0</v>
      </c>
      <c r="R49" s="49">
        <f t="shared" si="21"/>
        <v>0</v>
      </c>
      <c r="S49" s="76">
        <f t="shared" si="22"/>
        <v>0</v>
      </c>
      <c r="T49" s="77">
        <f t="shared" si="23"/>
        <v>0</v>
      </c>
      <c r="U49" s="33">
        <f t="shared" si="24"/>
        <v>16</v>
      </c>
      <c r="V49" s="36">
        <f>ROUND('EXTENSION - PAY'!I49*0.12,2)</f>
        <v>0</v>
      </c>
      <c r="W49" s="37">
        <f t="shared" si="25"/>
        <v>100</v>
      </c>
      <c r="X49" s="37">
        <f>MIN((I49*0.05)-'EXTENSION - DEDS'!Y35,2500)</f>
        <v>0</v>
      </c>
      <c r="Y49" s="41">
        <f t="shared" si="26"/>
        <v>200</v>
      </c>
    </row>
    <row r="50" spans="1:25" ht="18.75" customHeight="1" x14ac:dyDescent="0.25">
      <c r="A50" s="98"/>
      <c r="B50" s="33">
        <f t="shared" si="17"/>
        <v>17</v>
      </c>
      <c r="C50" s="72">
        <f>VLOOKUP(B50,'WTAX-EXTENSION'!B:N,2,0)</f>
        <v>0</v>
      </c>
      <c r="D50" s="72" t="e">
        <f>VLOOKUP(C50,'WTAX-EXTENSION'!C:O,2,0)</f>
        <v>#N/A</v>
      </c>
      <c r="E50" s="306">
        <f>VLOOKUP(B50,'WTAX-EXTENSION'!B:N,4,0)</f>
        <v>0</v>
      </c>
      <c r="F50" s="89"/>
      <c r="G50" s="91"/>
      <c r="H50" s="91"/>
      <c r="I50" s="37">
        <f t="shared" si="18"/>
        <v>0</v>
      </c>
      <c r="J50" s="332">
        <f>'WTAX-EXTENSION'!N37</f>
        <v>0</v>
      </c>
      <c r="K50" s="211">
        <f t="shared" si="19"/>
        <v>0</v>
      </c>
      <c r="L50" s="40">
        <f>'WTAX-EXTENSION'!F37</f>
        <v>0</v>
      </c>
      <c r="M50" s="37">
        <f>'EXTENSION - DEDS'!R36</f>
        <v>0</v>
      </c>
      <c r="N50" s="37">
        <f>'EXTENSION - DEDS'!X36</f>
        <v>0</v>
      </c>
      <c r="O50" s="37">
        <f>'EXTENSION - DEDS'!Y36</f>
        <v>0</v>
      </c>
      <c r="P50" s="37">
        <f>'EXTENSION - DEDS'!AE36</f>
        <v>0</v>
      </c>
      <c r="Q50" s="38">
        <f t="shared" si="20"/>
        <v>0</v>
      </c>
      <c r="R50" s="49">
        <f t="shared" si="21"/>
        <v>0</v>
      </c>
      <c r="S50" s="76">
        <f t="shared" si="22"/>
        <v>0</v>
      </c>
      <c r="T50" s="77">
        <f t="shared" si="23"/>
        <v>0</v>
      </c>
      <c r="U50" s="33">
        <f t="shared" si="24"/>
        <v>17</v>
      </c>
      <c r="V50" s="36">
        <f>ROUND('EXTENSION - PAY'!I50*0.12,2)</f>
        <v>0</v>
      </c>
      <c r="W50" s="37">
        <f t="shared" si="25"/>
        <v>100</v>
      </c>
      <c r="X50" s="37">
        <f>MIN((I50*0.05)-'EXTENSION - DEDS'!Y36,2500)</f>
        <v>0</v>
      </c>
      <c r="Y50" s="41">
        <f t="shared" si="26"/>
        <v>200</v>
      </c>
    </row>
    <row r="51" spans="1:25" ht="18.75" customHeight="1" x14ac:dyDescent="0.25">
      <c r="A51" s="98"/>
      <c r="B51" s="33">
        <f t="shared" si="17"/>
        <v>18</v>
      </c>
      <c r="C51" s="72">
        <f>VLOOKUP(B51,'WTAX-EXTENSION'!B:N,2,0)</f>
        <v>0</v>
      </c>
      <c r="D51" s="72" t="e">
        <f>VLOOKUP(C51,'WTAX-EXTENSION'!C:O,2,0)</f>
        <v>#N/A</v>
      </c>
      <c r="E51" s="306">
        <f>VLOOKUP(B51,'WTAX-EXTENSION'!B:N,4,0)</f>
        <v>0</v>
      </c>
      <c r="F51" s="89"/>
      <c r="G51" s="91"/>
      <c r="H51" s="91"/>
      <c r="I51" s="37">
        <f t="shared" si="18"/>
        <v>0</v>
      </c>
      <c r="J51" s="332">
        <f>'WTAX-EXTENSION'!N38</f>
        <v>0</v>
      </c>
      <c r="K51" s="211">
        <f t="shared" si="19"/>
        <v>0</v>
      </c>
      <c r="L51" s="40">
        <f>'WTAX-EXTENSION'!F38</f>
        <v>0</v>
      </c>
      <c r="M51" s="37">
        <f>'EXTENSION - DEDS'!R37</f>
        <v>0</v>
      </c>
      <c r="N51" s="37">
        <f>'EXTENSION - DEDS'!X37</f>
        <v>0</v>
      </c>
      <c r="O51" s="37">
        <f>'EXTENSION - DEDS'!Y37</f>
        <v>0</v>
      </c>
      <c r="P51" s="37">
        <f>'EXTENSION - DEDS'!AE37</f>
        <v>0</v>
      </c>
      <c r="Q51" s="38">
        <f t="shared" si="20"/>
        <v>0</v>
      </c>
      <c r="R51" s="49">
        <f t="shared" si="21"/>
        <v>0</v>
      </c>
      <c r="S51" s="76">
        <f t="shared" si="22"/>
        <v>0</v>
      </c>
      <c r="T51" s="77">
        <f t="shared" si="23"/>
        <v>0</v>
      </c>
      <c r="U51" s="33">
        <f t="shared" si="24"/>
        <v>18</v>
      </c>
      <c r="V51" s="36">
        <f>ROUND('EXTENSION - PAY'!I51*0.12,2)</f>
        <v>0</v>
      </c>
      <c r="W51" s="37">
        <f t="shared" si="25"/>
        <v>100</v>
      </c>
      <c r="X51" s="37">
        <f>MIN((I51*0.05)-'EXTENSION - DEDS'!Y37,2500)</f>
        <v>0</v>
      </c>
      <c r="Y51" s="41">
        <f t="shared" si="26"/>
        <v>200</v>
      </c>
    </row>
    <row r="52" spans="1:25" ht="18.75" customHeight="1" x14ac:dyDescent="0.25">
      <c r="A52" s="98"/>
      <c r="B52" s="33">
        <f t="shared" si="17"/>
        <v>19</v>
      </c>
      <c r="C52" s="72">
        <f>VLOOKUP(B52,'WTAX-EXTENSION'!B:N,2,0)</f>
        <v>0</v>
      </c>
      <c r="D52" s="72" t="e">
        <f>VLOOKUP(C52,'WTAX-EXTENSION'!C:O,2,0)</f>
        <v>#N/A</v>
      </c>
      <c r="E52" s="306">
        <f>VLOOKUP(B52,'WTAX-EXTENSION'!B:N,4,0)</f>
        <v>0</v>
      </c>
      <c r="F52" s="89"/>
      <c r="G52" s="91"/>
      <c r="H52" s="91"/>
      <c r="I52" s="37">
        <f t="shared" si="18"/>
        <v>0</v>
      </c>
      <c r="J52" s="332">
        <f>'WTAX-EXTENSION'!N39</f>
        <v>0</v>
      </c>
      <c r="K52" s="211">
        <f t="shared" si="19"/>
        <v>0</v>
      </c>
      <c r="L52" s="40">
        <f>'WTAX-EXTENSION'!F39</f>
        <v>0</v>
      </c>
      <c r="M52" s="37">
        <f>'EXTENSION - DEDS'!R38</f>
        <v>0</v>
      </c>
      <c r="N52" s="37">
        <f>'EXTENSION - DEDS'!X38</f>
        <v>0</v>
      </c>
      <c r="O52" s="37">
        <f>'EXTENSION - DEDS'!Y38</f>
        <v>0</v>
      </c>
      <c r="P52" s="37">
        <f>'EXTENSION - DEDS'!AE38</f>
        <v>0</v>
      </c>
      <c r="Q52" s="38">
        <f t="shared" si="20"/>
        <v>0</v>
      </c>
      <c r="R52" s="49">
        <f t="shared" si="21"/>
        <v>0</v>
      </c>
      <c r="S52" s="76">
        <f t="shared" si="22"/>
        <v>0</v>
      </c>
      <c r="T52" s="77">
        <f t="shared" si="23"/>
        <v>0</v>
      </c>
      <c r="U52" s="33">
        <f t="shared" si="24"/>
        <v>19</v>
      </c>
      <c r="V52" s="36">
        <f>ROUND('EXTENSION - PAY'!I52*0.12,2)</f>
        <v>0</v>
      </c>
      <c r="W52" s="37">
        <f t="shared" si="25"/>
        <v>100</v>
      </c>
      <c r="X52" s="37">
        <f>MIN((I52*0.05)-'EXTENSION - DEDS'!Y38,2500)</f>
        <v>0</v>
      </c>
      <c r="Y52" s="41">
        <f t="shared" si="26"/>
        <v>200</v>
      </c>
    </row>
    <row r="53" spans="1:25" ht="18.75" customHeight="1" x14ac:dyDescent="0.25">
      <c r="A53" s="98"/>
      <c r="B53" s="33">
        <f t="shared" si="17"/>
        <v>20</v>
      </c>
      <c r="C53" s="72">
        <f>VLOOKUP(B53,'WTAX-EXTENSION'!B:N,2,0)</f>
        <v>0</v>
      </c>
      <c r="D53" s="72" t="e">
        <f>VLOOKUP(C53,'WTAX-EXTENSION'!C:O,2,0)</f>
        <v>#N/A</v>
      </c>
      <c r="E53" s="306">
        <f>VLOOKUP(B53,'WTAX-EXTENSION'!B:N,4,0)</f>
        <v>0</v>
      </c>
      <c r="F53" s="89"/>
      <c r="G53" s="91"/>
      <c r="H53" s="91"/>
      <c r="I53" s="37">
        <f t="shared" si="18"/>
        <v>0</v>
      </c>
      <c r="J53" s="332">
        <f>'WTAX-EXTENSION'!N40</f>
        <v>0</v>
      </c>
      <c r="K53" s="211">
        <f t="shared" si="19"/>
        <v>0</v>
      </c>
      <c r="L53" s="40">
        <f>'WTAX-EXTENSION'!F40</f>
        <v>0</v>
      </c>
      <c r="M53" s="37">
        <f>'EXTENSION - DEDS'!R39</f>
        <v>0</v>
      </c>
      <c r="N53" s="37">
        <f>'EXTENSION - DEDS'!X39</f>
        <v>0</v>
      </c>
      <c r="O53" s="37">
        <f>'EXTENSION - DEDS'!Y39</f>
        <v>0</v>
      </c>
      <c r="P53" s="37">
        <f>'EXTENSION - DEDS'!AE39</f>
        <v>0</v>
      </c>
      <c r="Q53" s="38">
        <f t="shared" si="20"/>
        <v>0</v>
      </c>
      <c r="R53" s="49">
        <f t="shared" si="21"/>
        <v>0</v>
      </c>
      <c r="S53" s="76">
        <f t="shared" si="22"/>
        <v>0</v>
      </c>
      <c r="T53" s="77">
        <f t="shared" si="23"/>
        <v>0</v>
      </c>
      <c r="U53" s="33">
        <f t="shared" si="24"/>
        <v>20</v>
      </c>
      <c r="V53" s="36">
        <f>ROUND('EXTENSION - PAY'!I53*0.12,2)</f>
        <v>0</v>
      </c>
      <c r="W53" s="37">
        <f t="shared" si="25"/>
        <v>100</v>
      </c>
      <c r="X53" s="37">
        <f>MIN((I53*0.05)-'EXTENSION - DEDS'!Y39,2500)</f>
        <v>0</v>
      </c>
      <c r="Y53" s="41">
        <f t="shared" si="26"/>
        <v>200</v>
      </c>
    </row>
    <row r="54" spans="1:25" ht="18.75" customHeight="1" x14ac:dyDescent="0.25">
      <c r="A54" s="98"/>
      <c r="B54" s="33">
        <f t="shared" si="17"/>
        <v>21</v>
      </c>
      <c r="C54" s="72">
        <f>VLOOKUP(B54,'WTAX-EXTENSION'!B:N,2,0)</f>
        <v>0</v>
      </c>
      <c r="D54" s="72" t="e">
        <f>VLOOKUP(C54,'WTAX-EXTENSION'!C:O,2,0)</f>
        <v>#N/A</v>
      </c>
      <c r="E54" s="306">
        <f>VLOOKUP(B54,'WTAX-EXTENSION'!B:N,4,0)</f>
        <v>0</v>
      </c>
      <c r="F54" s="89"/>
      <c r="G54" s="91"/>
      <c r="H54" s="91"/>
      <c r="I54" s="37">
        <f t="shared" si="18"/>
        <v>0</v>
      </c>
      <c r="J54" s="332">
        <f>'WTAX-EXTENSION'!N41</f>
        <v>0</v>
      </c>
      <c r="K54" s="211">
        <f t="shared" si="19"/>
        <v>0</v>
      </c>
      <c r="L54" s="40">
        <f>'WTAX-EXTENSION'!F41</f>
        <v>0</v>
      </c>
      <c r="M54" s="37">
        <f>'EXTENSION - DEDS'!R40</f>
        <v>0</v>
      </c>
      <c r="N54" s="37">
        <f>'EXTENSION - DEDS'!X40</f>
        <v>0</v>
      </c>
      <c r="O54" s="37">
        <f>'EXTENSION - DEDS'!Y40</f>
        <v>0</v>
      </c>
      <c r="P54" s="37">
        <f>'EXTENSION - DEDS'!AE40</f>
        <v>0</v>
      </c>
      <c r="Q54" s="38">
        <f t="shared" si="20"/>
        <v>0</v>
      </c>
      <c r="R54" s="49">
        <f t="shared" si="21"/>
        <v>0</v>
      </c>
      <c r="S54" s="76">
        <f t="shared" si="22"/>
        <v>0</v>
      </c>
      <c r="T54" s="77">
        <f t="shared" si="23"/>
        <v>0</v>
      </c>
      <c r="U54" s="33">
        <f t="shared" si="24"/>
        <v>21</v>
      </c>
      <c r="V54" s="36">
        <f>ROUND('EXTENSION - PAY'!I54*0.12,2)</f>
        <v>0</v>
      </c>
      <c r="W54" s="37">
        <f t="shared" si="25"/>
        <v>100</v>
      </c>
      <c r="X54" s="37">
        <f>MIN((I54*0.05)-'EXTENSION - DEDS'!Y40,2500)</f>
        <v>0</v>
      </c>
      <c r="Y54" s="41">
        <f t="shared" si="26"/>
        <v>200</v>
      </c>
    </row>
    <row r="55" spans="1:25" ht="18.75" customHeight="1" x14ac:dyDescent="0.25">
      <c r="A55" s="98"/>
      <c r="B55" s="33">
        <f t="shared" si="17"/>
        <v>22</v>
      </c>
      <c r="C55" s="72">
        <f>VLOOKUP(B55,'WTAX-EXTENSION'!B:N,2,0)</f>
        <v>0</v>
      </c>
      <c r="D55" s="72" t="e">
        <f>VLOOKUP(C55,'WTAX-EXTENSION'!C:O,2,0)</f>
        <v>#N/A</v>
      </c>
      <c r="E55" s="306">
        <f>VLOOKUP(B55,'WTAX-EXTENSION'!B:N,4,0)</f>
        <v>0</v>
      </c>
      <c r="F55" s="89"/>
      <c r="G55" s="91"/>
      <c r="H55" s="91"/>
      <c r="I55" s="37">
        <f t="shared" si="18"/>
        <v>0</v>
      </c>
      <c r="J55" s="332">
        <f>'WTAX-EXTENSION'!N42</f>
        <v>0</v>
      </c>
      <c r="K55" s="211">
        <f t="shared" si="19"/>
        <v>0</v>
      </c>
      <c r="L55" s="40">
        <f>'WTAX-EXTENSION'!F42</f>
        <v>0</v>
      </c>
      <c r="M55" s="37">
        <f>'EXTENSION - DEDS'!R41</f>
        <v>0</v>
      </c>
      <c r="N55" s="37">
        <f>'EXTENSION - DEDS'!X41</f>
        <v>0</v>
      </c>
      <c r="O55" s="37">
        <f>'EXTENSION - DEDS'!Y41</f>
        <v>0</v>
      </c>
      <c r="P55" s="37">
        <f>'EXTENSION - DEDS'!AE41</f>
        <v>0</v>
      </c>
      <c r="Q55" s="38">
        <f t="shared" si="20"/>
        <v>0</v>
      </c>
      <c r="R55" s="49">
        <f t="shared" si="21"/>
        <v>0</v>
      </c>
      <c r="S55" s="76">
        <f t="shared" si="22"/>
        <v>0</v>
      </c>
      <c r="T55" s="77">
        <f t="shared" si="23"/>
        <v>0</v>
      </c>
      <c r="U55" s="33">
        <f t="shared" si="24"/>
        <v>22</v>
      </c>
      <c r="V55" s="36">
        <f>ROUND('EXTENSION - PAY'!I55*0.12,2)</f>
        <v>0</v>
      </c>
      <c r="W55" s="37">
        <f t="shared" si="25"/>
        <v>100</v>
      </c>
      <c r="X55" s="37">
        <f>MIN((I55*0.05)-'EXTENSION - DEDS'!Y41,2500)</f>
        <v>0</v>
      </c>
      <c r="Y55" s="41">
        <f t="shared" si="26"/>
        <v>200</v>
      </c>
    </row>
    <row r="56" spans="1:25" ht="18.75" customHeight="1" x14ac:dyDescent="0.25">
      <c r="A56" s="98"/>
      <c r="B56" s="33">
        <f t="shared" si="17"/>
        <v>23</v>
      </c>
      <c r="C56" s="72">
        <f>VLOOKUP(B56,'WTAX-EXTENSION'!B:N,2,0)</f>
        <v>0</v>
      </c>
      <c r="D56" s="72" t="e">
        <f>VLOOKUP(C56,'WTAX-EXTENSION'!C:O,2,0)</f>
        <v>#N/A</v>
      </c>
      <c r="E56" s="306">
        <f>VLOOKUP(B56,'WTAX-EXTENSION'!B:N,4,0)</f>
        <v>0</v>
      </c>
      <c r="F56" s="89"/>
      <c r="G56" s="91"/>
      <c r="H56" s="91"/>
      <c r="I56" s="37">
        <f t="shared" si="18"/>
        <v>0</v>
      </c>
      <c r="J56" s="332">
        <f>'WTAX-EXTENSION'!N43</f>
        <v>0</v>
      </c>
      <c r="K56" s="211">
        <f t="shared" si="19"/>
        <v>0</v>
      </c>
      <c r="L56" s="40">
        <f>'WTAX-EXTENSION'!F43</f>
        <v>0</v>
      </c>
      <c r="M56" s="37">
        <f>'EXTENSION - DEDS'!R42</f>
        <v>0</v>
      </c>
      <c r="N56" s="37">
        <f>'EXTENSION - DEDS'!X42</f>
        <v>0</v>
      </c>
      <c r="O56" s="37">
        <f>'EXTENSION - DEDS'!Y42</f>
        <v>0</v>
      </c>
      <c r="P56" s="37">
        <f>'EXTENSION - DEDS'!AE42</f>
        <v>0</v>
      </c>
      <c r="Q56" s="38">
        <f t="shared" si="20"/>
        <v>0</v>
      </c>
      <c r="R56" s="49">
        <f t="shared" si="21"/>
        <v>0</v>
      </c>
      <c r="S56" s="76">
        <f t="shared" si="22"/>
        <v>0</v>
      </c>
      <c r="T56" s="77">
        <f t="shared" si="23"/>
        <v>0</v>
      </c>
      <c r="U56" s="33">
        <f t="shared" si="24"/>
        <v>23</v>
      </c>
      <c r="V56" s="36">
        <f>ROUND('EXTENSION - PAY'!I56*0.12,2)</f>
        <v>0</v>
      </c>
      <c r="W56" s="37">
        <f t="shared" si="25"/>
        <v>100</v>
      </c>
      <c r="X56" s="37">
        <f>MIN((I56*0.05)-'EXTENSION - DEDS'!Y42,2500)</f>
        <v>0</v>
      </c>
      <c r="Y56" s="41">
        <f t="shared" si="26"/>
        <v>200</v>
      </c>
    </row>
    <row r="57" spans="1:25" ht="18.75" customHeight="1" x14ac:dyDescent="0.25">
      <c r="A57" s="98"/>
      <c r="B57" s="33">
        <f t="shared" si="17"/>
        <v>24</v>
      </c>
      <c r="C57" s="72">
        <f>VLOOKUP(B57,'WTAX-EXTENSION'!B:N,2,0)</f>
        <v>0</v>
      </c>
      <c r="D57" s="72" t="e">
        <f>VLOOKUP(C57,'WTAX-EXTENSION'!C:O,2,0)</f>
        <v>#N/A</v>
      </c>
      <c r="E57" s="306">
        <f>VLOOKUP(B57,'WTAX-EXTENSION'!B:N,4,0)</f>
        <v>0</v>
      </c>
      <c r="F57" s="89"/>
      <c r="G57" s="91"/>
      <c r="H57" s="91"/>
      <c r="I57" s="37">
        <f t="shared" si="18"/>
        <v>0</v>
      </c>
      <c r="J57" s="332">
        <f>'WTAX-EXTENSION'!N44</f>
        <v>0</v>
      </c>
      <c r="K57" s="211">
        <f t="shared" si="19"/>
        <v>0</v>
      </c>
      <c r="L57" s="40">
        <f>'WTAX-EXTENSION'!F44</f>
        <v>0</v>
      </c>
      <c r="M57" s="37">
        <f>'EXTENSION - DEDS'!R43</f>
        <v>0</v>
      </c>
      <c r="N57" s="37">
        <f>'EXTENSION - DEDS'!X43</f>
        <v>0</v>
      </c>
      <c r="O57" s="37">
        <f>'EXTENSION - DEDS'!Y43</f>
        <v>0</v>
      </c>
      <c r="P57" s="37">
        <f>'EXTENSION - DEDS'!AE43</f>
        <v>0</v>
      </c>
      <c r="Q57" s="38">
        <f t="shared" si="20"/>
        <v>0</v>
      </c>
      <c r="R57" s="49">
        <f t="shared" si="21"/>
        <v>0</v>
      </c>
      <c r="S57" s="76">
        <f t="shared" si="22"/>
        <v>0</v>
      </c>
      <c r="T57" s="77">
        <f t="shared" si="23"/>
        <v>0</v>
      </c>
      <c r="U57" s="33">
        <f t="shared" si="24"/>
        <v>24</v>
      </c>
      <c r="V57" s="36">
        <f>ROUND('EXTENSION - PAY'!I57*0.12,2)</f>
        <v>0</v>
      </c>
      <c r="W57" s="37">
        <f t="shared" si="25"/>
        <v>100</v>
      </c>
      <c r="X57" s="37">
        <f>MIN((I57*0.05)-'EXTENSION - DEDS'!Y43,2500)</f>
        <v>0</v>
      </c>
      <c r="Y57" s="41">
        <f t="shared" si="26"/>
        <v>200</v>
      </c>
    </row>
    <row r="58" spans="1:25" ht="18.75" customHeight="1" x14ac:dyDescent="0.25">
      <c r="A58" s="98"/>
      <c r="B58" s="33">
        <f t="shared" si="17"/>
        <v>25</v>
      </c>
      <c r="C58" s="72">
        <f>VLOOKUP(B58,'WTAX-EXTENSION'!B:N,2,0)</f>
        <v>0</v>
      </c>
      <c r="D58" s="72" t="e">
        <f>VLOOKUP(C58,'WTAX-EXTENSION'!C:O,2,0)</f>
        <v>#N/A</v>
      </c>
      <c r="E58" s="306">
        <f>VLOOKUP(B58,'WTAX-EXTENSION'!B:N,4,0)</f>
        <v>0</v>
      </c>
      <c r="F58" s="89"/>
      <c r="G58" s="91"/>
      <c r="H58" s="91"/>
      <c r="I58" s="37">
        <f t="shared" si="18"/>
        <v>0</v>
      </c>
      <c r="J58" s="332">
        <f>'WTAX-EXTENSION'!N45</f>
        <v>0</v>
      </c>
      <c r="K58" s="211">
        <f t="shared" si="19"/>
        <v>0</v>
      </c>
      <c r="L58" s="40">
        <f>'WTAX-EXTENSION'!F45</f>
        <v>0</v>
      </c>
      <c r="M58" s="37">
        <f>'EXTENSION - DEDS'!R44</f>
        <v>0</v>
      </c>
      <c r="N58" s="37">
        <f>'EXTENSION - DEDS'!X44</f>
        <v>0</v>
      </c>
      <c r="O58" s="37">
        <f>'EXTENSION - DEDS'!Y44</f>
        <v>0</v>
      </c>
      <c r="P58" s="37">
        <f>'EXTENSION - DEDS'!AE44</f>
        <v>0</v>
      </c>
      <c r="Q58" s="38">
        <f t="shared" si="20"/>
        <v>0</v>
      </c>
      <c r="R58" s="49">
        <f t="shared" si="21"/>
        <v>0</v>
      </c>
      <c r="S58" s="76">
        <f t="shared" si="22"/>
        <v>0</v>
      </c>
      <c r="T58" s="77">
        <f t="shared" si="23"/>
        <v>0</v>
      </c>
      <c r="U58" s="33">
        <f t="shared" si="24"/>
        <v>25</v>
      </c>
      <c r="V58" s="36">
        <f>ROUND('EXTENSION - PAY'!I58*0.12,2)</f>
        <v>0</v>
      </c>
      <c r="W58" s="37">
        <f t="shared" si="25"/>
        <v>100</v>
      </c>
      <c r="X58" s="37">
        <f>MIN((I58*0.05)-'EXTENSION - DEDS'!Y44,2500)</f>
        <v>0</v>
      </c>
      <c r="Y58" s="41">
        <f t="shared" si="26"/>
        <v>200</v>
      </c>
    </row>
    <row r="59" spans="1:25" ht="18.75" customHeight="1" x14ac:dyDescent="0.25">
      <c r="A59" s="98"/>
      <c r="B59" s="33">
        <f>+B45+1</f>
        <v>26</v>
      </c>
      <c r="C59" s="72">
        <f>VLOOKUP(B59,'WTAX-EXTENSION'!B:N,2,0)</f>
        <v>0</v>
      </c>
      <c r="D59" s="72" t="e">
        <f>VLOOKUP(C59,'WTAX-EXTENSION'!C:O,2,0)</f>
        <v>#N/A</v>
      </c>
      <c r="E59" s="306">
        <f>VLOOKUP(B59,'WTAX-EXTENSION'!B:N,4,0)</f>
        <v>0</v>
      </c>
      <c r="F59" s="89"/>
      <c r="G59" s="91"/>
      <c r="H59" s="91"/>
      <c r="I59" s="37">
        <f t="shared" si="10"/>
        <v>0</v>
      </c>
      <c r="J59" s="332">
        <f>'WTAX-EXTENSION'!N46</f>
        <v>0</v>
      </c>
      <c r="K59" s="211">
        <f t="shared" si="11"/>
        <v>0</v>
      </c>
      <c r="L59" s="40">
        <f>'WTAX-EXTENSION'!F46</f>
        <v>0</v>
      </c>
      <c r="M59" s="37">
        <f>'EXTENSION - DEDS'!R58</f>
        <v>0</v>
      </c>
      <c r="N59" s="37">
        <f>'EXTENSION - DEDS'!X58</f>
        <v>0</v>
      </c>
      <c r="O59" s="37">
        <f>'EXTENSION - DEDS'!Y58</f>
        <v>0</v>
      </c>
      <c r="P59" s="37">
        <f>'EXTENSION - DEDS'!AE58</f>
        <v>0</v>
      </c>
      <c r="Q59" s="38">
        <f t="shared" si="12"/>
        <v>0</v>
      </c>
      <c r="R59" s="49">
        <f t="shared" si="13"/>
        <v>0</v>
      </c>
      <c r="S59" s="76">
        <f t="shared" si="14"/>
        <v>0</v>
      </c>
      <c r="T59" s="77">
        <f t="shared" si="15"/>
        <v>0</v>
      </c>
      <c r="U59" s="33">
        <f t="shared" si="16"/>
        <v>26</v>
      </c>
      <c r="V59" s="36">
        <f>ROUND('EXTENSION - PAY'!I59*0.12,2)</f>
        <v>0</v>
      </c>
      <c r="W59" s="37">
        <f>W45</f>
        <v>100</v>
      </c>
      <c r="X59" s="37">
        <f>MIN((I59*0.05)-'EXTENSION - DEDS'!Y58,2500)</f>
        <v>0</v>
      </c>
      <c r="Y59" s="41">
        <f>Y45</f>
        <v>200</v>
      </c>
    </row>
    <row r="60" spans="1:25" ht="18.75" customHeight="1" x14ac:dyDescent="0.25">
      <c r="A60" s="98"/>
      <c r="B60" s="63"/>
      <c r="C60" s="64"/>
      <c r="D60" s="64"/>
      <c r="E60" s="63"/>
      <c r="F60" s="89"/>
      <c r="G60" s="91"/>
      <c r="H60" s="91"/>
      <c r="I60" s="66"/>
      <c r="J60" s="333"/>
      <c r="K60" s="212"/>
      <c r="L60" s="68"/>
      <c r="M60" s="66"/>
      <c r="N60" s="66"/>
      <c r="O60" s="66"/>
      <c r="P60" s="66"/>
      <c r="Q60" s="69"/>
      <c r="R60" s="70"/>
      <c r="S60" s="68"/>
      <c r="T60" s="71"/>
      <c r="U60" s="63"/>
      <c r="V60" s="65"/>
      <c r="W60" s="66"/>
      <c r="X60" s="66"/>
      <c r="Y60" s="71"/>
    </row>
    <row r="61" spans="1:25" ht="18.75" customHeight="1" thickBot="1" x14ac:dyDescent="0.3">
      <c r="A61" s="98"/>
      <c r="B61" s="64"/>
      <c r="C61" s="64"/>
      <c r="D61" s="64"/>
      <c r="E61" s="63"/>
      <c r="F61" s="92">
        <f>SUM(F21:F60)</f>
        <v>0</v>
      </c>
      <c r="G61" s="93"/>
      <c r="H61" s="93">
        <f t="shared" ref="H61:T61" si="27">SUM(H21:H60)</f>
        <v>0</v>
      </c>
      <c r="I61" s="79">
        <f t="shared" si="27"/>
        <v>0</v>
      </c>
      <c r="J61" s="334">
        <f t="shared" si="27"/>
        <v>0</v>
      </c>
      <c r="K61" s="213">
        <f t="shared" si="27"/>
        <v>0</v>
      </c>
      <c r="L61" s="155">
        <f t="shared" si="27"/>
        <v>0</v>
      </c>
      <c r="M61" s="152">
        <f t="shared" si="27"/>
        <v>0</v>
      </c>
      <c r="N61" s="152">
        <f t="shared" si="27"/>
        <v>0</v>
      </c>
      <c r="O61" s="152">
        <f t="shared" si="27"/>
        <v>0</v>
      </c>
      <c r="P61" s="152">
        <f t="shared" si="27"/>
        <v>0</v>
      </c>
      <c r="Q61" s="153">
        <f t="shared" si="27"/>
        <v>0</v>
      </c>
      <c r="R61" s="154">
        <f t="shared" si="27"/>
        <v>0</v>
      </c>
      <c r="S61" s="155">
        <f t="shared" si="27"/>
        <v>0</v>
      </c>
      <c r="T61" s="156">
        <f t="shared" si="27"/>
        <v>0</v>
      </c>
      <c r="U61" s="63"/>
      <c r="V61" s="157">
        <f>SUM(V21:V60)</f>
        <v>0</v>
      </c>
      <c r="W61" s="152">
        <f>SUM(W21:W60)</f>
        <v>3900</v>
      </c>
      <c r="X61" s="152">
        <f>SUM(X21:X60)</f>
        <v>0</v>
      </c>
      <c r="Y61" s="156">
        <f>SUM(Y21:Y60)</f>
        <v>7800</v>
      </c>
    </row>
    <row r="62" spans="1:25" ht="21" customHeight="1" thickBot="1" x14ac:dyDescent="0.3">
      <c r="A62" s="98"/>
      <c r="B62" s="1" t="s">
        <v>21</v>
      </c>
      <c r="C62" s="854" t="s">
        <v>104</v>
      </c>
      <c r="D62" s="855"/>
      <c r="E62" s="855"/>
      <c r="F62" s="855"/>
      <c r="G62" s="855"/>
      <c r="H62" s="167"/>
      <c r="I62" s="167"/>
      <c r="J62" s="167"/>
      <c r="K62" s="158"/>
      <c r="L62" s="158"/>
      <c r="M62" s="158"/>
      <c r="N62" s="159"/>
      <c r="O62" s="1" t="s">
        <v>23</v>
      </c>
      <c r="P62" s="170" t="s">
        <v>89</v>
      </c>
      <c r="Q62" s="158"/>
      <c r="R62" s="158"/>
      <c r="S62" s="875"/>
      <c r="T62" s="875"/>
      <c r="U62" s="875"/>
      <c r="V62" s="875"/>
      <c r="W62" s="875"/>
      <c r="X62" s="875"/>
      <c r="Y62" s="876"/>
    </row>
    <row r="63" spans="1:25" ht="30.75" customHeight="1" x14ac:dyDescent="0.25">
      <c r="A63" s="98"/>
      <c r="B63" s="17" t="s">
        <v>22</v>
      </c>
      <c r="D63" s="8"/>
      <c r="E63" s="50"/>
      <c r="F63" s="8"/>
      <c r="G63" s="8"/>
      <c r="H63" s="8"/>
      <c r="I63" s="160"/>
      <c r="J63" s="160"/>
      <c r="K63" s="160"/>
      <c r="L63" s="160"/>
      <c r="M63" s="160"/>
      <c r="N63" s="147"/>
      <c r="O63" s="870" t="e" cm="1">
        <f t="array" aca="1" ref="O63" ca="1">PesosInWords2Caps(W63)</f>
        <v>#NAME?</v>
      </c>
      <c r="P63" s="871"/>
      <c r="Q63" s="871"/>
      <c r="R63" s="871"/>
      <c r="S63" s="871"/>
      <c r="T63" s="871"/>
      <c r="U63" s="871"/>
      <c r="V63" s="871"/>
      <c r="W63" s="868">
        <f>S61</f>
        <v>0</v>
      </c>
      <c r="X63" s="868"/>
      <c r="Y63" s="869"/>
    </row>
    <row r="64" spans="1:25" ht="21.75" customHeight="1" x14ac:dyDescent="0.25">
      <c r="A64" s="98"/>
      <c r="B64" s="17"/>
      <c r="C64" s="8"/>
      <c r="D64" s="8"/>
      <c r="E64" s="50"/>
      <c r="F64" s="8"/>
      <c r="G64" s="8"/>
      <c r="H64" s="8"/>
      <c r="I64" s="8"/>
      <c r="J64" s="8"/>
      <c r="K64" s="8"/>
      <c r="L64" s="8"/>
      <c r="M64" s="8"/>
      <c r="N64" s="18"/>
      <c r="O64" s="25"/>
      <c r="P64" s="8"/>
      <c r="Q64" s="8"/>
      <c r="R64" s="8"/>
      <c r="S64" s="9"/>
      <c r="T64" s="9"/>
      <c r="U64" s="6"/>
      <c r="V64" s="9"/>
      <c r="W64" s="9"/>
      <c r="X64" s="9"/>
      <c r="Y64" s="19"/>
    </row>
    <row r="65" spans="1:26" ht="21.75" customHeight="1" x14ac:dyDescent="0.25">
      <c r="A65" s="98"/>
      <c r="B65" s="17"/>
      <c r="N65" s="56"/>
      <c r="O65" s="149"/>
      <c r="P65" s="50"/>
      <c r="U65" s="6"/>
      <c r="Y65" s="19"/>
    </row>
    <row r="66" spans="1:26" ht="16.5" customHeight="1" x14ac:dyDescent="0.25">
      <c r="A66" s="98"/>
      <c r="B66" s="17"/>
      <c r="C66" s="820" t="s">
        <v>47</v>
      </c>
      <c r="D66" s="820"/>
      <c r="E66" s="325"/>
      <c r="F66" s="342">
        <f ca="1">NOW()</f>
        <v>46275.505203009256</v>
      </c>
      <c r="G66" s="164"/>
      <c r="H66" s="820" t="s">
        <v>95</v>
      </c>
      <c r="I66" s="820"/>
      <c r="J66" s="820"/>
      <c r="K66" s="820"/>
      <c r="L66" s="8"/>
      <c r="M66" s="342">
        <f ca="1">NOW()</f>
        <v>46275.505203009256</v>
      </c>
      <c r="N66" s="165"/>
      <c r="O66" s="161"/>
      <c r="P66" s="51"/>
      <c r="Q66" s="820" t="s">
        <v>97</v>
      </c>
      <c r="R66" s="820"/>
      <c r="S66" s="820"/>
      <c r="U66" s="6"/>
      <c r="V66" s="839"/>
      <c r="W66" s="839"/>
      <c r="X66" s="839"/>
      <c r="Y66" s="19"/>
    </row>
    <row r="67" spans="1:26" ht="15.75" x14ac:dyDescent="0.25">
      <c r="A67" s="98"/>
      <c r="B67" s="17"/>
      <c r="C67" s="827" t="s">
        <v>93</v>
      </c>
      <c r="D67" s="827"/>
      <c r="E67" s="6"/>
      <c r="F67" s="171" t="s">
        <v>29</v>
      </c>
      <c r="G67" s="9"/>
      <c r="H67" s="827" t="s">
        <v>94</v>
      </c>
      <c r="I67" s="827"/>
      <c r="J67" s="827"/>
      <c r="K67" s="827"/>
      <c r="L67" s="9"/>
      <c r="M67" s="171" t="s">
        <v>29</v>
      </c>
      <c r="N67" s="172"/>
      <c r="O67" s="161"/>
      <c r="P67" s="51"/>
      <c r="Q67" s="827" t="s">
        <v>96</v>
      </c>
      <c r="R67" s="827"/>
      <c r="S67" s="827"/>
      <c r="T67" s="9"/>
      <c r="U67" s="6"/>
      <c r="V67" s="840" t="s">
        <v>29</v>
      </c>
      <c r="W67" s="840"/>
      <c r="X67" s="840"/>
      <c r="Y67" s="19"/>
    </row>
    <row r="68" spans="1:26" ht="16.5" thickBot="1" x14ac:dyDescent="0.3">
      <c r="A68" s="98"/>
      <c r="B68" s="20"/>
      <c r="C68" s="21"/>
      <c r="D68" s="21"/>
      <c r="E68" s="326"/>
      <c r="F68" s="21"/>
      <c r="G68" s="21"/>
      <c r="H68" s="21"/>
      <c r="I68" s="21"/>
      <c r="J68" s="21"/>
      <c r="K68" s="29"/>
      <c r="L68" s="29"/>
      <c r="M68" s="29"/>
      <c r="N68" s="168"/>
      <c r="O68" s="162"/>
      <c r="P68" s="22"/>
      <c r="Q68" s="30"/>
      <c r="R68" s="30"/>
      <c r="S68" s="30"/>
      <c r="T68" s="10"/>
      <c r="U68" s="54"/>
      <c r="V68" s="10"/>
      <c r="W68" s="10"/>
      <c r="X68" s="10"/>
      <c r="Y68" s="23"/>
      <c r="Z68" s="842"/>
    </row>
    <row r="69" spans="1:26" ht="21" customHeight="1" thickBot="1" x14ac:dyDescent="0.3">
      <c r="A69" s="98"/>
      <c r="B69" s="1" t="s">
        <v>24</v>
      </c>
      <c r="C69" s="818" t="s">
        <v>105</v>
      </c>
      <c r="D69" s="818" t="s">
        <v>100</v>
      </c>
      <c r="E69" s="818"/>
      <c r="F69" s="818"/>
      <c r="G69" s="818"/>
      <c r="H69" s="818"/>
      <c r="I69" s="818"/>
      <c r="J69" s="818"/>
      <c r="K69" s="818"/>
      <c r="L69" s="828">
        <f>S61</f>
        <v>0</v>
      </c>
      <c r="M69" s="828"/>
      <c r="N69" s="829"/>
      <c r="O69" s="1" t="s">
        <v>25</v>
      </c>
      <c r="P69" s="835" t="s">
        <v>35</v>
      </c>
      <c r="Q69" s="835"/>
      <c r="R69" s="835"/>
      <c r="S69" s="835"/>
      <c r="T69" s="836"/>
      <c r="U69" s="1" t="s">
        <v>27</v>
      </c>
      <c r="V69" s="148"/>
      <c r="W69" s="148"/>
      <c r="X69" s="148"/>
      <c r="Y69" s="24"/>
      <c r="Z69" s="843"/>
    </row>
    <row r="70" spans="1:26" ht="30.75" customHeight="1" x14ac:dyDescent="0.25">
      <c r="A70" s="98"/>
      <c r="B70" s="17" t="s">
        <v>26</v>
      </c>
      <c r="C70" s="819"/>
      <c r="D70" s="819"/>
      <c r="E70" s="819"/>
      <c r="F70" s="819"/>
      <c r="G70" s="819"/>
      <c r="H70" s="819"/>
      <c r="I70" s="819"/>
      <c r="J70" s="819"/>
      <c r="K70" s="819"/>
      <c r="L70" s="830"/>
      <c r="M70" s="830"/>
      <c r="N70" s="831"/>
      <c r="O70" s="25"/>
      <c r="P70" s="837"/>
      <c r="Q70" s="837"/>
      <c r="R70" s="837"/>
      <c r="S70" s="837"/>
      <c r="T70" s="838"/>
      <c r="U70" s="149"/>
      <c r="V70" s="61" t="s">
        <v>90</v>
      </c>
      <c r="W70" s="820" t="str">
        <f>'GEN.AD - PAY'!$W$172</f>
        <v>01-101101-2026-01-0003</v>
      </c>
      <c r="X70" s="820"/>
      <c r="Y70" s="822"/>
      <c r="Z70" s="843"/>
    </row>
    <row r="71" spans="1:26" ht="24.95" customHeight="1" x14ac:dyDescent="0.25">
      <c r="A71" s="98"/>
      <c r="B71" s="17"/>
      <c r="C71" s="8" t="s">
        <v>28</v>
      </c>
      <c r="D71" s="8"/>
      <c r="E71" s="50"/>
      <c r="F71" s="8"/>
      <c r="G71" s="8"/>
      <c r="H71" s="8"/>
      <c r="I71" s="8"/>
      <c r="J71" s="8"/>
      <c r="K71" s="8"/>
      <c r="L71" s="8"/>
      <c r="M71" s="8"/>
      <c r="N71" s="18"/>
      <c r="O71" s="25"/>
      <c r="P71" s="8"/>
      <c r="T71" s="26"/>
      <c r="U71" s="150"/>
      <c r="V71" s="61" t="s">
        <v>91</v>
      </c>
      <c r="W71" s="918">
        <f>'GEN.AD - PAY'!$W$173</f>
        <v>46038</v>
      </c>
      <c r="X71" s="918"/>
      <c r="Y71" s="919"/>
      <c r="Z71" s="843"/>
    </row>
    <row r="72" spans="1:26" ht="24.95" customHeight="1" x14ac:dyDescent="0.25">
      <c r="A72" s="98"/>
      <c r="B72" s="17"/>
      <c r="E72" s="820" t="s">
        <v>102</v>
      </c>
      <c r="F72" s="820"/>
      <c r="G72" s="820"/>
      <c r="H72" s="820"/>
      <c r="I72" s="820"/>
      <c r="K72" s="821"/>
      <c r="L72" s="821"/>
      <c r="M72" s="8"/>
      <c r="N72" s="18"/>
      <c r="O72" s="25"/>
      <c r="P72" s="820" t="s">
        <v>99</v>
      </c>
      <c r="Q72" s="820"/>
      <c r="R72" s="820"/>
      <c r="S72" s="820"/>
      <c r="T72" s="26"/>
      <c r="U72" s="149"/>
      <c r="V72" s="61" t="s">
        <v>92</v>
      </c>
      <c r="W72" s="820" t="str">
        <f>'GEN.AD - PAY'!$W$174</f>
        <v>01-2026-01-0019</v>
      </c>
      <c r="X72" s="820"/>
      <c r="Y72" s="822"/>
      <c r="Z72" s="843"/>
    </row>
    <row r="73" spans="1:26" ht="24.95" customHeight="1" x14ac:dyDescent="0.25">
      <c r="A73" s="98"/>
      <c r="B73" s="17"/>
      <c r="E73" s="881" t="s">
        <v>101</v>
      </c>
      <c r="F73" s="881"/>
      <c r="G73" s="881"/>
      <c r="H73" s="881"/>
      <c r="I73" s="881"/>
      <c r="J73" s="9"/>
      <c r="K73" s="889" t="s">
        <v>29</v>
      </c>
      <c r="L73" s="889"/>
      <c r="M73" s="27"/>
      <c r="N73" s="165"/>
      <c r="O73" s="161"/>
      <c r="P73" s="827" t="s">
        <v>98</v>
      </c>
      <c r="Q73" s="827"/>
      <c r="R73" s="827"/>
      <c r="S73" s="827"/>
      <c r="T73" s="26"/>
      <c r="U73" s="150"/>
      <c r="V73" s="61" t="s">
        <v>91</v>
      </c>
      <c r="W73" s="918">
        <f>'GEN.AD - PAY'!$W$175</f>
        <v>46038</v>
      </c>
      <c r="X73" s="918"/>
      <c r="Y73" s="919"/>
      <c r="Z73" s="28"/>
    </row>
    <row r="74" spans="1:26" ht="16.5" thickBot="1" x14ac:dyDescent="0.3">
      <c r="A74" s="98"/>
      <c r="B74" s="20"/>
      <c r="C74" s="29"/>
      <c r="D74" s="29"/>
      <c r="E74" s="880"/>
      <c r="F74" s="880"/>
      <c r="G74" s="880"/>
      <c r="H74" s="880"/>
      <c r="I74" s="29"/>
      <c r="J74" s="29"/>
      <c r="K74" s="30"/>
      <c r="L74" s="30"/>
      <c r="M74" s="30"/>
      <c r="N74" s="168"/>
      <c r="O74" s="162"/>
      <c r="P74" s="30"/>
      <c r="Q74" s="30"/>
      <c r="R74" s="30"/>
      <c r="S74" s="30"/>
      <c r="T74" s="23"/>
      <c r="U74" s="151"/>
      <c r="V74" s="10"/>
      <c r="W74" s="10"/>
      <c r="X74" s="10"/>
      <c r="Y74" s="23"/>
    </row>
    <row r="76" spans="1:26" x14ac:dyDescent="0.25">
      <c r="C76" s="32"/>
    </row>
    <row r="77" spans="1:26" x14ac:dyDescent="0.25">
      <c r="C77" s="32"/>
    </row>
    <row r="78" spans="1:26" x14ac:dyDescent="0.25">
      <c r="C78" s="32"/>
    </row>
    <row r="79" spans="1:26" x14ac:dyDescent="0.25">
      <c r="C79" s="32"/>
    </row>
    <row r="80" spans="1:26" x14ac:dyDescent="0.25">
      <c r="C80" s="32"/>
    </row>
  </sheetData>
  <mergeCells count="68">
    <mergeCell ref="B8:Y8"/>
    <mergeCell ref="V18:V19"/>
    <mergeCell ref="W18:W19"/>
    <mergeCell ref="X2:Y2"/>
    <mergeCell ref="B3:Y3"/>
    <mergeCell ref="B4:Y4"/>
    <mergeCell ref="B5:Y5"/>
    <mergeCell ref="B6:Y6"/>
    <mergeCell ref="B9:Y9"/>
    <mergeCell ref="B10:Y10"/>
    <mergeCell ref="B11:Y11"/>
    <mergeCell ref="D12:D14"/>
    <mergeCell ref="B13:C13"/>
    <mergeCell ref="W13:Y13"/>
    <mergeCell ref="B15:Y15"/>
    <mergeCell ref="B17:B19"/>
    <mergeCell ref="S17:S19"/>
    <mergeCell ref="T17:T19"/>
    <mergeCell ref="C17:C19"/>
    <mergeCell ref="D17:D19"/>
    <mergeCell ref="E17:E19"/>
    <mergeCell ref="F17:K17"/>
    <mergeCell ref="L17:Q17"/>
    <mergeCell ref="J18:J19"/>
    <mergeCell ref="K18:K19"/>
    <mergeCell ref="R17:R19"/>
    <mergeCell ref="F18:F19"/>
    <mergeCell ref="G18:G19"/>
    <mergeCell ref="C62:G62"/>
    <mergeCell ref="O63:V63"/>
    <mergeCell ref="W63:Y63"/>
    <mergeCell ref="N18:N19"/>
    <mergeCell ref="O18:O19"/>
    <mergeCell ref="P18:P19"/>
    <mergeCell ref="Q18:Q19"/>
    <mergeCell ref="U17:U19"/>
    <mergeCell ref="V17:Y17"/>
    <mergeCell ref="S62:Y62"/>
    <mergeCell ref="X18:X19"/>
    <mergeCell ref="Y18:Y19"/>
    <mergeCell ref="L18:L19"/>
    <mergeCell ref="M18:M19"/>
    <mergeCell ref="H18:H19"/>
    <mergeCell ref="I18:I19"/>
    <mergeCell ref="C66:D66"/>
    <mergeCell ref="H66:K66"/>
    <mergeCell ref="Q66:S66"/>
    <mergeCell ref="V66:X66"/>
    <mergeCell ref="C67:D67"/>
    <mergeCell ref="H67:K67"/>
    <mergeCell ref="Q67:S67"/>
    <mergeCell ref="V67:X67"/>
    <mergeCell ref="E74:H74"/>
    <mergeCell ref="Z68:Z72"/>
    <mergeCell ref="C69:C70"/>
    <mergeCell ref="D69:K70"/>
    <mergeCell ref="L69:N70"/>
    <mergeCell ref="P69:T70"/>
    <mergeCell ref="W70:Y70"/>
    <mergeCell ref="W71:Y71"/>
    <mergeCell ref="E72:I72"/>
    <mergeCell ref="K72:L72"/>
    <mergeCell ref="P72:S72"/>
    <mergeCell ref="W72:Y72"/>
    <mergeCell ref="E73:I73"/>
    <mergeCell ref="K73:L73"/>
    <mergeCell ref="P73:S73"/>
    <mergeCell ref="W73:Y73"/>
  </mergeCells>
  <conditionalFormatting sqref="S21:T59">
    <cfRule type="cellIs" dxfId="3" priority="1" stopIfTrue="1" operator="equal">
      <formula>2500</formula>
    </cfRule>
  </conditionalFormatting>
  <printOptions horizontalCentered="1"/>
  <pageMargins left="0.39370078740157483" right="0.39370078740157483" top="0.39370078740157483" bottom="0.19685039370078741" header="0" footer="0"/>
  <pageSetup paperSize="14" scale="51" fitToHeight="0" orientation="landscape" r:id="rId1"/>
  <headerFooter alignWithMargins="0">
    <oddHeader>&amp;R
&amp;16Sheet &amp;"Times New Roman,Bold"&amp;U&amp;P&amp;"Times New Roman,Regular"&amp;U of &amp;"Times New Roman,Bold"&amp;U&amp;N&amp;"Times New Roman,Regular"&amp;U Sheet/s</oddHeader>
  </headerFooter>
  <rowBreaks count="1" manualBreakCount="1">
    <brk id="40" min="1" max="24" man="1"/>
  </rowBreaks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5">
    <tabColor theme="6" tint="-0.249977111117893"/>
    <pageSetUpPr fitToPage="1"/>
  </sheetPr>
  <dimension ref="A1:AG66"/>
  <sheetViews>
    <sheetView showWhiteSpace="0" topLeftCell="A15" zoomScaleNormal="100" zoomScaleSheetLayoutView="100" workbookViewId="0">
      <pane xSplit="7" ySplit="4" topLeftCell="X32" activePane="bottomRight" state="frozen"/>
      <selection activeCell="D37" sqref="D37"/>
      <selection pane="topRight" activeCell="D37" sqref="D37"/>
      <selection pane="bottomLeft" activeCell="D37" sqref="D37"/>
      <selection pane="bottomRight" activeCell="D37" sqref="D37"/>
    </sheetView>
  </sheetViews>
  <sheetFormatPr defaultRowHeight="30.75" x14ac:dyDescent="0.25"/>
  <cols>
    <col min="1" max="1" width="9.375" style="31" customWidth="1"/>
    <col min="2" max="2" width="6.75" style="4" customWidth="1"/>
    <col min="3" max="3" width="24.625" style="4" customWidth="1"/>
    <col min="4" max="4" width="12.875" style="4" customWidth="1"/>
    <col min="5" max="5" width="9.625" style="57" customWidth="1"/>
    <col min="6" max="6" width="10.875" style="4" customWidth="1"/>
    <col min="7" max="7" width="12" style="4" customWidth="1"/>
    <col min="8" max="12" width="10.625" style="4" customWidth="1"/>
    <col min="13" max="13" width="12.25" style="4" customWidth="1"/>
    <col min="14" max="17" width="10.625" style="4" customWidth="1"/>
    <col min="18" max="18" width="11.75" style="4" customWidth="1"/>
    <col min="19" max="19" width="11.25" style="4" customWidth="1"/>
    <col min="20" max="20" width="10.625" style="4" customWidth="1"/>
    <col min="21" max="21" width="10.75" style="4" customWidth="1"/>
    <col min="22" max="23" width="9.875" style="4" customWidth="1"/>
    <col min="24" max="24" width="11.125" style="4" customWidth="1"/>
    <col min="25" max="25" width="10.875" style="4" customWidth="1"/>
    <col min="26" max="26" width="12.375" style="4" customWidth="1"/>
    <col min="27" max="27" width="10.625" style="4" customWidth="1"/>
    <col min="28" max="28" width="11.25" style="4" customWidth="1"/>
    <col min="29" max="30" width="9.875" style="4" customWidth="1"/>
    <col min="31" max="31" width="11.5" style="4" customWidth="1"/>
    <col min="32" max="32" width="13.875" style="4" customWidth="1"/>
    <col min="33" max="33" width="10.375" style="4" bestFit="1" customWidth="1"/>
    <col min="34" max="16384" width="9" style="4"/>
  </cols>
  <sheetData>
    <row r="1" spans="1:33" ht="23.25" customHeight="1" x14ac:dyDescent="0.25">
      <c r="A1" s="98">
        <v>94</v>
      </c>
      <c r="F1" s="5"/>
      <c r="X1" s="5"/>
      <c r="Y1" s="5"/>
      <c r="AE1" s="5"/>
      <c r="AF1" s="3"/>
    </row>
    <row r="2" spans="1:33" ht="23.25" x14ac:dyDescent="0.25">
      <c r="A2" s="98"/>
      <c r="F2" s="5"/>
      <c r="X2" s="5"/>
      <c r="Y2" s="5"/>
      <c r="AE2" s="864" t="s">
        <v>40</v>
      </c>
      <c r="AF2" s="864"/>
    </row>
    <row r="3" spans="1:33" ht="15.75" customHeight="1" x14ac:dyDescent="0.25">
      <c r="A3" s="98"/>
      <c r="B3" s="877" t="s">
        <v>42</v>
      </c>
      <c r="C3" s="877"/>
      <c r="D3" s="877"/>
      <c r="E3" s="877"/>
      <c r="F3" s="877"/>
      <c r="G3" s="877"/>
      <c r="H3" s="877"/>
      <c r="I3" s="877"/>
      <c r="J3" s="877"/>
      <c r="K3" s="877"/>
      <c r="L3" s="877"/>
      <c r="M3" s="877"/>
      <c r="N3" s="877"/>
      <c r="O3" s="877"/>
      <c r="P3" s="877"/>
      <c r="Q3" s="877"/>
      <c r="R3" s="877"/>
      <c r="S3" s="877"/>
      <c r="T3" s="877"/>
      <c r="U3" s="877"/>
      <c r="V3" s="877"/>
      <c r="W3" s="877"/>
      <c r="X3" s="877"/>
      <c r="Y3" s="877"/>
      <c r="Z3" s="877"/>
      <c r="AA3" s="877"/>
      <c r="AB3" s="877"/>
      <c r="AC3" s="877"/>
      <c r="AD3" s="877"/>
      <c r="AE3" s="877"/>
      <c r="AF3" s="877"/>
    </row>
    <row r="4" spans="1:33" ht="15.75" customHeight="1" x14ac:dyDescent="0.25">
      <c r="A4" s="98"/>
      <c r="B4" s="878" t="s">
        <v>43</v>
      </c>
      <c r="C4" s="878"/>
      <c r="D4" s="878"/>
      <c r="E4" s="878"/>
      <c r="F4" s="878"/>
      <c r="G4" s="878"/>
      <c r="H4" s="878"/>
      <c r="I4" s="878"/>
      <c r="J4" s="878"/>
      <c r="K4" s="878"/>
      <c r="L4" s="878"/>
      <c r="M4" s="878"/>
      <c r="N4" s="878"/>
      <c r="O4" s="878"/>
      <c r="P4" s="878"/>
      <c r="Q4" s="878"/>
      <c r="R4" s="878"/>
      <c r="S4" s="878"/>
      <c r="T4" s="878"/>
      <c r="U4" s="878"/>
      <c r="V4" s="878"/>
      <c r="W4" s="878"/>
      <c r="X4" s="878"/>
      <c r="Y4" s="878"/>
      <c r="Z4" s="878"/>
      <c r="AA4" s="878"/>
      <c r="AB4" s="878"/>
      <c r="AC4" s="878"/>
      <c r="AD4" s="878"/>
      <c r="AE4" s="878"/>
      <c r="AF4" s="878"/>
    </row>
    <row r="5" spans="1:33" ht="15.75" customHeight="1" x14ac:dyDescent="0.25">
      <c r="A5" s="98"/>
      <c r="B5" s="878" t="s">
        <v>44</v>
      </c>
      <c r="C5" s="878"/>
      <c r="D5" s="878"/>
      <c r="E5" s="878"/>
      <c r="F5" s="878"/>
      <c r="G5" s="878"/>
      <c r="H5" s="878"/>
      <c r="I5" s="878"/>
      <c r="J5" s="878"/>
      <c r="K5" s="878"/>
      <c r="L5" s="878"/>
      <c r="M5" s="878"/>
      <c r="N5" s="878"/>
      <c r="O5" s="878"/>
      <c r="P5" s="878"/>
      <c r="Q5" s="878"/>
      <c r="R5" s="878"/>
      <c r="S5" s="878"/>
      <c r="T5" s="878"/>
      <c r="U5" s="878"/>
      <c r="V5" s="878"/>
      <c r="W5" s="878"/>
      <c r="X5" s="878"/>
      <c r="Y5" s="878"/>
      <c r="Z5" s="878"/>
      <c r="AA5" s="878"/>
      <c r="AB5" s="878"/>
      <c r="AC5" s="878"/>
      <c r="AD5" s="878"/>
      <c r="AE5" s="878"/>
      <c r="AF5" s="878"/>
    </row>
    <row r="6" spans="1:33" ht="15.75" customHeight="1" x14ac:dyDescent="0.25">
      <c r="A6" s="98"/>
      <c r="B6" s="877" t="s">
        <v>45</v>
      </c>
      <c r="C6" s="877"/>
      <c r="D6" s="877"/>
      <c r="E6" s="877"/>
      <c r="F6" s="877"/>
      <c r="G6" s="877"/>
      <c r="H6" s="877"/>
      <c r="I6" s="877"/>
      <c r="J6" s="877"/>
      <c r="K6" s="877"/>
      <c r="L6" s="877"/>
      <c r="M6" s="877"/>
      <c r="N6" s="877"/>
      <c r="O6" s="877"/>
      <c r="P6" s="877"/>
      <c r="Q6" s="877"/>
      <c r="R6" s="877"/>
      <c r="S6" s="877"/>
      <c r="T6" s="877"/>
      <c r="U6" s="877"/>
      <c r="V6" s="877"/>
      <c r="W6" s="877"/>
      <c r="X6" s="877"/>
      <c r="Y6" s="877"/>
      <c r="Z6" s="877"/>
      <c r="AA6" s="877"/>
      <c r="AB6" s="877"/>
      <c r="AC6" s="877"/>
      <c r="AD6" s="877"/>
      <c r="AE6" s="877"/>
      <c r="AF6" s="877"/>
    </row>
    <row r="7" spans="1:33" ht="15.75" customHeight="1" x14ac:dyDescent="0.25">
      <c r="A7" s="98"/>
      <c r="F7" s="2"/>
      <c r="X7" s="2"/>
      <c r="Y7" s="2"/>
      <c r="AE7" s="2"/>
      <c r="AF7" s="2"/>
    </row>
    <row r="8" spans="1:33" ht="22.5" x14ac:dyDescent="0.25">
      <c r="A8" s="98"/>
      <c r="B8" s="882" t="s">
        <v>64</v>
      </c>
      <c r="C8" s="882"/>
      <c r="D8" s="882"/>
      <c r="E8" s="882"/>
      <c r="F8" s="882"/>
      <c r="G8" s="882"/>
      <c r="H8" s="882"/>
      <c r="I8" s="882"/>
      <c r="J8" s="882"/>
      <c r="K8" s="882"/>
      <c r="L8" s="882"/>
      <c r="M8" s="882"/>
      <c r="N8" s="882"/>
      <c r="O8" s="882"/>
      <c r="P8" s="882"/>
      <c r="Q8" s="882"/>
      <c r="R8" s="882"/>
      <c r="S8" s="882"/>
      <c r="T8" s="882"/>
      <c r="U8" s="882"/>
      <c r="V8" s="882"/>
      <c r="W8" s="882"/>
      <c r="X8" s="882"/>
      <c r="Y8" s="882"/>
      <c r="Z8" s="882"/>
      <c r="AA8" s="882"/>
      <c r="AB8" s="882"/>
      <c r="AC8" s="882"/>
      <c r="AD8" s="882"/>
      <c r="AE8" s="882"/>
      <c r="AF8" s="882"/>
    </row>
    <row r="9" spans="1:33" ht="20.25" x14ac:dyDescent="0.25">
      <c r="A9" s="98"/>
      <c r="B9" s="867" t="str">
        <f>'EXTENSION - PAY'!B9</f>
        <v>Regular Employees - EXTENSION SERVICES</v>
      </c>
      <c r="C9" s="867"/>
      <c r="D9" s="867"/>
      <c r="E9" s="867"/>
      <c r="F9" s="867"/>
      <c r="G9" s="867"/>
      <c r="H9" s="867"/>
      <c r="I9" s="867"/>
      <c r="J9" s="867"/>
      <c r="K9" s="867"/>
      <c r="L9" s="867"/>
      <c r="M9" s="867"/>
      <c r="N9" s="867"/>
      <c r="O9" s="867"/>
      <c r="P9" s="867"/>
      <c r="Q9" s="867"/>
      <c r="R9" s="867"/>
      <c r="S9" s="867"/>
      <c r="T9" s="867"/>
      <c r="U9" s="867"/>
      <c r="V9" s="867"/>
      <c r="W9" s="867"/>
      <c r="X9" s="867"/>
      <c r="Y9" s="867"/>
      <c r="Z9" s="867"/>
      <c r="AA9" s="867"/>
      <c r="AB9" s="867"/>
      <c r="AC9" s="867"/>
      <c r="AD9" s="867"/>
      <c r="AE9" s="867"/>
      <c r="AF9" s="867"/>
    </row>
    <row r="10" spans="1:33" ht="20.25" x14ac:dyDescent="0.25">
      <c r="A10" s="98"/>
      <c r="B10" s="879" t="str">
        <f>'EXTENSION - PAY'!B10</f>
        <v>For the period JANUARY 1-31, 2026</v>
      </c>
      <c r="C10" s="879"/>
      <c r="D10" s="879"/>
      <c r="E10" s="879"/>
      <c r="F10" s="879"/>
      <c r="G10" s="879"/>
      <c r="H10" s="879"/>
      <c r="I10" s="879"/>
      <c r="J10" s="879"/>
      <c r="K10" s="879"/>
      <c r="L10" s="879"/>
      <c r="M10" s="879"/>
      <c r="N10" s="879"/>
      <c r="O10" s="879"/>
      <c r="P10" s="879"/>
      <c r="Q10" s="879"/>
      <c r="R10" s="879"/>
      <c r="S10" s="879"/>
      <c r="T10" s="879"/>
      <c r="U10" s="879"/>
      <c r="V10" s="879"/>
      <c r="W10" s="879"/>
      <c r="X10" s="879"/>
      <c r="Y10" s="879"/>
      <c r="Z10" s="879"/>
      <c r="AA10" s="879"/>
      <c r="AB10" s="879"/>
      <c r="AC10" s="879"/>
      <c r="AD10" s="879"/>
      <c r="AE10" s="879"/>
      <c r="AF10" s="879"/>
    </row>
    <row r="11" spans="1:33" ht="15.75" x14ac:dyDescent="0.25">
      <c r="A11" s="98"/>
      <c r="B11" s="9"/>
      <c r="C11" s="6"/>
      <c r="D11" s="866" t="str">
        <f>+'EXTENSION - PAY'!D12</f>
        <v>01</v>
      </c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</row>
    <row r="12" spans="1:33" s="8" customFormat="1" ht="24.95" customHeight="1" x14ac:dyDescent="0.25">
      <c r="A12" s="98"/>
      <c r="B12" s="865" t="s">
        <v>88</v>
      </c>
      <c r="C12" s="865"/>
      <c r="D12" s="867"/>
      <c r="E12" s="178"/>
      <c r="F12" s="169"/>
      <c r="G12" s="169"/>
      <c r="H12" s="169"/>
      <c r="I12" s="169"/>
      <c r="J12" s="169"/>
      <c r="K12" s="169"/>
      <c r="L12" s="169"/>
      <c r="M12" s="169"/>
      <c r="N12" s="169"/>
      <c r="O12" s="169"/>
      <c r="P12" s="169"/>
      <c r="Q12" s="169"/>
      <c r="R12" s="9"/>
      <c r="S12" s="9"/>
      <c r="T12" s="9"/>
      <c r="U12" s="9"/>
      <c r="AA12" s="7"/>
      <c r="AB12" s="169" t="s">
        <v>103</v>
      </c>
      <c r="AC12" s="169"/>
      <c r="AD12" s="832" t="str">
        <f>'EXTENSION - PAY'!W13</f>
        <v>2026-01-024</v>
      </c>
      <c r="AE12" s="832"/>
      <c r="AF12" s="832"/>
    </row>
    <row r="13" spans="1:33" s="8" customFormat="1" ht="24.95" customHeight="1" x14ac:dyDescent="0.25">
      <c r="A13" s="98"/>
      <c r="B13" s="9"/>
      <c r="C13" s="9"/>
      <c r="D13" s="867"/>
      <c r="E13" s="6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AB13" s="169"/>
      <c r="AC13" s="169"/>
      <c r="AD13" s="9"/>
      <c r="AE13" s="9"/>
      <c r="AF13" s="9"/>
    </row>
    <row r="14" spans="1:33" s="8" customFormat="1" ht="15.75" customHeight="1" x14ac:dyDescent="0.25">
      <c r="A14" s="98"/>
      <c r="B14" s="872"/>
      <c r="C14" s="872"/>
      <c r="D14" s="872"/>
      <c r="E14" s="872"/>
      <c r="F14" s="872"/>
      <c r="G14" s="872"/>
      <c r="H14" s="872"/>
      <c r="I14" s="872"/>
      <c r="J14" s="872"/>
      <c r="K14" s="872"/>
      <c r="L14" s="872"/>
      <c r="M14" s="872"/>
      <c r="N14" s="872"/>
      <c r="O14" s="872"/>
      <c r="P14" s="872"/>
      <c r="Q14" s="872"/>
      <c r="R14" s="872"/>
      <c r="S14" s="872"/>
      <c r="T14" s="872"/>
      <c r="U14" s="872"/>
      <c r="V14" s="872"/>
      <c r="W14" s="872"/>
      <c r="X14" s="872"/>
      <c r="Y14" s="872"/>
      <c r="Z14" s="872"/>
    </row>
    <row r="15" spans="1:33" ht="9" customHeight="1" thickBot="1" x14ac:dyDescent="0.3">
      <c r="A15" s="98"/>
      <c r="B15" s="9"/>
      <c r="C15" s="10"/>
      <c r="D15" s="10"/>
      <c r="E15" s="54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9"/>
      <c r="T15" s="9"/>
      <c r="U15" s="9"/>
      <c r="V15" s="9"/>
      <c r="W15" s="9"/>
      <c r="X15" s="10"/>
      <c r="Y15" s="10"/>
      <c r="Z15" s="9"/>
      <c r="AA15" s="9"/>
      <c r="AB15" s="9"/>
      <c r="AC15" s="9"/>
      <c r="AD15" s="9"/>
      <c r="AE15" s="10"/>
      <c r="AF15" s="10"/>
    </row>
    <row r="16" spans="1:33" ht="16.5" customHeight="1" thickBot="1" x14ac:dyDescent="0.3">
      <c r="A16" s="98"/>
      <c r="B16" s="802" t="s">
        <v>6</v>
      </c>
      <c r="C16" s="777" t="s">
        <v>1</v>
      </c>
      <c r="D16" s="777" t="s">
        <v>2</v>
      </c>
      <c r="E16" s="802" t="s">
        <v>14</v>
      </c>
      <c r="F16" s="904" t="s">
        <v>54</v>
      </c>
      <c r="G16" s="841" t="s">
        <v>66</v>
      </c>
      <c r="H16" s="833"/>
      <c r="I16" s="833"/>
      <c r="J16" s="833"/>
      <c r="K16" s="833"/>
      <c r="L16" s="833"/>
      <c r="M16" s="833"/>
      <c r="N16" s="833"/>
      <c r="O16" s="833"/>
      <c r="P16" s="833"/>
      <c r="Q16" s="833"/>
      <c r="R16" s="834"/>
      <c r="S16" s="841" t="s">
        <v>63</v>
      </c>
      <c r="T16" s="833"/>
      <c r="U16" s="833"/>
      <c r="V16" s="833"/>
      <c r="W16" s="833"/>
      <c r="X16" s="834"/>
      <c r="Y16" s="904" t="s">
        <v>57</v>
      </c>
      <c r="Z16" s="841" t="s">
        <v>80</v>
      </c>
      <c r="AA16" s="833"/>
      <c r="AB16" s="833"/>
      <c r="AC16" s="833"/>
      <c r="AD16" s="833"/>
      <c r="AE16" s="834"/>
      <c r="AF16" s="802" t="s">
        <v>87</v>
      </c>
      <c r="AG16" s="11"/>
    </row>
    <row r="17" spans="1:33" ht="19.5" customHeight="1" x14ac:dyDescent="0.25">
      <c r="A17" s="98"/>
      <c r="B17" s="803"/>
      <c r="C17" s="778"/>
      <c r="D17" s="778"/>
      <c r="E17" s="803"/>
      <c r="F17" s="905"/>
      <c r="G17" s="911" t="s">
        <v>65</v>
      </c>
      <c r="H17" s="894" t="s">
        <v>110</v>
      </c>
      <c r="I17" s="887" t="s">
        <v>67</v>
      </c>
      <c r="J17" s="892" t="s">
        <v>68</v>
      </c>
      <c r="K17" s="896" t="s">
        <v>69</v>
      </c>
      <c r="L17" s="896" t="s">
        <v>70</v>
      </c>
      <c r="M17" s="896" t="s">
        <v>71</v>
      </c>
      <c r="N17" s="896" t="s">
        <v>72</v>
      </c>
      <c r="O17" s="894" t="s">
        <v>73</v>
      </c>
      <c r="P17" s="894" t="s">
        <v>111</v>
      </c>
      <c r="Q17" s="894" t="s">
        <v>78</v>
      </c>
      <c r="R17" s="909" t="s">
        <v>74</v>
      </c>
      <c r="S17" s="844" t="s">
        <v>75</v>
      </c>
      <c r="T17" s="913" t="s">
        <v>76</v>
      </c>
      <c r="U17" s="896" t="s">
        <v>71</v>
      </c>
      <c r="V17" s="896" t="s">
        <v>77</v>
      </c>
      <c r="W17" s="907" t="s">
        <v>78</v>
      </c>
      <c r="X17" s="902" t="s">
        <v>79</v>
      </c>
      <c r="Y17" s="905"/>
      <c r="Z17" s="898" t="s">
        <v>81</v>
      </c>
      <c r="AA17" s="900" t="s">
        <v>82</v>
      </c>
      <c r="AB17" s="896" t="s">
        <v>83</v>
      </c>
      <c r="AC17" s="892" t="s">
        <v>84</v>
      </c>
      <c r="AD17" s="907" t="s">
        <v>86</v>
      </c>
      <c r="AE17" s="915" t="s">
        <v>85</v>
      </c>
      <c r="AF17" s="803"/>
      <c r="AG17" s="11"/>
    </row>
    <row r="18" spans="1:33" ht="26.25" customHeight="1" thickBot="1" x14ac:dyDescent="0.3">
      <c r="A18" s="98"/>
      <c r="B18" s="803"/>
      <c r="C18" s="778"/>
      <c r="D18" s="778"/>
      <c r="E18" s="803"/>
      <c r="F18" s="906"/>
      <c r="G18" s="912"/>
      <c r="H18" s="895"/>
      <c r="I18" s="888"/>
      <c r="J18" s="893"/>
      <c r="K18" s="897"/>
      <c r="L18" s="897"/>
      <c r="M18" s="897"/>
      <c r="N18" s="897"/>
      <c r="O18" s="895"/>
      <c r="P18" s="895"/>
      <c r="Q18" s="895"/>
      <c r="R18" s="910"/>
      <c r="S18" s="845"/>
      <c r="T18" s="914"/>
      <c r="U18" s="897"/>
      <c r="V18" s="897"/>
      <c r="W18" s="908"/>
      <c r="X18" s="903"/>
      <c r="Y18" s="906"/>
      <c r="Z18" s="899"/>
      <c r="AA18" s="901"/>
      <c r="AB18" s="897"/>
      <c r="AC18" s="893"/>
      <c r="AD18" s="908"/>
      <c r="AE18" s="916"/>
      <c r="AF18" s="804"/>
      <c r="AG18" s="11"/>
    </row>
    <row r="19" spans="1:33" ht="18.75" customHeight="1" x14ac:dyDescent="0.25">
      <c r="A19" s="98"/>
      <c r="B19" s="12"/>
      <c r="C19" s="12"/>
      <c r="D19" s="12"/>
      <c r="E19" s="55"/>
      <c r="F19" s="12"/>
      <c r="G19" s="46"/>
      <c r="H19" s="173"/>
      <c r="I19" s="173"/>
      <c r="J19" s="173"/>
      <c r="K19" s="173"/>
      <c r="L19" s="173"/>
      <c r="M19" s="173"/>
      <c r="N19" s="173"/>
      <c r="O19" s="173"/>
      <c r="P19" s="173"/>
      <c r="Q19" s="173"/>
      <c r="R19" s="43"/>
      <c r="S19" s="174"/>
      <c r="T19" s="175"/>
      <c r="U19" s="173"/>
      <c r="V19" s="173"/>
      <c r="W19" s="173"/>
      <c r="X19" s="176"/>
      <c r="Y19" s="12"/>
      <c r="Z19" s="174"/>
      <c r="AA19" s="175"/>
      <c r="AB19" s="173"/>
      <c r="AC19" s="173"/>
      <c r="AD19" s="173"/>
      <c r="AE19" s="177"/>
      <c r="AF19" s="43"/>
    </row>
    <row r="20" spans="1:33" ht="18.75" customHeight="1" x14ac:dyDescent="0.25">
      <c r="A20" s="98"/>
      <c r="B20" s="33">
        <v>1</v>
      </c>
      <c r="C20" s="72">
        <f>'EXTENSION - PAY'!C21</f>
        <v>0</v>
      </c>
      <c r="D20" s="72" t="e">
        <f>'EXTENSION - PAY'!D21</f>
        <v>#N/A</v>
      </c>
      <c r="E20" s="306">
        <f>'EXTENSION - PAY'!E21</f>
        <v>0</v>
      </c>
      <c r="F20" s="49">
        <f>'EXTENSION - PAY'!L21</f>
        <v>0</v>
      </c>
      <c r="G20" s="36">
        <f>ROUND('EXTENSION - PAY'!I21*0.09,2)</f>
        <v>0</v>
      </c>
      <c r="H20" s="88"/>
      <c r="I20" s="88"/>
      <c r="J20" s="88"/>
      <c r="K20" s="88"/>
      <c r="L20" s="88"/>
      <c r="M20" s="88"/>
      <c r="N20" s="88"/>
      <c r="O20" s="88"/>
      <c r="P20" s="88"/>
      <c r="Q20" s="88"/>
      <c r="R20" s="41">
        <f t="shared" ref="R20:R35" si="0">SUM(G20:Q20)</f>
        <v>0</v>
      </c>
      <c r="S20" s="86"/>
      <c r="T20" s="87"/>
      <c r="U20" s="88"/>
      <c r="V20" s="88"/>
      <c r="W20" s="88"/>
      <c r="X20" s="38">
        <f t="shared" ref="X20:X26" si="1">SUM(S20:W20)</f>
        <v>0</v>
      </c>
      <c r="Y20" s="49">
        <f>MIN(ROUNDDOWN('EXTENSION - PAY'!I21*0.05/2,2),2500)</f>
        <v>0</v>
      </c>
      <c r="Z20" s="86"/>
      <c r="AA20" s="87"/>
      <c r="AB20" s="88"/>
      <c r="AC20" s="88"/>
      <c r="AD20" s="88"/>
      <c r="AE20" s="35">
        <f t="shared" ref="AE20:AE35" si="2">SUM(Z20:AD20)</f>
        <v>0</v>
      </c>
      <c r="AF20" s="62">
        <f t="shared" ref="AF20:AF59" si="3">SUM(F20,R20,X20,Y20,AE20)</f>
        <v>0</v>
      </c>
    </row>
    <row r="21" spans="1:33" ht="18.75" customHeight="1" x14ac:dyDescent="0.25">
      <c r="A21" s="98"/>
      <c r="B21" s="33">
        <f>+B20+1</f>
        <v>2</v>
      </c>
      <c r="C21" s="72">
        <f>'EXTENSION - PAY'!C22</f>
        <v>0</v>
      </c>
      <c r="D21" s="72" t="e">
        <f>'EXTENSION - PAY'!D22</f>
        <v>#N/A</v>
      </c>
      <c r="E21" s="306">
        <f>'EXTENSION - PAY'!E22</f>
        <v>0</v>
      </c>
      <c r="F21" s="49">
        <f>'EXTENSION - PAY'!L22</f>
        <v>0</v>
      </c>
      <c r="G21" s="36">
        <f>ROUND('EXTENSION - PAY'!I22*0.09,2)</f>
        <v>0</v>
      </c>
      <c r="H21" s="88"/>
      <c r="I21" s="88"/>
      <c r="J21" s="88"/>
      <c r="K21" s="88"/>
      <c r="L21" s="88"/>
      <c r="M21" s="88"/>
      <c r="N21" s="88"/>
      <c r="O21" s="88"/>
      <c r="P21" s="88"/>
      <c r="Q21" s="88"/>
      <c r="R21" s="41">
        <f t="shared" si="0"/>
        <v>0</v>
      </c>
      <c r="S21" s="86"/>
      <c r="T21" s="87"/>
      <c r="U21" s="88"/>
      <c r="V21" s="88"/>
      <c r="W21" s="88"/>
      <c r="X21" s="38">
        <f t="shared" si="1"/>
        <v>0</v>
      </c>
      <c r="Y21" s="49">
        <f>MIN(ROUNDDOWN('EXTENSION - PAY'!I22*0.05/2,2),2500)</f>
        <v>0</v>
      </c>
      <c r="Z21" s="86"/>
      <c r="AA21" s="87"/>
      <c r="AB21" s="88"/>
      <c r="AC21" s="88"/>
      <c r="AD21" s="88"/>
      <c r="AE21" s="35">
        <f t="shared" si="2"/>
        <v>0</v>
      </c>
      <c r="AF21" s="62">
        <f t="shared" si="3"/>
        <v>0</v>
      </c>
      <c r="AG21" s="75"/>
    </row>
    <row r="22" spans="1:33" ht="18.75" customHeight="1" x14ac:dyDescent="0.25">
      <c r="A22" s="98"/>
      <c r="B22" s="33">
        <f t="shared" ref="B22:B44" si="4">+B21+1</f>
        <v>3</v>
      </c>
      <c r="C22" s="72">
        <f>'EXTENSION - PAY'!C23</f>
        <v>0</v>
      </c>
      <c r="D22" s="72" t="e">
        <f>'EXTENSION - PAY'!D23</f>
        <v>#N/A</v>
      </c>
      <c r="E22" s="306">
        <f>'EXTENSION - PAY'!E23</f>
        <v>0</v>
      </c>
      <c r="F22" s="49">
        <f>'EXTENSION - PAY'!L23</f>
        <v>0</v>
      </c>
      <c r="G22" s="36">
        <f>ROUND('EXTENSION - PAY'!I23*0.09,2)</f>
        <v>0</v>
      </c>
      <c r="H22" s="88"/>
      <c r="I22" s="88"/>
      <c r="J22" s="88"/>
      <c r="K22" s="88"/>
      <c r="L22" s="88"/>
      <c r="M22" s="88"/>
      <c r="N22" s="88"/>
      <c r="O22" s="88"/>
      <c r="P22" s="88"/>
      <c r="Q22" s="88"/>
      <c r="R22" s="41">
        <f t="shared" si="0"/>
        <v>0</v>
      </c>
      <c r="S22" s="86"/>
      <c r="T22" s="87"/>
      <c r="U22" s="88"/>
      <c r="V22" s="88"/>
      <c r="W22" s="88"/>
      <c r="X22" s="38">
        <f t="shared" si="1"/>
        <v>0</v>
      </c>
      <c r="Y22" s="49">
        <f>MIN(ROUNDDOWN('EXTENSION - PAY'!I23*0.05/2,2),2500)</f>
        <v>0</v>
      </c>
      <c r="Z22" s="86"/>
      <c r="AA22" s="87"/>
      <c r="AB22" s="88"/>
      <c r="AC22" s="88"/>
      <c r="AD22" s="88"/>
      <c r="AE22" s="35">
        <f t="shared" si="2"/>
        <v>0</v>
      </c>
      <c r="AF22" s="62">
        <f t="shared" si="3"/>
        <v>0</v>
      </c>
    </row>
    <row r="23" spans="1:33" ht="18.75" customHeight="1" x14ac:dyDescent="0.25">
      <c r="A23" s="98"/>
      <c r="B23" s="33">
        <f t="shared" si="4"/>
        <v>4</v>
      </c>
      <c r="C23" s="72">
        <f>'EXTENSION - PAY'!C24</f>
        <v>0</v>
      </c>
      <c r="D23" s="72" t="e">
        <f>'EXTENSION - PAY'!D24</f>
        <v>#N/A</v>
      </c>
      <c r="E23" s="306">
        <f>'EXTENSION - PAY'!E24</f>
        <v>0</v>
      </c>
      <c r="F23" s="49">
        <f>'EXTENSION - PAY'!L24</f>
        <v>0</v>
      </c>
      <c r="G23" s="36">
        <f>ROUND('EXTENSION - PAY'!I24*0.09,2)</f>
        <v>0</v>
      </c>
      <c r="H23" s="88"/>
      <c r="I23" s="88"/>
      <c r="J23" s="88"/>
      <c r="K23" s="88"/>
      <c r="L23" s="88"/>
      <c r="M23" s="88"/>
      <c r="N23" s="88"/>
      <c r="O23" s="88"/>
      <c r="P23" s="88"/>
      <c r="Q23" s="88"/>
      <c r="R23" s="41">
        <f t="shared" si="0"/>
        <v>0</v>
      </c>
      <c r="S23" s="86"/>
      <c r="T23" s="87"/>
      <c r="U23" s="88"/>
      <c r="V23" s="88"/>
      <c r="W23" s="88"/>
      <c r="X23" s="38">
        <f t="shared" si="1"/>
        <v>0</v>
      </c>
      <c r="Y23" s="49">
        <f>MIN(ROUNDDOWN('EXTENSION - PAY'!I24*0.05/2,2),2500)</f>
        <v>0</v>
      </c>
      <c r="Z23" s="86"/>
      <c r="AA23" s="87"/>
      <c r="AB23" s="88"/>
      <c r="AC23" s="88"/>
      <c r="AD23" s="88"/>
      <c r="AE23" s="35">
        <f t="shared" si="2"/>
        <v>0</v>
      </c>
      <c r="AF23" s="62">
        <f t="shared" si="3"/>
        <v>0</v>
      </c>
    </row>
    <row r="24" spans="1:33" ht="18.75" customHeight="1" x14ac:dyDescent="0.25">
      <c r="A24" s="98"/>
      <c r="B24" s="33">
        <f t="shared" si="4"/>
        <v>5</v>
      </c>
      <c r="C24" s="72">
        <f>'EXTENSION - PAY'!C25</f>
        <v>0</v>
      </c>
      <c r="D24" s="72" t="e">
        <f>'EXTENSION - PAY'!D25</f>
        <v>#N/A</v>
      </c>
      <c r="E24" s="306">
        <f>'EXTENSION - PAY'!E25</f>
        <v>0</v>
      </c>
      <c r="F24" s="49">
        <f>'EXTENSION - PAY'!L25</f>
        <v>0</v>
      </c>
      <c r="G24" s="36">
        <f>ROUND('EXTENSION - PAY'!I25*0.09,2)</f>
        <v>0</v>
      </c>
      <c r="H24" s="88"/>
      <c r="I24" s="88"/>
      <c r="J24" s="88"/>
      <c r="K24" s="88"/>
      <c r="L24" s="88"/>
      <c r="M24" s="88"/>
      <c r="N24" s="88"/>
      <c r="O24" s="88"/>
      <c r="P24" s="88"/>
      <c r="Q24" s="88"/>
      <c r="R24" s="41">
        <f t="shared" si="0"/>
        <v>0</v>
      </c>
      <c r="S24" s="86"/>
      <c r="T24" s="87"/>
      <c r="U24" s="88"/>
      <c r="V24" s="88"/>
      <c r="W24" s="88"/>
      <c r="X24" s="38">
        <f t="shared" si="1"/>
        <v>0</v>
      </c>
      <c r="Y24" s="49">
        <f>MIN(ROUNDDOWN('EXTENSION - PAY'!I25*0.05/2,2),2500)</f>
        <v>0</v>
      </c>
      <c r="Z24" s="86"/>
      <c r="AA24" s="87"/>
      <c r="AB24" s="88"/>
      <c r="AC24" s="88"/>
      <c r="AD24" s="88"/>
      <c r="AE24" s="35">
        <f t="shared" si="2"/>
        <v>0</v>
      </c>
      <c r="AF24" s="62">
        <f t="shared" si="3"/>
        <v>0</v>
      </c>
    </row>
    <row r="25" spans="1:33" ht="18.75" customHeight="1" x14ac:dyDescent="0.25">
      <c r="A25" s="98"/>
      <c r="B25" s="33">
        <f t="shared" si="4"/>
        <v>6</v>
      </c>
      <c r="C25" s="72">
        <f>'EXTENSION - PAY'!C26</f>
        <v>0</v>
      </c>
      <c r="D25" s="72" t="e">
        <f>'EXTENSION - PAY'!D26</f>
        <v>#N/A</v>
      </c>
      <c r="E25" s="306">
        <f>'EXTENSION - PAY'!E26</f>
        <v>0</v>
      </c>
      <c r="F25" s="49">
        <f>'EXTENSION - PAY'!L26</f>
        <v>0</v>
      </c>
      <c r="G25" s="36">
        <f>ROUND('EXTENSION - PAY'!I26*0.09,2)</f>
        <v>0</v>
      </c>
      <c r="H25" s="88"/>
      <c r="I25" s="88"/>
      <c r="J25" s="88"/>
      <c r="K25" s="88"/>
      <c r="L25" s="88"/>
      <c r="M25" s="88"/>
      <c r="N25" s="88"/>
      <c r="O25" s="88"/>
      <c r="P25" s="88"/>
      <c r="Q25" s="88"/>
      <c r="R25" s="41">
        <f t="shared" si="0"/>
        <v>0</v>
      </c>
      <c r="S25" s="86"/>
      <c r="T25" s="87"/>
      <c r="U25" s="88"/>
      <c r="V25" s="88"/>
      <c r="W25" s="88"/>
      <c r="X25" s="38">
        <f t="shared" si="1"/>
        <v>0</v>
      </c>
      <c r="Y25" s="49">
        <f>MIN(ROUNDDOWN('EXTENSION - PAY'!I26*0.05/2,2),2500)</f>
        <v>0</v>
      </c>
      <c r="Z25" s="86"/>
      <c r="AA25" s="87"/>
      <c r="AB25" s="88"/>
      <c r="AC25" s="88"/>
      <c r="AD25" s="88"/>
      <c r="AE25" s="35">
        <f t="shared" si="2"/>
        <v>0</v>
      </c>
      <c r="AF25" s="62">
        <f t="shared" si="3"/>
        <v>0</v>
      </c>
    </row>
    <row r="26" spans="1:33" ht="18.75" customHeight="1" x14ac:dyDescent="0.25">
      <c r="A26" s="98"/>
      <c r="B26" s="33">
        <f t="shared" si="4"/>
        <v>7</v>
      </c>
      <c r="C26" s="72">
        <f>'EXTENSION - PAY'!C27</f>
        <v>0</v>
      </c>
      <c r="D26" s="72" t="e">
        <f>'EXTENSION - PAY'!D27</f>
        <v>#N/A</v>
      </c>
      <c r="E26" s="306">
        <f>'EXTENSION - PAY'!E27</f>
        <v>0</v>
      </c>
      <c r="F26" s="49">
        <f>'EXTENSION - PAY'!L27</f>
        <v>0</v>
      </c>
      <c r="G26" s="36">
        <f>ROUND('EXTENSION - PAY'!I27*0.09,2)</f>
        <v>0</v>
      </c>
      <c r="H26" s="88"/>
      <c r="I26" s="88"/>
      <c r="J26" s="88"/>
      <c r="K26" s="88"/>
      <c r="L26" s="88"/>
      <c r="M26" s="88"/>
      <c r="N26" s="88"/>
      <c r="O26" s="88"/>
      <c r="P26" s="88"/>
      <c r="Q26" s="88"/>
      <c r="R26" s="41">
        <f t="shared" si="0"/>
        <v>0</v>
      </c>
      <c r="S26" s="86"/>
      <c r="T26" s="87"/>
      <c r="U26" s="88"/>
      <c r="V26" s="88"/>
      <c r="W26" s="88"/>
      <c r="X26" s="38">
        <f t="shared" si="1"/>
        <v>0</v>
      </c>
      <c r="Y26" s="49">
        <f>MIN(ROUNDDOWN('EXTENSION - PAY'!I27*0.05/2,2),2500)</f>
        <v>0</v>
      </c>
      <c r="Z26" s="86"/>
      <c r="AA26" s="87"/>
      <c r="AB26" s="88"/>
      <c r="AC26" s="88"/>
      <c r="AD26" s="88"/>
      <c r="AE26" s="35">
        <f t="shared" si="2"/>
        <v>0</v>
      </c>
      <c r="AF26" s="62">
        <f t="shared" si="3"/>
        <v>0</v>
      </c>
    </row>
    <row r="27" spans="1:33" ht="18.75" customHeight="1" x14ac:dyDescent="0.25">
      <c r="A27" s="98"/>
      <c r="B27" s="33">
        <f t="shared" si="4"/>
        <v>8</v>
      </c>
      <c r="C27" s="72">
        <f>'EXTENSION - PAY'!C28</f>
        <v>0</v>
      </c>
      <c r="D27" s="72" t="e">
        <f>'EXTENSION - PAY'!D28</f>
        <v>#N/A</v>
      </c>
      <c r="E27" s="306">
        <f>'EXTENSION - PAY'!E28</f>
        <v>0</v>
      </c>
      <c r="F27" s="49">
        <f>'EXTENSION - PAY'!L28</f>
        <v>0</v>
      </c>
      <c r="G27" s="36">
        <f>ROUND('EXTENSION - PAY'!I28*0.09,2)</f>
        <v>0</v>
      </c>
      <c r="H27" s="91"/>
      <c r="I27" s="91"/>
      <c r="J27" s="91"/>
      <c r="K27" s="91"/>
      <c r="L27" s="91"/>
      <c r="M27" s="91"/>
      <c r="N27" s="91"/>
      <c r="O27" s="91"/>
      <c r="P27" s="91"/>
      <c r="Q27" s="91"/>
      <c r="R27" s="41">
        <f t="shared" si="0"/>
        <v>0</v>
      </c>
      <c r="S27" s="86"/>
      <c r="T27" s="90"/>
      <c r="U27" s="91"/>
      <c r="V27" s="91"/>
      <c r="W27" s="91"/>
      <c r="X27" s="38">
        <f t="shared" ref="X27:X35" si="5">SUM(S27:W27)</f>
        <v>0</v>
      </c>
      <c r="Y27" s="49">
        <f>MIN(ROUNDDOWN('EXTENSION - PAY'!I28*0.05/2,2),2500)</f>
        <v>0</v>
      </c>
      <c r="Z27" s="89"/>
      <c r="AA27" s="90"/>
      <c r="AB27" s="88"/>
      <c r="AC27" s="91"/>
      <c r="AD27" s="91"/>
      <c r="AE27" s="35">
        <f t="shared" si="2"/>
        <v>0</v>
      </c>
      <c r="AF27" s="62">
        <f t="shared" si="3"/>
        <v>0</v>
      </c>
    </row>
    <row r="28" spans="1:33" ht="18.75" customHeight="1" x14ac:dyDescent="0.25">
      <c r="A28" s="98"/>
      <c r="B28" s="33">
        <f t="shared" si="4"/>
        <v>9</v>
      </c>
      <c r="C28" s="72">
        <f>'EXTENSION - PAY'!C29</f>
        <v>0</v>
      </c>
      <c r="D28" s="72" t="e">
        <f>'EXTENSION - PAY'!D29</f>
        <v>#N/A</v>
      </c>
      <c r="E28" s="306">
        <f>'EXTENSION - PAY'!E29</f>
        <v>0</v>
      </c>
      <c r="F28" s="49">
        <f>'EXTENSION - PAY'!L29</f>
        <v>0</v>
      </c>
      <c r="G28" s="36">
        <f>ROUND('EXTENSION - PAY'!I29*0.09,2)</f>
        <v>0</v>
      </c>
      <c r="H28" s="91"/>
      <c r="I28" s="91"/>
      <c r="J28" s="91"/>
      <c r="K28" s="91"/>
      <c r="L28" s="91"/>
      <c r="M28" s="91"/>
      <c r="N28" s="91"/>
      <c r="O28" s="91"/>
      <c r="P28" s="91"/>
      <c r="Q28" s="91"/>
      <c r="R28" s="41">
        <f t="shared" si="0"/>
        <v>0</v>
      </c>
      <c r="S28" s="86"/>
      <c r="T28" s="90"/>
      <c r="U28" s="91"/>
      <c r="V28" s="91"/>
      <c r="W28" s="91"/>
      <c r="X28" s="38">
        <f t="shared" si="5"/>
        <v>0</v>
      </c>
      <c r="Y28" s="49">
        <f>MIN(ROUNDDOWN('EXTENSION - PAY'!I29*0.05/2,2),2500)</f>
        <v>0</v>
      </c>
      <c r="Z28" s="89"/>
      <c r="AA28" s="90"/>
      <c r="AB28" s="88"/>
      <c r="AC28" s="91"/>
      <c r="AD28" s="91"/>
      <c r="AE28" s="35">
        <f t="shared" si="2"/>
        <v>0</v>
      </c>
      <c r="AF28" s="62">
        <f t="shared" si="3"/>
        <v>0</v>
      </c>
    </row>
    <row r="29" spans="1:33" ht="18.75" customHeight="1" x14ac:dyDescent="0.25">
      <c r="A29" s="98"/>
      <c r="B29" s="33">
        <f t="shared" si="4"/>
        <v>10</v>
      </c>
      <c r="C29" s="72">
        <f>'EXTENSION - PAY'!C30</f>
        <v>0</v>
      </c>
      <c r="D29" s="72" t="e">
        <f>'EXTENSION - PAY'!D30</f>
        <v>#N/A</v>
      </c>
      <c r="E29" s="306">
        <f>'EXTENSION - PAY'!E30</f>
        <v>0</v>
      </c>
      <c r="F29" s="49">
        <f>'EXTENSION - PAY'!L30</f>
        <v>0</v>
      </c>
      <c r="G29" s="36">
        <f>ROUND('EXTENSION - PAY'!I30*0.09,2)</f>
        <v>0</v>
      </c>
      <c r="H29" s="91"/>
      <c r="I29" s="91"/>
      <c r="J29" s="91"/>
      <c r="K29" s="91"/>
      <c r="L29" s="91"/>
      <c r="M29" s="91"/>
      <c r="N29" s="91"/>
      <c r="O29" s="91"/>
      <c r="P29" s="91"/>
      <c r="Q29" s="91"/>
      <c r="R29" s="41">
        <f t="shared" si="0"/>
        <v>0</v>
      </c>
      <c r="S29" s="86"/>
      <c r="T29" s="90"/>
      <c r="U29" s="91"/>
      <c r="V29" s="91"/>
      <c r="W29" s="91"/>
      <c r="X29" s="38">
        <f t="shared" si="5"/>
        <v>0</v>
      </c>
      <c r="Y29" s="49">
        <f>MIN(ROUNDDOWN('EXTENSION - PAY'!I30*0.05/2,2),2500)</f>
        <v>0</v>
      </c>
      <c r="Z29" s="89"/>
      <c r="AA29" s="90"/>
      <c r="AB29" s="88"/>
      <c r="AC29" s="91"/>
      <c r="AD29" s="91"/>
      <c r="AE29" s="35">
        <f t="shared" si="2"/>
        <v>0</v>
      </c>
      <c r="AF29" s="62">
        <f t="shared" si="3"/>
        <v>0</v>
      </c>
    </row>
    <row r="30" spans="1:33" ht="18.75" customHeight="1" x14ac:dyDescent="0.25">
      <c r="A30" s="98"/>
      <c r="B30" s="33">
        <f t="shared" si="4"/>
        <v>11</v>
      </c>
      <c r="C30" s="72">
        <f>'EXTENSION - PAY'!C31</f>
        <v>0</v>
      </c>
      <c r="D30" s="72" t="e">
        <f>'EXTENSION - PAY'!D31</f>
        <v>#N/A</v>
      </c>
      <c r="E30" s="306">
        <f>'EXTENSION - PAY'!E31</f>
        <v>0</v>
      </c>
      <c r="F30" s="49">
        <f>'EXTENSION - PAY'!L31</f>
        <v>0</v>
      </c>
      <c r="G30" s="36">
        <f>ROUND('EXTENSION - PAY'!I31*0.09,2)</f>
        <v>0</v>
      </c>
      <c r="H30" s="91"/>
      <c r="I30" s="91"/>
      <c r="J30" s="91"/>
      <c r="K30" s="91"/>
      <c r="L30" s="91"/>
      <c r="M30" s="91"/>
      <c r="N30" s="91"/>
      <c r="O30" s="91"/>
      <c r="P30" s="91"/>
      <c r="Q30" s="91"/>
      <c r="R30" s="41">
        <f t="shared" si="0"/>
        <v>0</v>
      </c>
      <c r="S30" s="86"/>
      <c r="T30" s="90"/>
      <c r="U30" s="91"/>
      <c r="V30" s="91"/>
      <c r="W30" s="91"/>
      <c r="X30" s="38">
        <f t="shared" si="5"/>
        <v>0</v>
      </c>
      <c r="Y30" s="49">
        <f>MIN(ROUNDDOWN('EXTENSION - PAY'!I31*0.05/2,2),2500)</f>
        <v>0</v>
      </c>
      <c r="Z30" s="89"/>
      <c r="AA30" s="90"/>
      <c r="AB30" s="88"/>
      <c r="AC30" s="91"/>
      <c r="AD30" s="91"/>
      <c r="AE30" s="35">
        <f>SUM(Z30:AD30)</f>
        <v>0</v>
      </c>
      <c r="AF30" s="62">
        <f t="shared" si="3"/>
        <v>0</v>
      </c>
    </row>
    <row r="31" spans="1:33" ht="18.75" customHeight="1" x14ac:dyDescent="0.25">
      <c r="A31" s="98"/>
      <c r="B31" s="33">
        <f t="shared" si="4"/>
        <v>12</v>
      </c>
      <c r="C31" s="72">
        <f>'EXTENSION - PAY'!C32</f>
        <v>0</v>
      </c>
      <c r="D31" s="72" t="e">
        <f>'EXTENSION - PAY'!D32</f>
        <v>#N/A</v>
      </c>
      <c r="E31" s="306">
        <f>'EXTENSION - PAY'!E32</f>
        <v>0</v>
      </c>
      <c r="F31" s="49">
        <f>'EXTENSION - PAY'!L32</f>
        <v>0</v>
      </c>
      <c r="G31" s="36">
        <f>ROUND('EXTENSION - PAY'!I32*0.09,2)</f>
        <v>0</v>
      </c>
      <c r="H31" s="91"/>
      <c r="I31" s="91"/>
      <c r="J31" s="91"/>
      <c r="K31" s="91"/>
      <c r="L31" s="91"/>
      <c r="M31" s="91"/>
      <c r="N31" s="91"/>
      <c r="O31" s="91"/>
      <c r="P31" s="91"/>
      <c r="Q31" s="91"/>
      <c r="R31" s="41">
        <f t="shared" si="0"/>
        <v>0</v>
      </c>
      <c r="S31" s="86"/>
      <c r="T31" s="90"/>
      <c r="U31" s="91"/>
      <c r="V31" s="91"/>
      <c r="W31" s="91"/>
      <c r="X31" s="38">
        <f t="shared" si="5"/>
        <v>0</v>
      </c>
      <c r="Y31" s="49">
        <f>MIN(ROUNDDOWN('EXTENSION - PAY'!I32*0.05/2,2),2500)</f>
        <v>0</v>
      </c>
      <c r="Z31" s="89"/>
      <c r="AA31" s="90"/>
      <c r="AB31" s="88"/>
      <c r="AC31" s="91"/>
      <c r="AD31" s="91"/>
      <c r="AE31" s="35">
        <f t="shared" si="2"/>
        <v>0</v>
      </c>
      <c r="AF31" s="62">
        <f t="shared" si="3"/>
        <v>0</v>
      </c>
    </row>
    <row r="32" spans="1:33" ht="18.75" customHeight="1" x14ac:dyDescent="0.25">
      <c r="A32" s="98"/>
      <c r="B32" s="33">
        <f t="shared" si="4"/>
        <v>13</v>
      </c>
      <c r="C32" s="72">
        <f>'EXTENSION - PAY'!C33</f>
        <v>0</v>
      </c>
      <c r="D32" s="72" t="e">
        <f>'EXTENSION - PAY'!D33</f>
        <v>#N/A</v>
      </c>
      <c r="E32" s="306">
        <f>'EXTENSION - PAY'!E33</f>
        <v>0</v>
      </c>
      <c r="F32" s="49">
        <f>'EXTENSION - PAY'!L33</f>
        <v>0</v>
      </c>
      <c r="G32" s="36">
        <f>ROUND('EXTENSION - PAY'!I33*0.09,2)</f>
        <v>0</v>
      </c>
      <c r="H32" s="91"/>
      <c r="I32" s="91"/>
      <c r="J32" s="91"/>
      <c r="K32" s="91"/>
      <c r="L32" s="91"/>
      <c r="M32" s="91"/>
      <c r="N32" s="91"/>
      <c r="O32" s="91"/>
      <c r="P32" s="91"/>
      <c r="Q32" s="91"/>
      <c r="R32" s="41">
        <f t="shared" si="0"/>
        <v>0</v>
      </c>
      <c r="S32" s="86"/>
      <c r="T32" s="90"/>
      <c r="U32" s="91"/>
      <c r="V32" s="91"/>
      <c r="W32" s="91"/>
      <c r="X32" s="38">
        <f t="shared" si="5"/>
        <v>0</v>
      </c>
      <c r="Y32" s="49">
        <f>MIN(ROUNDDOWN('EXTENSION - PAY'!I33*0.05/2,2),2500)</f>
        <v>0</v>
      </c>
      <c r="Z32" s="89"/>
      <c r="AA32" s="90"/>
      <c r="AB32" s="88"/>
      <c r="AC32" s="91"/>
      <c r="AD32" s="91"/>
      <c r="AE32" s="35">
        <f t="shared" si="2"/>
        <v>0</v>
      </c>
      <c r="AF32" s="62">
        <f t="shared" si="3"/>
        <v>0</v>
      </c>
    </row>
    <row r="33" spans="1:32" ht="18.75" customHeight="1" x14ac:dyDescent="0.25">
      <c r="A33" s="98"/>
      <c r="B33" s="33">
        <f t="shared" si="4"/>
        <v>14</v>
      </c>
      <c r="C33" s="72">
        <f>'EXTENSION - PAY'!C34</f>
        <v>0</v>
      </c>
      <c r="D33" s="72" t="e">
        <f>'EXTENSION - PAY'!D34</f>
        <v>#N/A</v>
      </c>
      <c r="E33" s="306">
        <f>'EXTENSION - PAY'!E34</f>
        <v>0</v>
      </c>
      <c r="F33" s="49">
        <f>'EXTENSION - PAY'!L34</f>
        <v>0</v>
      </c>
      <c r="G33" s="36">
        <f>ROUND('EXTENSION - PAY'!I34*0.09,2)</f>
        <v>0</v>
      </c>
      <c r="H33" s="91"/>
      <c r="I33" s="91"/>
      <c r="J33" s="91"/>
      <c r="K33" s="91"/>
      <c r="L33" s="91"/>
      <c r="M33" s="91"/>
      <c r="N33" s="91"/>
      <c r="O33" s="91"/>
      <c r="P33" s="91"/>
      <c r="Q33" s="91"/>
      <c r="R33" s="41">
        <f t="shared" si="0"/>
        <v>0</v>
      </c>
      <c r="S33" s="86"/>
      <c r="T33" s="90"/>
      <c r="U33" s="91"/>
      <c r="V33" s="91"/>
      <c r="W33" s="91"/>
      <c r="X33" s="38">
        <f t="shared" si="5"/>
        <v>0</v>
      </c>
      <c r="Y33" s="49">
        <f>MIN(ROUNDDOWN('EXTENSION - PAY'!I34*0.05/2,2),2500)</f>
        <v>0</v>
      </c>
      <c r="Z33" s="89"/>
      <c r="AA33" s="90"/>
      <c r="AB33" s="88"/>
      <c r="AC33" s="91"/>
      <c r="AD33" s="91"/>
      <c r="AE33" s="35">
        <f t="shared" si="2"/>
        <v>0</v>
      </c>
      <c r="AF33" s="62">
        <f t="shared" si="3"/>
        <v>0</v>
      </c>
    </row>
    <row r="34" spans="1:32" ht="18.75" customHeight="1" x14ac:dyDescent="0.25">
      <c r="A34" s="98"/>
      <c r="B34" s="33">
        <f t="shared" si="4"/>
        <v>15</v>
      </c>
      <c r="C34" s="72">
        <f>'EXTENSION - PAY'!C35</f>
        <v>0</v>
      </c>
      <c r="D34" s="72" t="e">
        <f>'EXTENSION - PAY'!D35</f>
        <v>#N/A</v>
      </c>
      <c r="E34" s="306">
        <f>'EXTENSION - PAY'!E35</f>
        <v>0</v>
      </c>
      <c r="F34" s="49">
        <f>'EXTENSION - PAY'!L35</f>
        <v>0</v>
      </c>
      <c r="G34" s="36">
        <f>ROUND('EXTENSION - PAY'!I35*0.09,2)</f>
        <v>0</v>
      </c>
      <c r="H34" s="91"/>
      <c r="I34" s="91"/>
      <c r="J34" s="91"/>
      <c r="K34" s="91"/>
      <c r="L34" s="91"/>
      <c r="M34" s="91"/>
      <c r="N34" s="91"/>
      <c r="O34" s="91"/>
      <c r="P34" s="91"/>
      <c r="Q34" s="91"/>
      <c r="R34" s="41">
        <f t="shared" si="0"/>
        <v>0</v>
      </c>
      <c r="S34" s="86"/>
      <c r="T34" s="90"/>
      <c r="U34" s="91"/>
      <c r="V34" s="91"/>
      <c r="W34" s="91"/>
      <c r="X34" s="38">
        <f t="shared" si="5"/>
        <v>0</v>
      </c>
      <c r="Y34" s="49">
        <f>MIN(ROUNDDOWN('EXTENSION - PAY'!I35*0.05/2,2),2500)</f>
        <v>0</v>
      </c>
      <c r="Z34" s="89"/>
      <c r="AA34" s="90"/>
      <c r="AB34" s="88"/>
      <c r="AC34" s="91"/>
      <c r="AD34" s="91"/>
      <c r="AE34" s="35">
        <f t="shared" si="2"/>
        <v>0</v>
      </c>
      <c r="AF34" s="62">
        <f t="shared" si="3"/>
        <v>0</v>
      </c>
    </row>
    <row r="35" spans="1:32" ht="18.75" customHeight="1" x14ac:dyDescent="0.25">
      <c r="A35" s="98"/>
      <c r="B35" s="33">
        <f t="shared" si="4"/>
        <v>16</v>
      </c>
      <c r="C35" s="72">
        <f>'EXTENSION - PAY'!C36</f>
        <v>0</v>
      </c>
      <c r="D35" s="72" t="e">
        <f>'EXTENSION - PAY'!D36</f>
        <v>#N/A</v>
      </c>
      <c r="E35" s="306">
        <f>'EXTENSION - PAY'!E36</f>
        <v>0</v>
      </c>
      <c r="F35" s="49">
        <f>'EXTENSION - PAY'!L36</f>
        <v>0</v>
      </c>
      <c r="G35" s="36">
        <f>ROUND('EXTENSION - PAY'!I36*0.09,2)</f>
        <v>0</v>
      </c>
      <c r="H35" s="91"/>
      <c r="I35" s="91"/>
      <c r="J35" s="91"/>
      <c r="K35" s="91"/>
      <c r="L35" s="91"/>
      <c r="M35" s="91"/>
      <c r="N35" s="91"/>
      <c r="O35" s="91"/>
      <c r="P35" s="91"/>
      <c r="Q35" s="91"/>
      <c r="R35" s="41">
        <f t="shared" si="0"/>
        <v>0</v>
      </c>
      <c r="S35" s="86"/>
      <c r="T35" s="90"/>
      <c r="U35" s="91"/>
      <c r="V35" s="91"/>
      <c r="W35" s="91"/>
      <c r="X35" s="38">
        <f t="shared" si="5"/>
        <v>0</v>
      </c>
      <c r="Y35" s="49">
        <f>MIN(ROUNDDOWN('EXTENSION - PAY'!I36*0.05/2,2),2500)</f>
        <v>0</v>
      </c>
      <c r="Z35" s="89"/>
      <c r="AA35" s="90"/>
      <c r="AB35" s="88"/>
      <c r="AC35" s="91"/>
      <c r="AD35" s="91"/>
      <c r="AE35" s="35">
        <f t="shared" si="2"/>
        <v>0</v>
      </c>
      <c r="AF35" s="62">
        <f t="shared" si="3"/>
        <v>0</v>
      </c>
    </row>
    <row r="36" spans="1:32" ht="18.75" customHeight="1" x14ac:dyDescent="0.25">
      <c r="A36" s="98"/>
      <c r="B36" s="33">
        <f t="shared" si="4"/>
        <v>17</v>
      </c>
      <c r="C36" s="72">
        <f>'EXTENSION - PAY'!C37</f>
        <v>0</v>
      </c>
      <c r="D36" s="72" t="e">
        <f>'EXTENSION - PAY'!D37</f>
        <v>#N/A</v>
      </c>
      <c r="E36" s="306">
        <f>'EXTENSION - PAY'!E37</f>
        <v>0</v>
      </c>
      <c r="F36" s="49">
        <f>'EXTENSION - PAY'!L37</f>
        <v>0</v>
      </c>
      <c r="G36" s="36">
        <f>ROUND('EXTENSION - PAY'!I37*0.09,2)</f>
        <v>0</v>
      </c>
      <c r="H36" s="91"/>
      <c r="I36" s="91"/>
      <c r="J36" s="91"/>
      <c r="K36" s="91"/>
      <c r="L36" s="91"/>
      <c r="M36" s="91"/>
      <c r="N36" s="91"/>
      <c r="O36" s="91"/>
      <c r="P36" s="91"/>
      <c r="Q36" s="91"/>
      <c r="R36" s="41">
        <f>SUM(G36:Q36)</f>
        <v>0</v>
      </c>
      <c r="S36" s="86"/>
      <c r="T36" s="90"/>
      <c r="U36" s="91"/>
      <c r="V36" s="91"/>
      <c r="W36" s="91"/>
      <c r="X36" s="38">
        <f>SUM(S36:W36)</f>
        <v>0</v>
      </c>
      <c r="Y36" s="49">
        <f>MIN(ROUNDDOWN('EXTENSION - PAY'!I37*0.05/2,2),2500)</f>
        <v>0</v>
      </c>
      <c r="Z36" s="89"/>
      <c r="AA36" s="90"/>
      <c r="AB36" s="88"/>
      <c r="AC36" s="91"/>
      <c r="AD36" s="91"/>
      <c r="AE36" s="35">
        <f>SUM(Z36:AD36)</f>
        <v>0</v>
      </c>
      <c r="AF36" s="62">
        <f>SUM(F36,R36,X36,Y36,AE36)</f>
        <v>0</v>
      </c>
    </row>
    <row r="37" spans="1:32" ht="18.75" customHeight="1" x14ac:dyDescent="0.25">
      <c r="A37" s="98"/>
      <c r="B37" s="33">
        <f t="shared" si="4"/>
        <v>18</v>
      </c>
      <c r="C37" s="72">
        <f>'EXTENSION - PAY'!C38</f>
        <v>0</v>
      </c>
      <c r="D37" s="72" t="e">
        <f>'EXTENSION - PAY'!D38</f>
        <v>#N/A</v>
      </c>
      <c r="E37" s="306">
        <f>'EXTENSION - PAY'!E38</f>
        <v>0</v>
      </c>
      <c r="F37" s="49">
        <f>'EXTENSION - PAY'!L38</f>
        <v>0</v>
      </c>
      <c r="G37" s="36">
        <f>ROUND('EXTENSION - PAY'!I38*0.09,2)</f>
        <v>0</v>
      </c>
      <c r="H37" s="91"/>
      <c r="I37" s="91"/>
      <c r="J37" s="91"/>
      <c r="K37" s="91"/>
      <c r="L37" s="91"/>
      <c r="M37" s="91"/>
      <c r="N37" s="91"/>
      <c r="O37" s="91"/>
      <c r="P37" s="91"/>
      <c r="Q37" s="91"/>
      <c r="R37" s="41">
        <f>SUM(G37:Q37)</f>
        <v>0</v>
      </c>
      <c r="S37" s="86"/>
      <c r="T37" s="90"/>
      <c r="U37" s="91"/>
      <c r="V37" s="91"/>
      <c r="W37" s="91"/>
      <c r="X37" s="38">
        <f>SUM(S37:W37)</f>
        <v>0</v>
      </c>
      <c r="Y37" s="49">
        <f>MIN(ROUNDDOWN('EXTENSION - PAY'!I38*0.05/2,2),2500)</f>
        <v>0</v>
      </c>
      <c r="Z37" s="89"/>
      <c r="AA37" s="90"/>
      <c r="AB37" s="88"/>
      <c r="AC37" s="91"/>
      <c r="AD37" s="91"/>
      <c r="AE37" s="35">
        <f>SUM(Z37:AD37)</f>
        <v>0</v>
      </c>
      <c r="AF37" s="62">
        <f>SUM(F37,R37,X37,Y37,AE37)</f>
        <v>0</v>
      </c>
    </row>
    <row r="38" spans="1:32" ht="18.75" customHeight="1" x14ac:dyDescent="0.25">
      <c r="A38" s="98"/>
      <c r="B38" s="33">
        <f t="shared" si="4"/>
        <v>19</v>
      </c>
      <c r="C38" s="72">
        <f>'EXTENSION - PAY'!C39</f>
        <v>0</v>
      </c>
      <c r="D38" s="72" t="e">
        <f>'EXTENSION - PAY'!D39</f>
        <v>#N/A</v>
      </c>
      <c r="E38" s="306">
        <f>'EXTENSION - PAY'!E39</f>
        <v>0</v>
      </c>
      <c r="F38" s="49">
        <f>'EXTENSION - PAY'!L39</f>
        <v>0</v>
      </c>
      <c r="G38" s="36">
        <f>ROUND('EXTENSION - PAY'!I39*0.09,2)</f>
        <v>0</v>
      </c>
      <c r="H38" s="91"/>
      <c r="I38" s="91"/>
      <c r="J38" s="91"/>
      <c r="K38" s="91"/>
      <c r="L38" s="91"/>
      <c r="M38" s="91"/>
      <c r="N38" s="91"/>
      <c r="O38" s="91"/>
      <c r="P38" s="91"/>
      <c r="Q38" s="91"/>
      <c r="R38" s="41">
        <f>SUM(G38:Q38)</f>
        <v>0</v>
      </c>
      <c r="S38" s="86"/>
      <c r="T38" s="90"/>
      <c r="U38" s="91"/>
      <c r="V38" s="91"/>
      <c r="W38" s="91"/>
      <c r="X38" s="38">
        <f>SUM(S38:W38)</f>
        <v>0</v>
      </c>
      <c r="Y38" s="49">
        <f>MIN(ROUNDDOWN('EXTENSION - PAY'!I39*0.05/2,2),2500)</f>
        <v>0</v>
      </c>
      <c r="Z38" s="89"/>
      <c r="AA38" s="90"/>
      <c r="AB38" s="88"/>
      <c r="AC38" s="91"/>
      <c r="AD38" s="91"/>
      <c r="AE38" s="35">
        <f>SUM(Z38:AD38)</f>
        <v>0</v>
      </c>
      <c r="AF38" s="62">
        <f>SUM(F38,R38,X38,Y38,AE38)</f>
        <v>0</v>
      </c>
    </row>
    <row r="39" spans="1:32" ht="18.75" customHeight="1" x14ac:dyDescent="0.25">
      <c r="A39" s="98"/>
      <c r="B39" s="33">
        <f t="shared" si="4"/>
        <v>20</v>
      </c>
      <c r="C39" s="72">
        <f>'EXTENSION - PAY'!C40</f>
        <v>0</v>
      </c>
      <c r="D39" s="72" t="e">
        <f>'EXTENSION - PAY'!D40</f>
        <v>#N/A</v>
      </c>
      <c r="E39" s="306">
        <f>'EXTENSION - PAY'!E40</f>
        <v>0</v>
      </c>
      <c r="F39" s="49">
        <f>'EXTENSION - PAY'!L40</f>
        <v>0</v>
      </c>
      <c r="G39" s="36">
        <f>ROUND('EXTENSION - PAY'!I40*0.09,2)</f>
        <v>0</v>
      </c>
      <c r="H39" s="91"/>
      <c r="I39" s="91"/>
      <c r="J39" s="91"/>
      <c r="K39" s="91"/>
      <c r="L39" s="91"/>
      <c r="M39" s="91"/>
      <c r="N39" s="91"/>
      <c r="O39" s="91"/>
      <c r="P39" s="91"/>
      <c r="Q39" s="91"/>
      <c r="R39" s="41">
        <f t="shared" ref="R39:R58" si="6">SUM(G39:Q39)</f>
        <v>0</v>
      </c>
      <c r="S39" s="86"/>
      <c r="T39" s="90"/>
      <c r="U39" s="91"/>
      <c r="V39" s="91"/>
      <c r="W39" s="91"/>
      <c r="X39" s="38">
        <f t="shared" ref="X39:X58" si="7">SUM(S39:W39)</f>
        <v>0</v>
      </c>
      <c r="Y39" s="49">
        <f>MIN(ROUNDDOWN('EXTENSION - PAY'!I40*0.05/2,2),2500)</f>
        <v>0</v>
      </c>
      <c r="Z39" s="89"/>
      <c r="AA39" s="90"/>
      <c r="AB39" s="88"/>
      <c r="AC39" s="91"/>
      <c r="AD39" s="91"/>
      <c r="AE39" s="35">
        <f t="shared" ref="AE39:AE58" si="8">SUM(Z39:AD39)</f>
        <v>0</v>
      </c>
      <c r="AF39" s="62">
        <f t="shared" ref="AF39:AF58" si="9">SUM(F39,R39,X39,Y39,AE39)</f>
        <v>0</v>
      </c>
    </row>
    <row r="40" spans="1:32" ht="18.75" customHeight="1" x14ac:dyDescent="0.25">
      <c r="A40" s="98"/>
      <c r="B40" s="33">
        <f t="shared" si="4"/>
        <v>21</v>
      </c>
      <c r="C40" s="72">
        <f>'EXTENSION - PAY'!C41</f>
        <v>0</v>
      </c>
      <c r="D40" s="72" t="e">
        <f>'EXTENSION - PAY'!D41</f>
        <v>#N/A</v>
      </c>
      <c r="E40" s="306">
        <f>'EXTENSION - PAY'!E41</f>
        <v>0</v>
      </c>
      <c r="F40" s="49">
        <f>'EXTENSION - PAY'!L41</f>
        <v>0</v>
      </c>
      <c r="G40" s="36">
        <f>ROUND('EXTENSION - PAY'!I41*0.09,2)</f>
        <v>0</v>
      </c>
      <c r="H40" s="91"/>
      <c r="I40" s="91"/>
      <c r="J40" s="91"/>
      <c r="K40" s="91"/>
      <c r="L40" s="91"/>
      <c r="M40" s="91"/>
      <c r="N40" s="91"/>
      <c r="O40" s="91"/>
      <c r="P40" s="91"/>
      <c r="Q40" s="91"/>
      <c r="R40" s="41">
        <f t="shared" si="6"/>
        <v>0</v>
      </c>
      <c r="S40" s="86"/>
      <c r="T40" s="90"/>
      <c r="U40" s="91"/>
      <c r="V40" s="91"/>
      <c r="W40" s="91"/>
      <c r="X40" s="38">
        <f t="shared" si="7"/>
        <v>0</v>
      </c>
      <c r="Y40" s="49">
        <f>MIN(ROUNDDOWN('EXTENSION - PAY'!I41*0.05/2,2),2500)</f>
        <v>0</v>
      </c>
      <c r="Z40" s="89"/>
      <c r="AA40" s="90"/>
      <c r="AB40" s="88"/>
      <c r="AC40" s="91"/>
      <c r="AD40" s="91"/>
      <c r="AE40" s="35">
        <f t="shared" si="8"/>
        <v>0</v>
      </c>
      <c r="AF40" s="62">
        <f t="shared" si="9"/>
        <v>0</v>
      </c>
    </row>
    <row r="41" spans="1:32" ht="18.75" customHeight="1" x14ac:dyDescent="0.25">
      <c r="A41" s="98"/>
      <c r="B41" s="33">
        <f t="shared" si="4"/>
        <v>22</v>
      </c>
      <c r="C41" s="72">
        <f>'EXTENSION - PAY'!C42</f>
        <v>0</v>
      </c>
      <c r="D41" s="72" t="e">
        <f>'EXTENSION - PAY'!D42</f>
        <v>#N/A</v>
      </c>
      <c r="E41" s="306">
        <f>'EXTENSION - PAY'!E42</f>
        <v>0</v>
      </c>
      <c r="F41" s="49">
        <f>'EXTENSION - PAY'!L42</f>
        <v>0</v>
      </c>
      <c r="G41" s="36">
        <f>ROUND('EXTENSION - PAY'!I42*0.09,2)</f>
        <v>0</v>
      </c>
      <c r="H41" s="91"/>
      <c r="I41" s="91"/>
      <c r="J41" s="91"/>
      <c r="K41" s="91"/>
      <c r="L41" s="91"/>
      <c r="M41" s="91"/>
      <c r="N41" s="91"/>
      <c r="O41" s="91"/>
      <c r="P41" s="91"/>
      <c r="Q41" s="91"/>
      <c r="R41" s="41">
        <f t="shared" si="6"/>
        <v>0</v>
      </c>
      <c r="S41" s="86"/>
      <c r="T41" s="90"/>
      <c r="U41" s="91"/>
      <c r="V41" s="91"/>
      <c r="W41" s="91"/>
      <c r="X41" s="38">
        <f t="shared" si="7"/>
        <v>0</v>
      </c>
      <c r="Y41" s="49">
        <f>MIN(ROUNDDOWN('EXTENSION - PAY'!I42*0.05/2,2),2500)</f>
        <v>0</v>
      </c>
      <c r="Z41" s="89"/>
      <c r="AA41" s="90"/>
      <c r="AB41" s="88"/>
      <c r="AC41" s="91"/>
      <c r="AD41" s="91"/>
      <c r="AE41" s="35">
        <f t="shared" si="8"/>
        <v>0</v>
      </c>
      <c r="AF41" s="62">
        <f t="shared" si="9"/>
        <v>0</v>
      </c>
    </row>
    <row r="42" spans="1:32" ht="18.75" customHeight="1" x14ac:dyDescent="0.25">
      <c r="A42" s="98"/>
      <c r="B42" s="33">
        <f t="shared" si="4"/>
        <v>23</v>
      </c>
      <c r="C42" s="72">
        <f>'EXTENSION - PAY'!C43</f>
        <v>0</v>
      </c>
      <c r="D42" s="72" t="e">
        <f>'EXTENSION - PAY'!D43</f>
        <v>#N/A</v>
      </c>
      <c r="E42" s="306">
        <f>'EXTENSION - PAY'!E43</f>
        <v>0</v>
      </c>
      <c r="F42" s="49">
        <f>'EXTENSION - PAY'!L43</f>
        <v>0</v>
      </c>
      <c r="G42" s="36">
        <f>ROUND('EXTENSION - PAY'!I43*0.09,2)</f>
        <v>0</v>
      </c>
      <c r="H42" s="91"/>
      <c r="I42" s="91"/>
      <c r="J42" s="91"/>
      <c r="K42" s="91"/>
      <c r="L42" s="91"/>
      <c r="M42" s="91"/>
      <c r="N42" s="91"/>
      <c r="O42" s="91"/>
      <c r="P42" s="91"/>
      <c r="Q42" s="91"/>
      <c r="R42" s="41">
        <f t="shared" si="6"/>
        <v>0</v>
      </c>
      <c r="S42" s="86"/>
      <c r="T42" s="90"/>
      <c r="U42" s="91"/>
      <c r="V42" s="91"/>
      <c r="W42" s="91"/>
      <c r="X42" s="38">
        <f t="shared" si="7"/>
        <v>0</v>
      </c>
      <c r="Y42" s="49">
        <f>MIN(ROUNDDOWN('EXTENSION - PAY'!I43*0.05/2,2),2500)</f>
        <v>0</v>
      </c>
      <c r="Z42" s="89"/>
      <c r="AA42" s="90"/>
      <c r="AB42" s="88"/>
      <c r="AC42" s="91"/>
      <c r="AD42" s="91"/>
      <c r="AE42" s="35">
        <f t="shared" si="8"/>
        <v>0</v>
      </c>
      <c r="AF42" s="62">
        <f t="shared" si="9"/>
        <v>0</v>
      </c>
    </row>
    <row r="43" spans="1:32" ht="18.75" customHeight="1" x14ac:dyDescent="0.25">
      <c r="A43" s="98"/>
      <c r="B43" s="33">
        <f t="shared" si="4"/>
        <v>24</v>
      </c>
      <c r="C43" s="72">
        <f>'EXTENSION - PAY'!C44</f>
        <v>0</v>
      </c>
      <c r="D43" s="72" t="e">
        <f>'EXTENSION - PAY'!D44</f>
        <v>#N/A</v>
      </c>
      <c r="E43" s="306">
        <f>'EXTENSION - PAY'!E44</f>
        <v>0</v>
      </c>
      <c r="F43" s="49">
        <f>'EXTENSION - PAY'!L44</f>
        <v>0</v>
      </c>
      <c r="G43" s="36">
        <f>ROUND('EXTENSION - PAY'!I44*0.09,2)</f>
        <v>0</v>
      </c>
      <c r="H43" s="91"/>
      <c r="I43" s="91"/>
      <c r="J43" s="91"/>
      <c r="K43" s="91"/>
      <c r="L43" s="91"/>
      <c r="M43" s="91"/>
      <c r="N43" s="91"/>
      <c r="O43" s="91"/>
      <c r="P43" s="91"/>
      <c r="Q43" s="91"/>
      <c r="R43" s="41">
        <f t="shared" si="6"/>
        <v>0</v>
      </c>
      <c r="S43" s="86"/>
      <c r="T43" s="90"/>
      <c r="U43" s="91"/>
      <c r="V43" s="91"/>
      <c r="W43" s="91"/>
      <c r="X43" s="38">
        <f t="shared" si="7"/>
        <v>0</v>
      </c>
      <c r="Y43" s="49">
        <f>MIN(ROUNDDOWN('EXTENSION - PAY'!I44*0.05/2,2),2500)</f>
        <v>0</v>
      </c>
      <c r="Z43" s="89"/>
      <c r="AA43" s="90"/>
      <c r="AB43" s="88"/>
      <c r="AC43" s="91"/>
      <c r="AD43" s="91"/>
      <c r="AE43" s="35">
        <f t="shared" si="8"/>
        <v>0</v>
      </c>
      <c r="AF43" s="62">
        <f t="shared" si="9"/>
        <v>0</v>
      </c>
    </row>
    <row r="44" spans="1:32" ht="18.75" customHeight="1" x14ac:dyDescent="0.25">
      <c r="A44" s="98"/>
      <c r="B44" s="33">
        <f t="shared" si="4"/>
        <v>25</v>
      </c>
      <c r="C44" s="72">
        <f>'EXTENSION - PAY'!C45</f>
        <v>0</v>
      </c>
      <c r="D44" s="72" t="e">
        <f>'EXTENSION - PAY'!D45</f>
        <v>#N/A</v>
      </c>
      <c r="E44" s="306">
        <f>'EXTENSION - PAY'!E45</f>
        <v>0</v>
      </c>
      <c r="F44" s="49">
        <f>'EXTENSION - PAY'!L45</f>
        <v>0</v>
      </c>
      <c r="G44" s="36">
        <f>ROUND('EXTENSION - PAY'!I45*0.09,2)</f>
        <v>0</v>
      </c>
      <c r="H44" s="91"/>
      <c r="I44" s="91"/>
      <c r="J44" s="91"/>
      <c r="K44" s="91"/>
      <c r="L44" s="91"/>
      <c r="M44" s="91"/>
      <c r="N44" s="91"/>
      <c r="O44" s="91"/>
      <c r="P44" s="91"/>
      <c r="Q44" s="91"/>
      <c r="R44" s="41">
        <f t="shared" si="6"/>
        <v>0</v>
      </c>
      <c r="S44" s="86"/>
      <c r="T44" s="90"/>
      <c r="U44" s="91"/>
      <c r="V44" s="91"/>
      <c r="W44" s="91"/>
      <c r="X44" s="38">
        <f t="shared" si="7"/>
        <v>0</v>
      </c>
      <c r="Y44" s="49">
        <f>MIN(ROUNDDOWN('EXTENSION - PAY'!I45*0.05/2,2),2500)</f>
        <v>0</v>
      </c>
      <c r="Z44" s="89"/>
      <c r="AA44" s="90"/>
      <c r="AB44" s="88"/>
      <c r="AC44" s="91"/>
      <c r="AD44" s="91"/>
      <c r="AE44" s="35">
        <f t="shared" si="8"/>
        <v>0</v>
      </c>
      <c r="AF44" s="62">
        <f t="shared" si="9"/>
        <v>0</v>
      </c>
    </row>
    <row r="45" spans="1:32" ht="18.75" customHeight="1" x14ac:dyDescent="0.25">
      <c r="A45" s="98"/>
      <c r="B45" s="33">
        <f t="shared" ref="B45:B57" si="10">+B31+1</f>
        <v>13</v>
      </c>
      <c r="C45" s="72">
        <f>'EXTENSION - PAY'!C46</f>
        <v>0</v>
      </c>
      <c r="D45" s="72" t="e">
        <f>'EXTENSION - PAY'!D46</f>
        <v>#N/A</v>
      </c>
      <c r="E45" s="306">
        <f>'EXTENSION - PAY'!E46</f>
        <v>0</v>
      </c>
      <c r="F45" s="49">
        <f>'EXTENSION - PAY'!L46</f>
        <v>0</v>
      </c>
      <c r="G45" s="36">
        <f>ROUND('EXTENSION - PAY'!I46*0.09,2)</f>
        <v>0</v>
      </c>
      <c r="H45" s="91"/>
      <c r="I45" s="91"/>
      <c r="J45" s="91"/>
      <c r="K45" s="91"/>
      <c r="L45" s="91"/>
      <c r="M45" s="91"/>
      <c r="N45" s="91"/>
      <c r="O45" s="91"/>
      <c r="P45" s="91"/>
      <c r="Q45" s="91"/>
      <c r="R45" s="41">
        <f t="shared" ref="R45:R57" si="11">SUM(G45:Q45)</f>
        <v>0</v>
      </c>
      <c r="S45" s="86"/>
      <c r="T45" s="90"/>
      <c r="U45" s="91"/>
      <c r="V45" s="91"/>
      <c r="W45" s="91"/>
      <c r="X45" s="38">
        <f t="shared" ref="X45:X57" si="12">SUM(S45:W45)</f>
        <v>0</v>
      </c>
      <c r="Y45" s="49">
        <f>MIN(ROUNDDOWN('EXTENSION - PAY'!I46*0.05/2,2),2500)</f>
        <v>0</v>
      </c>
      <c r="Z45" s="89"/>
      <c r="AA45" s="90"/>
      <c r="AB45" s="88"/>
      <c r="AC45" s="91"/>
      <c r="AD45" s="91"/>
      <c r="AE45" s="35">
        <f t="shared" ref="AE45:AE57" si="13">SUM(Z45:AD45)</f>
        <v>0</v>
      </c>
      <c r="AF45" s="62">
        <f t="shared" ref="AF45:AF57" si="14">SUM(F45,R45,X45,Y45,AE45)</f>
        <v>0</v>
      </c>
    </row>
    <row r="46" spans="1:32" ht="18.75" customHeight="1" x14ac:dyDescent="0.25">
      <c r="A46" s="98"/>
      <c r="B46" s="33">
        <f t="shared" si="10"/>
        <v>14</v>
      </c>
      <c r="C46" s="72">
        <f>'EXTENSION - PAY'!C47</f>
        <v>0</v>
      </c>
      <c r="D46" s="72" t="e">
        <f>'EXTENSION - PAY'!D47</f>
        <v>#N/A</v>
      </c>
      <c r="E46" s="306">
        <f>'EXTENSION - PAY'!E47</f>
        <v>0</v>
      </c>
      <c r="F46" s="49">
        <f>'EXTENSION - PAY'!L47</f>
        <v>0</v>
      </c>
      <c r="G46" s="36">
        <f>ROUND('EXTENSION - PAY'!I47*0.09,2)</f>
        <v>0</v>
      </c>
      <c r="H46" s="91"/>
      <c r="I46" s="91"/>
      <c r="J46" s="91"/>
      <c r="K46" s="91"/>
      <c r="L46" s="91"/>
      <c r="M46" s="91"/>
      <c r="N46" s="91"/>
      <c r="O46" s="91"/>
      <c r="P46" s="91"/>
      <c r="Q46" s="91"/>
      <c r="R46" s="41">
        <f t="shared" si="11"/>
        <v>0</v>
      </c>
      <c r="S46" s="86"/>
      <c r="T46" s="90"/>
      <c r="U46" s="91"/>
      <c r="V46" s="91"/>
      <c r="W46" s="91"/>
      <c r="X46" s="38">
        <f t="shared" si="12"/>
        <v>0</v>
      </c>
      <c r="Y46" s="49">
        <f>MIN(ROUNDDOWN('EXTENSION - PAY'!I47*0.05/2,2),2500)</f>
        <v>0</v>
      </c>
      <c r="Z46" s="89"/>
      <c r="AA46" s="90"/>
      <c r="AB46" s="88"/>
      <c r="AC46" s="91"/>
      <c r="AD46" s="91"/>
      <c r="AE46" s="35">
        <f t="shared" si="13"/>
        <v>0</v>
      </c>
      <c r="AF46" s="62">
        <f t="shared" si="14"/>
        <v>0</v>
      </c>
    </row>
    <row r="47" spans="1:32" ht="18.75" customHeight="1" x14ac:dyDescent="0.25">
      <c r="A47" s="98"/>
      <c r="B47" s="33">
        <f t="shared" si="10"/>
        <v>15</v>
      </c>
      <c r="C47" s="72">
        <f>'EXTENSION - PAY'!C48</f>
        <v>0</v>
      </c>
      <c r="D47" s="72" t="e">
        <f>'EXTENSION - PAY'!D48</f>
        <v>#N/A</v>
      </c>
      <c r="E47" s="306">
        <f>'EXTENSION - PAY'!E48</f>
        <v>0</v>
      </c>
      <c r="F47" s="49">
        <f>'EXTENSION - PAY'!L48</f>
        <v>0</v>
      </c>
      <c r="G47" s="36">
        <f>ROUND('EXTENSION - PAY'!I48*0.09,2)</f>
        <v>0</v>
      </c>
      <c r="H47" s="91"/>
      <c r="I47" s="91"/>
      <c r="J47" s="91"/>
      <c r="K47" s="91"/>
      <c r="L47" s="91"/>
      <c r="M47" s="91"/>
      <c r="N47" s="91"/>
      <c r="O47" s="91"/>
      <c r="P47" s="91"/>
      <c r="Q47" s="91"/>
      <c r="R47" s="41">
        <f t="shared" si="11"/>
        <v>0</v>
      </c>
      <c r="S47" s="86"/>
      <c r="T47" s="90"/>
      <c r="U47" s="91"/>
      <c r="V47" s="91"/>
      <c r="W47" s="91"/>
      <c r="X47" s="38">
        <f t="shared" si="12"/>
        <v>0</v>
      </c>
      <c r="Y47" s="49">
        <f>MIN(ROUNDDOWN('EXTENSION - PAY'!I48*0.05/2,2),2500)</f>
        <v>0</v>
      </c>
      <c r="Z47" s="89"/>
      <c r="AA47" s="90"/>
      <c r="AB47" s="88"/>
      <c r="AC47" s="91"/>
      <c r="AD47" s="91"/>
      <c r="AE47" s="35">
        <f t="shared" si="13"/>
        <v>0</v>
      </c>
      <c r="AF47" s="62">
        <f t="shared" si="14"/>
        <v>0</v>
      </c>
    </row>
    <row r="48" spans="1:32" ht="18.75" customHeight="1" x14ac:dyDescent="0.25">
      <c r="A48" s="98"/>
      <c r="B48" s="33">
        <f t="shared" si="10"/>
        <v>16</v>
      </c>
      <c r="C48" s="72">
        <f>'EXTENSION - PAY'!C49</f>
        <v>0</v>
      </c>
      <c r="D48" s="72" t="e">
        <f>'EXTENSION - PAY'!D49</f>
        <v>#N/A</v>
      </c>
      <c r="E48" s="306">
        <f>'EXTENSION - PAY'!E49</f>
        <v>0</v>
      </c>
      <c r="F48" s="49">
        <f>'EXTENSION - PAY'!L49</f>
        <v>0</v>
      </c>
      <c r="G48" s="36">
        <f>ROUND('EXTENSION - PAY'!I49*0.09,2)</f>
        <v>0</v>
      </c>
      <c r="H48" s="91"/>
      <c r="I48" s="91"/>
      <c r="J48" s="91"/>
      <c r="K48" s="91"/>
      <c r="L48" s="91"/>
      <c r="M48" s="91"/>
      <c r="N48" s="91"/>
      <c r="O48" s="91"/>
      <c r="P48" s="91"/>
      <c r="Q48" s="91"/>
      <c r="R48" s="41">
        <f t="shared" si="11"/>
        <v>0</v>
      </c>
      <c r="S48" s="86"/>
      <c r="T48" s="90"/>
      <c r="U48" s="91"/>
      <c r="V48" s="91"/>
      <c r="W48" s="91"/>
      <c r="X48" s="38">
        <f t="shared" si="12"/>
        <v>0</v>
      </c>
      <c r="Y48" s="49">
        <f>MIN(ROUNDDOWN('EXTENSION - PAY'!I49*0.05/2,2),2500)</f>
        <v>0</v>
      </c>
      <c r="Z48" s="89"/>
      <c r="AA48" s="90"/>
      <c r="AB48" s="88"/>
      <c r="AC48" s="91"/>
      <c r="AD48" s="91"/>
      <c r="AE48" s="35">
        <f t="shared" si="13"/>
        <v>0</v>
      </c>
      <c r="AF48" s="62">
        <f t="shared" si="14"/>
        <v>0</v>
      </c>
    </row>
    <row r="49" spans="1:32" ht="18.75" customHeight="1" x14ac:dyDescent="0.25">
      <c r="A49" s="98"/>
      <c r="B49" s="33">
        <f t="shared" si="10"/>
        <v>17</v>
      </c>
      <c r="C49" s="72">
        <f>'EXTENSION - PAY'!C50</f>
        <v>0</v>
      </c>
      <c r="D49" s="72" t="e">
        <f>'EXTENSION - PAY'!D50</f>
        <v>#N/A</v>
      </c>
      <c r="E49" s="306">
        <f>'EXTENSION - PAY'!E50</f>
        <v>0</v>
      </c>
      <c r="F49" s="49">
        <f>'EXTENSION - PAY'!L50</f>
        <v>0</v>
      </c>
      <c r="G49" s="36">
        <f>ROUND('EXTENSION - PAY'!I50*0.09,2)</f>
        <v>0</v>
      </c>
      <c r="H49" s="91"/>
      <c r="I49" s="91"/>
      <c r="J49" s="91"/>
      <c r="K49" s="91"/>
      <c r="L49" s="91"/>
      <c r="M49" s="91"/>
      <c r="N49" s="91"/>
      <c r="O49" s="91"/>
      <c r="P49" s="91"/>
      <c r="Q49" s="91"/>
      <c r="R49" s="41">
        <f t="shared" si="11"/>
        <v>0</v>
      </c>
      <c r="S49" s="86"/>
      <c r="T49" s="90"/>
      <c r="U49" s="91"/>
      <c r="V49" s="91"/>
      <c r="W49" s="91"/>
      <c r="X49" s="38">
        <f t="shared" si="12"/>
        <v>0</v>
      </c>
      <c r="Y49" s="49">
        <f>MIN(ROUNDDOWN('EXTENSION - PAY'!I50*0.05/2,2),2500)</f>
        <v>0</v>
      </c>
      <c r="Z49" s="89"/>
      <c r="AA49" s="90"/>
      <c r="AB49" s="88"/>
      <c r="AC49" s="91"/>
      <c r="AD49" s="91"/>
      <c r="AE49" s="35">
        <f t="shared" si="13"/>
        <v>0</v>
      </c>
      <c r="AF49" s="62">
        <f t="shared" si="14"/>
        <v>0</v>
      </c>
    </row>
    <row r="50" spans="1:32" ht="18.75" customHeight="1" x14ac:dyDescent="0.25">
      <c r="A50" s="98"/>
      <c r="B50" s="33">
        <f t="shared" si="10"/>
        <v>18</v>
      </c>
      <c r="C50" s="72">
        <f>'EXTENSION - PAY'!C51</f>
        <v>0</v>
      </c>
      <c r="D50" s="72" t="e">
        <f>'EXTENSION - PAY'!D51</f>
        <v>#N/A</v>
      </c>
      <c r="E50" s="306">
        <f>'EXTENSION - PAY'!E51</f>
        <v>0</v>
      </c>
      <c r="F50" s="49">
        <f>'EXTENSION - PAY'!L51</f>
        <v>0</v>
      </c>
      <c r="G50" s="36">
        <f>ROUND('EXTENSION - PAY'!I51*0.09,2)</f>
        <v>0</v>
      </c>
      <c r="H50" s="91"/>
      <c r="I50" s="91"/>
      <c r="J50" s="91"/>
      <c r="K50" s="91"/>
      <c r="L50" s="91"/>
      <c r="M50" s="91"/>
      <c r="N50" s="91"/>
      <c r="O50" s="91"/>
      <c r="P50" s="91"/>
      <c r="Q50" s="91"/>
      <c r="R50" s="41">
        <f t="shared" si="11"/>
        <v>0</v>
      </c>
      <c r="S50" s="86"/>
      <c r="T50" s="90"/>
      <c r="U50" s="91"/>
      <c r="V50" s="91"/>
      <c r="W50" s="91"/>
      <c r="X50" s="38">
        <f t="shared" si="12"/>
        <v>0</v>
      </c>
      <c r="Y50" s="49">
        <f>MIN(ROUNDDOWN('EXTENSION - PAY'!I51*0.05/2,2),2500)</f>
        <v>0</v>
      </c>
      <c r="Z50" s="89"/>
      <c r="AA50" s="90"/>
      <c r="AB50" s="88"/>
      <c r="AC50" s="91"/>
      <c r="AD50" s="91"/>
      <c r="AE50" s="35">
        <f t="shared" si="13"/>
        <v>0</v>
      </c>
      <c r="AF50" s="62">
        <f t="shared" si="14"/>
        <v>0</v>
      </c>
    </row>
    <row r="51" spans="1:32" ht="18.75" customHeight="1" x14ac:dyDescent="0.25">
      <c r="A51" s="98"/>
      <c r="B51" s="33">
        <f t="shared" si="10"/>
        <v>19</v>
      </c>
      <c r="C51" s="72">
        <f>'EXTENSION - PAY'!C52</f>
        <v>0</v>
      </c>
      <c r="D51" s="72" t="e">
        <f>'EXTENSION - PAY'!D52</f>
        <v>#N/A</v>
      </c>
      <c r="E51" s="306">
        <f>'EXTENSION - PAY'!E52</f>
        <v>0</v>
      </c>
      <c r="F51" s="49">
        <f>'EXTENSION - PAY'!L52</f>
        <v>0</v>
      </c>
      <c r="G51" s="36">
        <f>ROUND('EXTENSION - PAY'!I52*0.09,2)</f>
        <v>0</v>
      </c>
      <c r="H51" s="91"/>
      <c r="I51" s="91"/>
      <c r="J51" s="91"/>
      <c r="K51" s="91"/>
      <c r="L51" s="91"/>
      <c r="M51" s="91"/>
      <c r="N51" s="91"/>
      <c r="O51" s="91"/>
      <c r="P51" s="91"/>
      <c r="Q51" s="91"/>
      <c r="R51" s="41">
        <f t="shared" si="11"/>
        <v>0</v>
      </c>
      <c r="S51" s="86"/>
      <c r="T51" s="90"/>
      <c r="U51" s="91"/>
      <c r="V51" s="91"/>
      <c r="W51" s="91"/>
      <c r="X51" s="38">
        <f t="shared" si="12"/>
        <v>0</v>
      </c>
      <c r="Y51" s="49">
        <f>MIN(ROUNDDOWN('EXTENSION - PAY'!I52*0.05/2,2),2500)</f>
        <v>0</v>
      </c>
      <c r="Z51" s="89"/>
      <c r="AA51" s="90"/>
      <c r="AB51" s="88"/>
      <c r="AC51" s="91"/>
      <c r="AD51" s="91"/>
      <c r="AE51" s="35">
        <f t="shared" si="13"/>
        <v>0</v>
      </c>
      <c r="AF51" s="62">
        <f t="shared" si="14"/>
        <v>0</v>
      </c>
    </row>
    <row r="52" spans="1:32" ht="18.75" customHeight="1" x14ac:dyDescent="0.25">
      <c r="A52" s="98"/>
      <c r="B52" s="33">
        <f t="shared" si="10"/>
        <v>20</v>
      </c>
      <c r="C52" s="72">
        <f>'EXTENSION - PAY'!C53</f>
        <v>0</v>
      </c>
      <c r="D52" s="72" t="e">
        <f>'EXTENSION - PAY'!D53</f>
        <v>#N/A</v>
      </c>
      <c r="E52" s="306">
        <f>'EXTENSION - PAY'!E53</f>
        <v>0</v>
      </c>
      <c r="F52" s="49">
        <f>'EXTENSION - PAY'!L53</f>
        <v>0</v>
      </c>
      <c r="G52" s="36">
        <f>ROUND('EXTENSION - PAY'!I53*0.09,2)</f>
        <v>0</v>
      </c>
      <c r="H52" s="91"/>
      <c r="I52" s="91"/>
      <c r="J52" s="91"/>
      <c r="K52" s="91"/>
      <c r="L52" s="91"/>
      <c r="M52" s="91"/>
      <c r="N52" s="91"/>
      <c r="O52" s="91"/>
      <c r="P52" s="91"/>
      <c r="Q52" s="91"/>
      <c r="R52" s="41">
        <f t="shared" si="11"/>
        <v>0</v>
      </c>
      <c r="S52" s="86"/>
      <c r="T52" s="90"/>
      <c r="U52" s="91"/>
      <c r="V52" s="91"/>
      <c r="W52" s="91"/>
      <c r="X52" s="38">
        <f t="shared" si="12"/>
        <v>0</v>
      </c>
      <c r="Y52" s="49">
        <f>MIN(ROUNDDOWN('EXTENSION - PAY'!I53*0.05/2,2),2500)</f>
        <v>0</v>
      </c>
      <c r="Z52" s="89"/>
      <c r="AA52" s="90"/>
      <c r="AB52" s="88"/>
      <c r="AC52" s="91"/>
      <c r="AD52" s="91"/>
      <c r="AE52" s="35">
        <f t="shared" si="13"/>
        <v>0</v>
      </c>
      <c r="AF52" s="62">
        <f t="shared" si="14"/>
        <v>0</v>
      </c>
    </row>
    <row r="53" spans="1:32" ht="18.75" customHeight="1" x14ac:dyDescent="0.25">
      <c r="A53" s="98"/>
      <c r="B53" s="33">
        <f t="shared" si="10"/>
        <v>21</v>
      </c>
      <c r="C53" s="72">
        <f>'EXTENSION - PAY'!C54</f>
        <v>0</v>
      </c>
      <c r="D53" s="72" t="e">
        <f>'EXTENSION - PAY'!D54</f>
        <v>#N/A</v>
      </c>
      <c r="E53" s="306">
        <f>'EXTENSION - PAY'!E54</f>
        <v>0</v>
      </c>
      <c r="F53" s="49">
        <f>'EXTENSION - PAY'!L54</f>
        <v>0</v>
      </c>
      <c r="G53" s="36">
        <f>ROUND('EXTENSION - PAY'!I54*0.09,2)</f>
        <v>0</v>
      </c>
      <c r="H53" s="91"/>
      <c r="I53" s="91"/>
      <c r="J53" s="91"/>
      <c r="K53" s="91"/>
      <c r="L53" s="91"/>
      <c r="M53" s="91"/>
      <c r="N53" s="91"/>
      <c r="O53" s="91"/>
      <c r="P53" s="91"/>
      <c r="Q53" s="91"/>
      <c r="R53" s="41">
        <f t="shared" si="11"/>
        <v>0</v>
      </c>
      <c r="S53" s="86"/>
      <c r="T53" s="90"/>
      <c r="U53" s="91"/>
      <c r="V53" s="91"/>
      <c r="W53" s="91"/>
      <c r="X53" s="38">
        <f t="shared" si="12"/>
        <v>0</v>
      </c>
      <c r="Y53" s="49">
        <f>MIN(ROUNDDOWN('EXTENSION - PAY'!I54*0.05/2,2),2500)</f>
        <v>0</v>
      </c>
      <c r="Z53" s="89"/>
      <c r="AA53" s="90"/>
      <c r="AB53" s="88"/>
      <c r="AC53" s="91"/>
      <c r="AD53" s="91"/>
      <c r="AE53" s="35">
        <f t="shared" si="13"/>
        <v>0</v>
      </c>
      <c r="AF53" s="62">
        <f t="shared" si="14"/>
        <v>0</v>
      </c>
    </row>
    <row r="54" spans="1:32" ht="18.75" customHeight="1" x14ac:dyDescent="0.25">
      <c r="A54" s="98"/>
      <c r="B54" s="33">
        <f t="shared" si="10"/>
        <v>22</v>
      </c>
      <c r="C54" s="72">
        <f>'EXTENSION - PAY'!C55</f>
        <v>0</v>
      </c>
      <c r="D54" s="72" t="e">
        <f>'EXTENSION - PAY'!D55</f>
        <v>#N/A</v>
      </c>
      <c r="E54" s="306">
        <f>'EXTENSION - PAY'!E55</f>
        <v>0</v>
      </c>
      <c r="F54" s="49">
        <f>'EXTENSION - PAY'!L55</f>
        <v>0</v>
      </c>
      <c r="G54" s="36">
        <f>ROUND('EXTENSION - PAY'!I55*0.09,2)</f>
        <v>0</v>
      </c>
      <c r="H54" s="91"/>
      <c r="I54" s="91"/>
      <c r="J54" s="91"/>
      <c r="K54" s="91"/>
      <c r="L54" s="91"/>
      <c r="M54" s="91"/>
      <c r="N54" s="91"/>
      <c r="O54" s="91"/>
      <c r="P54" s="91"/>
      <c r="Q54" s="91"/>
      <c r="R54" s="41">
        <f t="shared" si="11"/>
        <v>0</v>
      </c>
      <c r="S54" s="86"/>
      <c r="T54" s="90"/>
      <c r="U54" s="91"/>
      <c r="V54" s="91"/>
      <c r="W54" s="91"/>
      <c r="X54" s="38">
        <f t="shared" si="12"/>
        <v>0</v>
      </c>
      <c r="Y54" s="49">
        <f>MIN(ROUNDDOWN('EXTENSION - PAY'!I55*0.05/2,2),2500)</f>
        <v>0</v>
      </c>
      <c r="Z54" s="89"/>
      <c r="AA54" s="90"/>
      <c r="AB54" s="88"/>
      <c r="AC54" s="91"/>
      <c r="AD54" s="91"/>
      <c r="AE54" s="35">
        <f t="shared" si="13"/>
        <v>0</v>
      </c>
      <c r="AF54" s="62">
        <f t="shared" si="14"/>
        <v>0</v>
      </c>
    </row>
    <row r="55" spans="1:32" ht="18.75" customHeight="1" x14ac:dyDescent="0.25">
      <c r="A55" s="98"/>
      <c r="B55" s="33">
        <f t="shared" si="10"/>
        <v>23</v>
      </c>
      <c r="C55" s="72">
        <f>'EXTENSION - PAY'!C56</f>
        <v>0</v>
      </c>
      <c r="D55" s="72" t="e">
        <f>'EXTENSION - PAY'!D56</f>
        <v>#N/A</v>
      </c>
      <c r="E55" s="306">
        <f>'EXTENSION - PAY'!E56</f>
        <v>0</v>
      </c>
      <c r="F55" s="49">
        <f>'EXTENSION - PAY'!L56</f>
        <v>0</v>
      </c>
      <c r="G55" s="36">
        <f>ROUND('EXTENSION - PAY'!I56*0.09,2)</f>
        <v>0</v>
      </c>
      <c r="H55" s="91"/>
      <c r="I55" s="91"/>
      <c r="J55" s="91"/>
      <c r="K55" s="91"/>
      <c r="L55" s="91"/>
      <c r="M55" s="91"/>
      <c r="N55" s="91"/>
      <c r="O55" s="91"/>
      <c r="P55" s="91"/>
      <c r="Q55" s="91"/>
      <c r="R55" s="41">
        <f t="shared" si="11"/>
        <v>0</v>
      </c>
      <c r="S55" s="86"/>
      <c r="T55" s="90"/>
      <c r="U55" s="91"/>
      <c r="V55" s="91"/>
      <c r="W55" s="91"/>
      <c r="X55" s="38">
        <f t="shared" si="12"/>
        <v>0</v>
      </c>
      <c r="Y55" s="49">
        <f>MIN(ROUNDDOWN('EXTENSION - PAY'!I56*0.05/2,2),2500)</f>
        <v>0</v>
      </c>
      <c r="Z55" s="89"/>
      <c r="AA55" s="90"/>
      <c r="AB55" s="88"/>
      <c r="AC55" s="91"/>
      <c r="AD55" s="91"/>
      <c r="AE55" s="35">
        <f t="shared" si="13"/>
        <v>0</v>
      </c>
      <c r="AF55" s="62">
        <f t="shared" si="14"/>
        <v>0</v>
      </c>
    </row>
    <row r="56" spans="1:32" ht="18.75" customHeight="1" x14ac:dyDescent="0.25">
      <c r="A56" s="98"/>
      <c r="B56" s="33">
        <f t="shared" si="10"/>
        <v>24</v>
      </c>
      <c r="C56" s="72">
        <f>'EXTENSION - PAY'!C57</f>
        <v>0</v>
      </c>
      <c r="D56" s="72" t="e">
        <f>'EXTENSION - PAY'!D57</f>
        <v>#N/A</v>
      </c>
      <c r="E56" s="306">
        <f>'EXTENSION - PAY'!E57</f>
        <v>0</v>
      </c>
      <c r="F56" s="49">
        <f>'EXTENSION - PAY'!L57</f>
        <v>0</v>
      </c>
      <c r="G56" s="36">
        <f>ROUND('EXTENSION - PAY'!I57*0.09,2)</f>
        <v>0</v>
      </c>
      <c r="H56" s="91"/>
      <c r="I56" s="91"/>
      <c r="J56" s="91"/>
      <c r="K56" s="91"/>
      <c r="L56" s="91"/>
      <c r="M56" s="91"/>
      <c r="N56" s="91"/>
      <c r="O56" s="91"/>
      <c r="P56" s="91"/>
      <c r="Q56" s="91"/>
      <c r="R56" s="41">
        <f t="shared" si="11"/>
        <v>0</v>
      </c>
      <c r="S56" s="86"/>
      <c r="T56" s="90"/>
      <c r="U56" s="91"/>
      <c r="V56" s="91"/>
      <c r="W56" s="91"/>
      <c r="X56" s="38">
        <f t="shared" si="12"/>
        <v>0</v>
      </c>
      <c r="Y56" s="49">
        <f>MIN(ROUNDDOWN('EXTENSION - PAY'!I57*0.05/2,2),2500)</f>
        <v>0</v>
      </c>
      <c r="Z56" s="89"/>
      <c r="AA56" s="90"/>
      <c r="AB56" s="88"/>
      <c r="AC56" s="91"/>
      <c r="AD56" s="91"/>
      <c r="AE56" s="35">
        <f t="shared" si="13"/>
        <v>0</v>
      </c>
      <c r="AF56" s="62">
        <f t="shared" si="14"/>
        <v>0</v>
      </c>
    </row>
    <row r="57" spans="1:32" ht="18.75" customHeight="1" x14ac:dyDescent="0.25">
      <c r="A57" s="98"/>
      <c r="B57" s="33">
        <f t="shared" si="10"/>
        <v>25</v>
      </c>
      <c r="C57" s="72">
        <f>'EXTENSION - PAY'!C58</f>
        <v>0</v>
      </c>
      <c r="D57" s="72" t="e">
        <f>'EXTENSION - PAY'!D58</f>
        <v>#N/A</v>
      </c>
      <c r="E57" s="306">
        <f>'EXTENSION - PAY'!E58</f>
        <v>0</v>
      </c>
      <c r="F57" s="49">
        <f>'EXTENSION - PAY'!L58</f>
        <v>0</v>
      </c>
      <c r="G57" s="36">
        <f>ROUND('EXTENSION - PAY'!I58*0.09,2)</f>
        <v>0</v>
      </c>
      <c r="H57" s="91"/>
      <c r="I57" s="91"/>
      <c r="J57" s="91"/>
      <c r="K57" s="91"/>
      <c r="L57" s="91"/>
      <c r="M57" s="91"/>
      <c r="N57" s="91"/>
      <c r="O57" s="91"/>
      <c r="P57" s="91"/>
      <c r="Q57" s="91"/>
      <c r="R57" s="41">
        <f t="shared" si="11"/>
        <v>0</v>
      </c>
      <c r="S57" s="86"/>
      <c r="T57" s="90"/>
      <c r="U57" s="91"/>
      <c r="V57" s="91"/>
      <c r="W57" s="91"/>
      <c r="X57" s="38">
        <f t="shared" si="12"/>
        <v>0</v>
      </c>
      <c r="Y57" s="49">
        <f>MIN(ROUNDDOWN('EXTENSION - PAY'!I58*0.05/2,2),2500)</f>
        <v>0</v>
      </c>
      <c r="Z57" s="89"/>
      <c r="AA57" s="90"/>
      <c r="AB57" s="88"/>
      <c r="AC57" s="91"/>
      <c r="AD57" s="91"/>
      <c r="AE57" s="35">
        <f t="shared" si="13"/>
        <v>0</v>
      </c>
      <c r="AF57" s="62">
        <f t="shared" si="14"/>
        <v>0</v>
      </c>
    </row>
    <row r="58" spans="1:32" ht="18.75" customHeight="1" x14ac:dyDescent="0.25">
      <c r="A58" s="98"/>
      <c r="B58" s="33">
        <f>+B44+1</f>
        <v>26</v>
      </c>
      <c r="C58" s="72">
        <f>'EXTENSION - PAY'!C59</f>
        <v>0</v>
      </c>
      <c r="D58" s="72" t="e">
        <f>'EXTENSION - PAY'!D59</f>
        <v>#N/A</v>
      </c>
      <c r="E58" s="306">
        <f>'EXTENSION - PAY'!E59</f>
        <v>0</v>
      </c>
      <c r="F58" s="49">
        <f>'EXTENSION - PAY'!L59</f>
        <v>0</v>
      </c>
      <c r="G58" s="36">
        <f>ROUND('EXTENSION - PAY'!I59*0.09,2)</f>
        <v>0</v>
      </c>
      <c r="H58" s="91"/>
      <c r="I58" s="91"/>
      <c r="J58" s="91"/>
      <c r="K58" s="91"/>
      <c r="L58" s="91"/>
      <c r="M58" s="91"/>
      <c r="N58" s="91"/>
      <c r="O58" s="91"/>
      <c r="P58" s="91"/>
      <c r="Q58" s="91"/>
      <c r="R58" s="41">
        <f t="shared" si="6"/>
        <v>0</v>
      </c>
      <c r="S58" s="86"/>
      <c r="T58" s="90"/>
      <c r="U58" s="91"/>
      <c r="V58" s="91"/>
      <c r="W58" s="91"/>
      <c r="X58" s="38">
        <f t="shared" si="7"/>
        <v>0</v>
      </c>
      <c r="Y58" s="49">
        <f>MIN(ROUNDDOWN('EXTENSION - PAY'!I59*0.05/2,2),2500)</f>
        <v>0</v>
      </c>
      <c r="Z58" s="89"/>
      <c r="AA58" s="90"/>
      <c r="AB58" s="88"/>
      <c r="AC58" s="91"/>
      <c r="AD58" s="91"/>
      <c r="AE58" s="35">
        <f t="shared" si="8"/>
        <v>0</v>
      </c>
      <c r="AF58" s="62">
        <f t="shared" si="9"/>
        <v>0</v>
      </c>
    </row>
    <row r="59" spans="1:32" ht="18.75" customHeight="1" x14ac:dyDescent="0.25">
      <c r="A59" s="98"/>
      <c r="B59" s="33"/>
      <c r="C59" s="64"/>
      <c r="D59" s="64"/>
      <c r="E59" s="63"/>
      <c r="F59" s="70"/>
      <c r="G59" s="65"/>
      <c r="H59" s="91"/>
      <c r="I59" s="91"/>
      <c r="J59" s="91"/>
      <c r="K59" s="91"/>
      <c r="L59" s="91"/>
      <c r="M59" s="91"/>
      <c r="N59" s="91"/>
      <c r="O59" s="91"/>
      <c r="P59" s="91"/>
      <c r="Q59" s="91"/>
      <c r="R59" s="71"/>
      <c r="S59" s="89"/>
      <c r="T59" s="90"/>
      <c r="U59" s="91"/>
      <c r="V59" s="91"/>
      <c r="W59" s="91"/>
      <c r="X59" s="69"/>
      <c r="Y59" s="70"/>
      <c r="Z59" s="89"/>
      <c r="AA59" s="90"/>
      <c r="AB59" s="91"/>
      <c r="AC59" s="91"/>
      <c r="AD59" s="91"/>
      <c r="AE59" s="67"/>
      <c r="AF59" s="62">
        <f t="shared" si="3"/>
        <v>0</v>
      </c>
    </row>
    <row r="60" spans="1:32" ht="18.75" customHeight="1" thickBot="1" x14ac:dyDescent="0.3">
      <c r="A60" s="98"/>
      <c r="B60" s="16"/>
      <c r="C60" s="16"/>
      <c r="D60" s="16"/>
      <c r="E60" s="324"/>
      <c r="F60" s="81">
        <f t="shared" ref="F60:AF60" si="15">SUM(F20:F59)</f>
        <v>0</v>
      </c>
      <c r="G60" s="73">
        <f>SUM(G20:G59)</f>
        <v>0</v>
      </c>
      <c r="H60" s="94">
        <f t="shared" si="15"/>
        <v>0</v>
      </c>
      <c r="I60" s="94">
        <f t="shared" si="15"/>
        <v>0</v>
      </c>
      <c r="J60" s="94">
        <f t="shared" si="15"/>
        <v>0</v>
      </c>
      <c r="K60" s="94">
        <f t="shared" si="15"/>
        <v>0</v>
      </c>
      <c r="L60" s="94">
        <f t="shared" si="15"/>
        <v>0</v>
      </c>
      <c r="M60" s="94">
        <f t="shared" si="15"/>
        <v>0</v>
      </c>
      <c r="N60" s="94">
        <f t="shared" si="15"/>
        <v>0</v>
      </c>
      <c r="O60" s="94">
        <f t="shared" si="15"/>
        <v>0</v>
      </c>
      <c r="P60" s="94">
        <f t="shared" si="15"/>
        <v>0</v>
      </c>
      <c r="Q60" s="94">
        <f t="shared" si="15"/>
        <v>0</v>
      </c>
      <c r="R60" s="74">
        <f t="shared" si="15"/>
        <v>0</v>
      </c>
      <c r="S60" s="95">
        <f t="shared" si="15"/>
        <v>0</v>
      </c>
      <c r="T60" s="96">
        <f t="shared" si="15"/>
        <v>0</v>
      </c>
      <c r="U60" s="94">
        <f t="shared" si="15"/>
        <v>0</v>
      </c>
      <c r="V60" s="94">
        <f t="shared" si="15"/>
        <v>0</v>
      </c>
      <c r="W60" s="94">
        <f t="shared" si="15"/>
        <v>0</v>
      </c>
      <c r="X60" s="80">
        <f t="shared" si="15"/>
        <v>0</v>
      </c>
      <c r="Y60" s="81">
        <f t="shared" si="15"/>
        <v>0</v>
      </c>
      <c r="Z60" s="95">
        <f t="shared" si="15"/>
        <v>0</v>
      </c>
      <c r="AA60" s="96">
        <f t="shared" si="15"/>
        <v>0</v>
      </c>
      <c r="AB60" s="94">
        <f t="shared" si="15"/>
        <v>0</v>
      </c>
      <c r="AC60" s="94">
        <f t="shared" si="15"/>
        <v>0</v>
      </c>
      <c r="AD60" s="94">
        <f t="shared" si="15"/>
        <v>0</v>
      </c>
      <c r="AE60" s="80">
        <f t="shared" si="15"/>
        <v>0</v>
      </c>
      <c r="AF60" s="81">
        <f t="shared" si="15"/>
        <v>0</v>
      </c>
    </row>
    <row r="61" spans="1:32" x14ac:dyDescent="0.25">
      <c r="R61" s="75">
        <f>R60-'EXTENSION - PAY'!M61</f>
        <v>0</v>
      </c>
      <c r="X61" s="75">
        <f>X60-'EXTENSION - PAY'!N61</f>
        <v>0</v>
      </c>
      <c r="Y61" s="75">
        <f>Y60-'EXTENSION - PAY'!O61</f>
        <v>0</v>
      </c>
      <c r="AE61" s="75">
        <f>AE60-'EXTENSION - PAY'!P61</f>
        <v>0</v>
      </c>
      <c r="AF61" s="75">
        <f>AF60-'EXTENSION - PAY'!Q61</f>
        <v>0</v>
      </c>
    </row>
    <row r="62" spans="1:32" x14ac:dyDescent="0.25">
      <c r="AF62" s="75"/>
    </row>
    <row r="63" spans="1:32" x14ac:dyDescent="0.25">
      <c r="C63" s="820" t="s">
        <v>47</v>
      </c>
      <c r="D63" s="820"/>
    </row>
    <row r="64" spans="1:32" x14ac:dyDescent="0.25">
      <c r="C64" s="827" t="s">
        <v>93</v>
      </c>
      <c r="D64" s="827"/>
    </row>
    <row r="66" spans="3:3" x14ac:dyDescent="0.25">
      <c r="C66" s="32"/>
    </row>
  </sheetData>
  <mergeCells count="48">
    <mergeCell ref="B14:Z14"/>
    <mergeCell ref="AE2:AF2"/>
    <mergeCell ref="B3:AF3"/>
    <mergeCell ref="B4:AF4"/>
    <mergeCell ref="B5:AF5"/>
    <mergeCell ref="B6:AF6"/>
    <mergeCell ref="B8:AF8"/>
    <mergeCell ref="B9:AF9"/>
    <mergeCell ref="B10:AF10"/>
    <mergeCell ref="D11:D13"/>
    <mergeCell ref="B12:C12"/>
    <mergeCell ref="AD12:AF12"/>
    <mergeCell ref="B16:B18"/>
    <mergeCell ref="C16:C18"/>
    <mergeCell ref="D16:D18"/>
    <mergeCell ref="E16:E18"/>
    <mergeCell ref="F16:F18"/>
    <mergeCell ref="S16:X16"/>
    <mergeCell ref="Y16:Y18"/>
    <mergeCell ref="Z16:AE16"/>
    <mergeCell ref="AF16:AF18"/>
    <mergeCell ref="G17:G18"/>
    <mergeCell ref="H17:H18"/>
    <mergeCell ref="I17:I18"/>
    <mergeCell ref="J17:J18"/>
    <mergeCell ref="K17:K18"/>
    <mergeCell ref="L17:L18"/>
    <mergeCell ref="G16:R16"/>
    <mergeCell ref="M17:M18"/>
    <mergeCell ref="N17:N18"/>
    <mergeCell ref="O17:O18"/>
    <mergeCell ref="P17:P18"/>
    <mergeCell ref="AD17:AD18"/>
    <mergeCell ref="AE17:AE18"/>
    <mergeCell ref="C63:D63"/>
    <mergeCell ref="C64:D64"/>
    <mergeCell ref="W17:W18"/>
    <mergeCell ref="X17:X18"/>
    <mergeCell ref="Z17:Z18"/>
    <mergeCell ref="AA17:AA18"/>
    <mergeCell ref="AB17:AB18"/>
    <mergeCell ref="AC17:AC18"/>
    <mergeCell ref="Q17:Q18"/>
    <mergeCell ref="R17:R18"/>
    <mergeCell ref="S17:S18"/>
    <mergeCell ref="T17:T18"/>
    <mergeCell ref="U17:U18"/>
    <mergeCell ref="V17:V18"/>
  </mergeCells>
  <printOptions horizontalCentered="1"/>
  <pageMargins left="0.39370078740157483" right="0.39370078740157483" top="0.39370078740157483" bottom="0.39370078740157483" header="0" footer="0.19685039370078741"/>
  <pageSetup paperSize="14" scale="41" fitToHeight="0" orientation="landscape" r:id="rId1"/>
  <headerFooter alignWithMargins="0">
    <oddHeader>&amp;R&amp;16
Sheet &amp;"Times New Roman,Bold"&amp;U&amp;P&amp;"Times New Roman,Regular"&amp;U of &amp;"Times New Roman,Bold"&amp;U&amp;N&amp;"Times New Roman,Regular"&amp;U Sheet/s</oddHeader>
  </headerFooter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1102C-CB17-45A6-BB22-FC2871A76E42}">
  <sheetPr codeName="Sheet36">
    <tabColor rgb="FF00B050"/>
  </sheetPr>
  <dimension ref="B2:O92"/>
  <sheetViews>
    <sheetView workbookViewId="0">
      <pane xSplit="7" ySplit="6" topLeftCell="H43" activePane="bottomRight" state="frozen"/>
      <selection activeCell="C55" sqref="C55"/>
      <selection pane="topRight" activeCell="C55" sqref="C55"/>
      <selection pane="bottomLeft" activeCell="C55" sqref="C55"/>
      <selection pane="bottomRight" activeCell="C43" sqref="C43:C50"/>
    </sheetView>
  </sheetViews>
  <sheetFormatPr defaultRowHeight="15.75" x14ac:dyDescent="0.25"/>
  <cols>
    <col min="1" max="2" width="9" style="379"/>
    <col min="3" max="3" width="31.625" style="379" bestFit="1" customWidth="1"/>
    <col min="4" max="4" width="21.75" style="379" bestFit="1" customWidth="1"/>
    <col min="5" max="5" width="14.25" style="382" customWidth="1"/>
    <col min="6" max="6" width="12.375" style="379" bestFit="1" customWidth="1"/>
    <col min="7" max="7" width="12.375" style="379" customWidth="1"/>
    <col min="8" max="8" width="12.375" style="382" customWidth="1"/>
    <col min="9" max="9" width="12.375" style="381" customWidth="1"/>
    <col min="10" max="10" width="12.375" style="382" customWidth="1"/>
    <col min="11" max="11" width="12.375" style="381" customWidth="1"/>
    <col min="12" max="12" width="12.375" style="382" customWidth="1"/>
    <col min="13" max="13" width="12.375" style="381" customWidth="1"/>
    <col min="14" max="14" width="12.375" style="380" bestFit="1" customWidth="1"/>
    <col min="15" max="16384" width="9" style="379"/>
  </cols>
  <sheetData>
    <row r="2" spans="2:14" ht="27.75" customHeight="1" thickBot="1" x14ac:dyDescent="0.3">
      <c r="B2" s="947" t="s">
        <v>156</v>
      </c>
      <c r="C2" s="947"/>
      <c r="D2" s="947"/>
      <c r="E2" s="947"/>
      <c r="F2" s="947"/>
      <c r="G2" s="947"/>
      <c r="H2" s="947"/>
      <c r="I2" s="947"/>
      <c r="J2" s="947"/>
      <c r="K2" s="947"/>
      <c r="L2" s="947"/>
      <c r="M2" s="947"/>
      <c r="N2" s="947"/>
    </row>
    <row r="3" spans="2:14" ht="27.75" customHeight="1" thickBot="1" x14ac:dyDescent="0.3">
      <c r="B3" s="948" t="s">
        <v>158</v>
      </c>
      <c r="C3" s="948"/>
      <c r="D3" s="948"/>
      <c r="E3" s="948"/>
      <c r="F3" s="948"/>
      <c r="G3" s="948"/>
      <c r="H3" s="948"/>
      <c r="I3" s="948"/>
      <c r="J3" s="948"/>
      <c r="K3" s="948"/>
      <c r="L3" s="948"/>
      <c r="M3" s="948"/>
      <c r="N3" s="948"/>
    </row>
    <row r="4" spans="2:14" ht="15.75" customHeight="1" x14ac:dyDescent="0.25">
      <c r="B4" s="686" t="s">
        <v>6</v>
      </c>
      <c r="C4" s="949" t="s">
        <v>1</v>
      </c>
      <c r="D4" s="958" t="s">
        <v>2</v>
      </c>
      <c r="E4" s="949" t="s">
        <v>14</v>
      </c>
      <c r="F4" s="961" t="s">
        <v>54</v>
      </c>
      <c r="G4" s="686" t="s">
        <v>157</v>
      </c>
      <c r="H4" s="952" t="s">
        <v>153</v>
      </c>
      <c r="I4" s="953"/>
      <c r="J4" s="953"/>
      <c r="K4" s="953"/>
      <c r="L4" s="953"/>
      <c r="M4" s="953"/>
      <c r="N4" s="954"/>
    </row>
    <row r="5" spans="2:14" ht="16.5" thickBot="1" x14ac:dyDescent="0.3">
      <c r="B5" s="687"/>
      <c r="C5" s="950"/>
      <c r="D5" s="959"/>
      <c r="E5" s="950"/>
      <c r="F5" s="962"/>
      <c r="G5" s="687"/>
      <c r="H5" s="955"/>
      <c r="I5" s="956"/>
      <c r="J5" s="956"/>
      <c r="K5" s="956"/>
      <c r="L5" s="956"/>
      <c r="M5" s="956"/>
      <c r="N5" s="957"/>
    </row>
    <row r="6" spans="2:14" ht="16.5" thickBot="1" x14ac:dyDescent="0.3">
      <c r="B6" s="688"/>
      <c r="C6" s="951"/>
      <c r="D6" s="960"/>
      <c r="E6" s="951"/>
      <c r="F6" s="963"/>
      <c r="G6" s="688"/>
      <c r="H6" s="428" t="s">
        <v>150</v>
      </c>
      <c r="I6" s="427" t="s">
        <v>154</v>
      </c>
      <c r="J6" s="428" t="s">
        <v>151</v>
      </c>
      <c r="K6" s="427" t="s">
        <v>154</v>
      </c>
      <c r="L6" s="428" t="s">
        <v>152</v>
      </c>
      <c r="M6" s="427" t="s">
        <v>154</v>
      </c>
      <c r="N6" s="427" t="s">
        <v>155</v>
      </c>
    </row>
    <row r="7" spans="2:14" x14ac:dyDescent="0.25">
      <c r="B7" s="426"/>
      <c r="C7" s="424"/>
      <c r="D7" s="425"/>
      <c r="E7" s="422"/>
      <c r="F7" s="424"/>
      <c r="G7" s="423"/>
      <c r="H7" s="422"/>
      <c r="I7" s="421"/>
      <c r="J7" s="422"/>
      <c r="K7" s="421"/>
      <c r="L7" s="422"/>
      <c r="M7" s="421"/>
      <c r="N7" s="420"/>
    </row>
    <row r="8" spans="2:14" x14ac:dyDescent="0.25">
      <c r="B8" s="405">
        <v>1</v>
      </c>
      <c r="C8" s="404"/>
      <c r="D8" s="403"/>
      <c r="E8" s="413"/>
      <c r="F8" s="409"/>
      <c r="G8" s="419">
        <f>'TEMPO - PAY'!I21/31</f>
        <v>0</v>
      </c>
      <c r="H8" s="416"/>
      <c r="I8" s="419">
        <f t="shared" ref="I8:I72" si="0">ROUND(G8*H8,2)</f>
        <v>0</v>
      </c>
      <c r="J8" s="416"/>
      <c r="K8" s="419">
        <f t="shared" ref="K8:K72" si="1">ROUND(G8/8*J8,2)</f>
        <v>0</v>
      </c>
      <c r="L8" s="416"/>
      <c r="M8" s="419">
        <f t="shared" ref="M8:M72" si="2">ROUND(G8/8/60*L8,2)</f>
        <v>0</v>
      </c>
      <c r="N8" s="419">
        <f t="shared" ref="N8:N72" si="3">I8+K8+M8</f>
        <v>0</v>
      </c>
    </row>
    <row r="9" spans="2:14" x14ac:dyDescent="0.25">
      <c r="B9" s="405">
        <f t="shared" ref="B9:B49" si="4">+B8+1</f>
        <v>2</v>
      </c>
      <c r="C9" s="404"/>
      <c r="D9" s="403"/>
      <c r="E9" s="402"/>
      <c r="F9" s="409"/>
      <c r="G9" s="400">
        <f>'TEMPO - PAY'!I22/31</f>
        <v>0</v>
      </c>
      <c r="H9" s="399"/>
      <c r="I9" s="398">
        <f t="shared" si="0"/>
        <v>0</v>
      </c>
      <c r="J9" s="399"/>
      <c r="K9" s="398">
        <f t="shared" si="1"/>
        <v>0</v>
      </c>
      <c r="L9" s="399"/>
      <c r="M9" s="398">
        <f t="shared" si="2"/>
        <v>0</v>
      </c>
      <c r="N9" s="397">
        <f t="shared" si="3"/>
        <v>0</v>
      </c>
    </row>
    <row r="10" spans="2:14" x14ac:dyDescent="0.25">
      <c r="B10" s="405">
        <f t="shared" si="4"/>
        <v>3</v>
      </c>
      <c r="C10" s="404"/>
      <c r="D10" s="403"/>
      <c r="E10" s="401"/>
      <c r="F10" s="409"/>
      <c r="G10" s="398">
        <f>'TEMPO - PAY'!I23/31</f>
        <v>0</v>
      </c>
      <c r="H10" s="399"/>
      <c r="I10" s="398">
        <f t="shared" si="0"/>
        <v>0</v>
      </c>
      <c r="J10" s="399"/>
      <c r="K10" s="398">
        <f t="shared" si="1"/>
        <v>0</v>
      </c>
      <c r="L10" s="399"/>
      <c r="M10" s="398">
        <f t="shared" si="2"/>
        <v>0</v>
      </c>
      <c r="N10" s="398">
        <f t="shared" si="3"/>
        <v>0</v>
      </c>
    </row>
    <row r="11" spans="2:14" x14ac:dyDescent="0.25">
      <c r="B11" s="405">
        <f t="shared" si="4"/>
        <v>4</v>
      </c>
      <c r="C11" s="404"/>
      <c r="D11" s="403"/>
      <c r="E11" s="402"/>
      <c r="F11" s="409"/>
      <c r="G11" s="400">
        <f>'TEMPO - PAY'!I24/31</f>
        <v>0</v>
      </c>
      <c r="H11" s="399"/>
      <c r="I11" s="398">
        <f t="shared" si="0"/>
        <v>0</v>
      </c>
      <c r="J11" s="399"/>
      <c r="K11" s="398">
        <f t="shared" si="1"/>
        <v>0</v>
      </c>
      <c r="L11" s="399"/>
      <c r="M11" s="398">
        <f t="shared" si="2"/>
        <v>0</v>
      </c>
      <c r="N11" s="397">
        <f t="shared" si="3"/>
        <v>0</v>
      </c>
    </row>
    <row r="12" spans="2:14" x14ac:dyDescent="0.25">
      <c r="B12" s="405">
        <f t="shared" si="4"/>
        <v>5</v>
      </c>
      <c r="C12" s="404"/>
      <c r="D12" s="403"/>
      <c r="E12" s="402"/>
      <c r="F12" s="409"/>
      <c r="G12" s="400">
        <f>'TEMPO - PAY'!I25/31</f>
        <v>0</v>
      </c>
      <c r="H12" s="399"/>
      <c r="I12" s="398">
        <f t="shared" si="0"/>
        <v>0</v>
      </c>
      <c r="J12" s="399"/>
      <c r="K12" s="398">
        <f t="shared" si="1"/>
        <v>0</v>
      </c>
      <c r="L12" s="399"/>
      <c r="M12" s="398">
        <f t="shared" si="2"/>
        <v>0</v>
      </c>
      <c r="N12" s="397">
        <f t="shared" si="3"/>
        <v>0</v>
      </c>
    </row>
    <row r="13" spans="2:14" x14ac:dyDescent="0.25">
      <c r="B13" s="405">
        <f t="shared" si="4"/>
        <v>6</v>
      </c>
      <c r="C13" s="404"/>
      <c r="D13" s="403"/>
      <c r="E13" s="402"/>
      <c r="F13" s="409"/>
      <c r="G13" s="400">
        <f>'TEMPO - PAY'!I26/31</f>
        <v>0</v>
      </c>
      <c r="H13" s="399"/>
      <c r="I13" s="398">
        <f t="shared" si="0"/>
        <v>0</v>
      </c>
      <c r="J13" s="399"/>
      <c r="K13" s="398">
        <f t="shared" si="1"/>
        <v>0</v>
      </c>
      <c r="L13" s="399"/>
      <c r="M13" s="398">
        <f t="shared" si="2"/>
        <v>0</v>
      </c>
      <c r="N13" s="397">
        <f t="shared" si="3"/>
        <v>0</v>
      </c>
    </row>
    <row r="14" spans="2:14" x14ac:dyDescent="0.25">
      <c r="B14" s="405">
        <f t="shared" si="4"/>
        <v>7</v>
      </c>
      <c r="C14" s="404"/>
      <c r="D14" s="403"/>
      <c r="E14" s="402"/>
      <c r="F14" s="409"/>
      <c r="G14" s="400">
        <f>'TEMPO - PAY'!I27/31</f>
        <v>0</v>
      </c>
      <c r="H14" s="399"/>
      <c r="I14" s="398">
        <f t="shared" si="0"/>
        <v>0</v>
      </c>
      <c r="J14" s="399"/>
      <c r="K14" s="398">
        <f t="shared" si="1"/>
        <v>0</v>
      </c>
      <c r="L14" s="399"/>
      <c r="M14" s="398">
        <f t="shared" si="2"/>
        <v>0</v>
      </c>
      <c r="N14" s="397">
        <f t="shared" si="3"/>
        <v>0</v>
      </c>
    </row>
    <row r="15" spans="2:14" x14ac:dyDescent="0.25">
      <c r="B15" s="405">
        <f t="shared" si="4"/>
        <v>8</v>
      </c>
      <c r="C15" s="404"/>
      <c r="D15" s="403"/>
      <c r="E15" s="402"/>
      <c r="F15" s="409"/>
      <c r="G15" s="400">
        <f>'TEMPO - PAY'!I28/31</f>
        <v>0</v>
      </c>
      <c r="H15" s="399"/>
      <c r="I15" s="398">
        <f t="shared" si="0"/>
        <v>0</v>
      </c>
      <c r="J15" s="399"/>
      <c r="K15" s="398">
        <f t="shared" si="1"/>
        <v>0</v>
      </c>
      <c r="L15" s="399"/>
      <c r="M15" s="398">
        <f t="shared" si="2"/>
        <v>0</v>
      </c>
      <c r="N15" s="397">
        <f t="shared" si="3"/>
        <v>0</v>
      </c>
    </row>
    <row r="16" spans="2:14" x14ac:dyDescent="0.25">
      <c r="B16" s="405">
        <f t="shared" si="4"/>
        <v>9</v>
      </c>
      <c r="C16" s="404"/>
      <c r="D16" s="403"/>
      <c r="E16" s="402"/>
      <c r="F16" s="409"/>
      <c r="G16" s="400">
        <f>'TEMPO - PAY'!I29/31</f>
        <v>0</v>
      </c>
      <c r="H16" s="399"/>
      <c r="I16" s="398">
        <f t="shared" si="0"/>
        <v>0</v>
      </c>
      <c r="J16" s="399"/>
      <c r="K16" s="398">
        <f t="shared" si="1"/>
        <v>0</v>
      </c>
      <c r="L16" s="399"/>
      <c r="M16" s="398">
        <f t="shared" si="2"/>
        <v>0</v>
      </c>
      <c r="N16" s="397">
        <f t="shared" si="3"/>
        <v>0</v>
      </c>
    </row>
    <row r="17" spans="2:14" x14ac:dyDescent="0.25">
      <c r="B17" s="405">
        <f t="shared" si="4"/>
        <v>10</v>
      </c>
      <c r="C17" s="404"/>
      <c r="D17" s="403"/>
      <c r="E17" s="402"/>
      <c r="F17" s="409"/>
      <c r="G17" s="400">
        <f>'TEMPO - PAY'!I30/31</f>
        <v>0</v>
      </c>
      <c r="H17" s="399"/>
      <c r="I17" s="398">
        <f t="shared" si="0"/>
        <v>0</v>
      </c>
      <c r="J17" s="399"/>
      <c r="K17" s="398">
        <f t="shared" si="1"/>
        <v>0</v>
      </c>
      <c r="L17" s="399"/>
      <c r="M17" s="398">
        <f t="shared" si="2"/>
        <v>0</v>
      </c>
      <c r="N17" s="397">
        <f t="shared" si="3"/>
        <v>0</v>
      </c>
    </row>
    <row r="18" spans="2:14" x14ac:dyDescent="0.25">
      <c r="B18" s="405">
        <f t="shared" si="4"/>
        <v>11</v>
      </c>
      <c r="C18" s="404"/>
      <c r="D18" s="403"/>
      <c r="E18" s="402"/>
      <c r="F18" s="409"/>
      <c r="G18" s="400">
        <f>'TEMPO - PAY'!I31/31</f>
        <v>0</v>
      </c>
      <c r="H18" s="399"/>
      <c r="I18" s="398">
        <f t="shared" si="0"/>
        <v>0</v>
      </c>
      <c r="J18" s="399"/>
      <c r="K18" s="398">
        <f t="shared" si="1"/>
        <v>0</v>
      </c>
      <c r="L18" s="399"/>
      <c r="M18" s="398">
        <f t="shared" si="2"/>
        <v>0</v>
      </c>
      <c r="N18" s="397">
        <f t="shared" si="3"/>
        <v>0</v>
      </c>
    </row>
    <row r="19" spans="2:14" x14ac:dyDescent="0.25">
      <c r="B19" s="405">
        <f t="shared" si="4"/>
        <v>12</v>
      </c>
      <c r="C19" s="415"/>
      <c r="D19" s="403"/>
      <c r="E19" s="402"/>
      <c r="F19" s="409"/>
      <c r="G19" s="400">
        <f>'TEMPO - PAY'!I32/31</f>
        <v>0</v>
      </c>
      <c r="H19" s="399"/>
      <c r="I19" s="398">
        <f t="shared" si="0"/>
        <v>0</v>
      </c>
      <c r="J19" s="399"/>
      <c r="K19" s="398">
        <f t="shared" si="1"/>
        <v>0</v>
      </c>
      <c r="L19" s="399"/>
      <c r="M19" s="398">
        <f t="shared" si="2"/>
        <v>0</v>
      </c>
      <c r="N19" s="397">
        <f t="shared" si="3"/>
        <v>0</v>
      </c>
    </row>
    <row r="20" spans="2:14" x14ac:dyDescent="0.25">
      <c r="B20" s="405">
        <f t="shared" si="4"/>
        <v>13</v>
      </c>
      <c r="C20" s="415"/>
      <c r="D20" s="403"/>
      <c r="E20" s="402"/>
      <c r="F20" s="409"/>
      <c r="G20" s="400">
        <f>'TEMPO - PAY'!I33/31</f>
        <v>0</v>
      </c>
      <c r="H20" s="399"/>
      <c r="I20" s="398">
        <f t="shared" si="0"/>
        <v>0</v>
      </c>
      <c r="J20" s="399"/>
      <c r="K20" s="398">
        <f t="shared" si="1"/>
        <v>0</v>
      </c>
      <c r="L20" s="399"/>
      <c r="M20" s="398">
        <f t="shared" si="2"/>
        <v>0</v>
      </c>
      <c r="N20" s="397">
        <f t="shared" si="3"/>
        <v>0</v>
      </c>
    </row>
    <row r="21" spans="2:14" x14ac:dyDescent="0.25">
      <c r="B21" s="405">
        <f t="shared" si="4"/>
        <v>14</v>
      </c>
      <c r="C21" s="415"/>
      <c r="D21" s="403"/>
      <c r="E21" s="402"/>
      <c r="F21" s="409"/>
      <c r="G21" s="400">
        <f>'TEMPO - PAY'!I34/31</f>
        <v>0</v>
      </c>
      <c r="H21" s="399"/>
      <c r="I21" s="398">
        <f t="shared" si="0"/>
        <v>0</v>
      </c>
      <c r="J21" s="399"/>
      <c r="K21" s="398">
        <f t="shared" si="1"/>
        <v>0</v>
      </c>
      <c r="L21" s="399"/>
      <c r="M21" s="398">
        <f t="shared" si="2"/>
        <v>0</v>
      </c>
      <c r="N21" s="397">
        <f t="shared" si="3"/>
        <v>0</v>
      </c>
    </row>
    <row r="22" spans="2:14" x14ac:dyDescent="0.25">
      <c r="B22" s="405">
        <f t="shared" si="4"/>
        <v>15</v>
      </c>
      <c r="C22" s="415"/>
      <c r="D22" s="403"/>
      <c r="E22" s="402"/>
      <c r="F22" s="409"/>
      <c r="G22" s="400">
        <f>'TEMPO - PAY'!I35/31</f>
        <v>0</v>
      </c>
      <c r="H22" s="399"/>
      <c r="I22" s="398">
        <f t="shared" si="0"/>
        <v>0</v>
      </c>
      <c r="J22" s="399"/>
      <c r="K22" s="398">
        <f t="shared" si="1"/>
        <v>0</v>
      </c>
      <c r="L22" s="399"/>
      <c r="M22" s="398">
        <f t="shared" si="2"/>
        <v>0</v>
      </c>
      <c r="N22" s="397">
        <f t="shared" si="3"/>
        <v>0</v>
      </c>
    </row>
    <row r="23" spans="2:14" x14ac:dyDescent="0.25">
      <c r="B23" s="405">
        <f t="shared" si="4"/>
        <v>16</v>
      </c>
      <c r="C23" s="415"/>
      <c r="D23" s="403"/>
      <c r="E23" s="402"/>
      <c r="F23" s="409"/>
      <c r="G23" s="400">
        <f>'TEMPO - PAY'!I36/31</f>
        <v>0</v>
      </c>
      <c r="H23" s="399"/>
      <c r="I23" s="398">
        <f t="shared" si="0"/>
        <v>0</v>
      </c>
      <c r="J23" s="399"/>
      <c r="K23" s="398">
        <f t="shared" si="1"/>
        <v>0</v>
      </c>
      <c r="L23" s="399"/>
      <c r="M23" s="398">
        <f t="shared" si="2"/>
        <v>0</v>
      </c>
      <c r="N23" s="397">
        <f t="shared" si="3"/>
        <v>0</v>
      </c>
    </row>
    <row r="24" spans="2:14" x14ac:dyDescent="0.25">
      <c r="B24" s="405">
        <f t="shared" si="4"/>
        <v>17</v>
      </c>
      <c r="C24" s="415"/>
      <c r="D24" s="414"/>
      <c r="E24" s="402"/>
      <c r="F24" s="409"/>
      <c r="G24" s="400">
        <f>'TEMPO - PAY'!I37/31</f>
        <v>0</v>
      </c>
      <c r="H24" s="399"/>
      <c r="I24" s="398">
        <f t="shared" si="0"/>
        <v>0</v>
      </c>
      <c r="J24" s="399"/>
      <c r="K24" s="398">
        <f t="shared" si="1"/>
        <v>0</v>
      </c>
      <c r="L24" s="399"/>
      <c r="M24" s="398">
        <f t="shared" si="2"/>
        <v>0</v>
      </c>
      <c r="N24" s="397">
        <f t="shared" si="3"/>
        <v>0</v>
      </c>
    </row>
    <row r="25" spans="2:14" x14ac:dyDescent="0.25">
      <c r="B25" s="405">
        <f t="shared" si="4"/>
        <v>18</v>
      </c>
      <c r="C25" s="415"/>
      <c r="D25" s="414"/>
      <c r="E25" s="402"/>
      <c r="F25" s="409"/>
      <c r="G25" s="400">
        <f>'TEMPO - PAY'!I38/31</f>
        <v>0</v>
      </c>
      <c r="H25" s="399"/>
      <c r="I25" s="398">
        <f t="shared" si="0"/>
        <v>0</v>
      </c>
      <c r="J25" s="399"/>
      <c r="K25" s="398">
        <f t="shared" si="1"/>
        <v>0</v>
      </c>
      <c r="L25" s="399"/>
      <c r="M25" s="398">
        <f t="shared" si="2"/>
        <v>0</v>
      </c>
      <c r="N25" s="397">
        <f t="shared" si="3"/>
        <v>0</v>
      </c>
    </row>
    <row r="26" spans="2:14" x14ac:dyDescent="0.25">
      <c r="B26" s="405">
        <f t="shared" si="4"/>
        <v>19</v>
      </c>
      <c r="C26" s="415"/>
      <c r="D26" s="414"/>
      <c r="E26" s="402"/>
      <c r="F26" s="409"/>
      <c r="G26" s="400">
        <f>'TEMPO - PAY'!I39/31</f>
        <v>0</v>
      </c>
      <c r="H26" s="399"/>
      <c r="I26" s="398">
        <f t="shared" si="0"/>
        <v>0</v>
      </c>
      <c r="J26" s="399"/>
      <c r="K26" s="398">
        <f t="shared" si="1"/>
        <v>0</v>
      </c>
      <c r="L26" s="399"/>
      <c r="M26" s="398">
        <f t="shared" si="2"/>
        <v>0</v>
      </c>
      <c r="N26" s="397">
        <f t="shared" si="3"/>
        <v>0</v>
      </c>
    </row>
    <row r="27" spans="2:14" x14ac:dyDescent="0.25">
      <c r="B27" s="405">
        <f t="shared" si="4"/>
        <v>20</v>
      </c>
      <c r="C27" s="415"/>
      <c r="D27" s="414"/>
      <c r="E27" s="402"/>
      <c r="F27" s="409"/>
      <c r="G27" s="400">
        <f>'TEMPO - PAY'!I40/31</f>
        <v>0</v>
      </c>
      <c r="H27" s="399"/>
      <c r="I27" s="398">
        <f t="shared" si="0"/>
        <v>0</v>
      </c>
      <c r="J27" s="399"/>
      <c r="K27" s="398">
        <f t="shared" si="1"/>
        <v>0</v>
      </c>
      <c r="L27" s="399"/>
      <c r="M27" s="398">
        <f t="shared" si="2"/>
        <v>0</v>
      </c>
      <c r="N27" s="397">
        <f t="shared" si="3"/>
        <v>0</v>
      </c>
    </row>
    <row r="28" spans="2:14" x14ac:dyDescent="0.25">
      <c r="B28" s="405">
        <f t="shared" si="4"/>
        <v>21</v>
      </c>
      <c r="C28" s="415"/>
      <c r="D28" s="414"/>
      <c r="E28" s="402"/>
      <c r="F28" s="409"/>
      <c r="G28" s="400">
        <f>'TEMPO - PAY'!I41/31</f>
        <v>0</v>
      </c>
      <c r="H28" s="399"/>
      <c r="I28" s="398">
        <f t="shared" si="0"/>
        <v>0</v>
      </c>
      <c r="J28" s="399"/>
      <c r="K28" s="398">
        <f t="shared" si="1"/>
        <v>0</v>
      </c>
      <c r="L28" s="399"/>
      <c r="M28" s="398">
        <f t="shared" si="2"/>
        <v>0</v>
      </c>
      <c r="N28" s="397">
        <f t="shared" si="3"/>
        <v>0</v>
      </c>
    </row>
    <row r="29" spans="2:14" x14ac:dyDescent="0.25">
      <c r="B29" s="405">
        <f t="shared" si="4"/>
        <v>22</v>
      </c>
      <c r="C29" s="415"/>
      <c r="D29" s="403"/>
      <c r="E29" s="402"/>
      <c r="F29" s="418"/>
      <c r="G29" s="400">
        <f>'TEMPO - PAY'!I42/31</f>
        <v>0</v>
      </c>
      <c r="H29" s="399"/>
      <c r="I29" s="398">
        <f t="shared" si="0"/>
        <v>0</v>
      </c>
      <c r="J29" s="399"/>
      <c r="K29" s="398">
        <f t="shared" si="1"/>
        <v>0</v>
      </c>
      <c r="L29" s="399"/>
      <c r="M29" s="398">
        <f t="shared" si="2"/>
        <v>0</v>
      </c>
      <c r="N29" s="397">
        <f t="shared" si="3"/>
        <v>0</v>
      </c>
    </row>
    <row r="30" spans="2:14" x14ac:dyDescent="0.25">
      <c r="B30" s="405">
        <f t="shared" si="4"/>
        <v>23</v>
      </c>
      <c r="C30" s="415"/>
      <c r="D30" s="414"/>
      <c r="E30" s="402"/>
      <c r="F30" s="409"/>
      <c r="G30" s="400">
        <f>'TEMPO - PAY'!I43/31</f>
        <v>0</v>
      </c>
      <c r="H30" s="399"/>
      <c r="I30" s="398">
        <f t="shared" si="0"/>
        <v>0</v>
      </c>
      <c r="J30" s="399"/>
      <c r="K30" s="398">
        <f t="shared" si="1"/>
        <v>0</v>
      </c>
      <c r="L30" s="399"/>
      <c r="M30" s="398">
        <f t="shared" si="2"/>
        <v>0</v>
      </c>
      <c r="N30" s="397">
        <f t="shared" si="3"/>
        <v>0</v>
      </c>
    </row>
    <row r="31" spans="2:14" x14ac:dyDescent="0.25">
      <c r="B31" s="405">
        <f t="shared" si="4"/>
        <v>24</v>
      </c>
      <c r="C31" s="404"/>
      <c r="D31" s="403"/>
      <c r="E31" s="401"/>
      <c r="F31" s="409"/>
      <c r="G31" s="417">
        <f>'TEMPO - PAY'!I44/31</f>
        <v>0</v>
      </c>
      <c r="H31" s="399"/>
      <c r="I31" s="417">
        <f t="shared" si="0"/>
        <v>0</v>
      </c>
      <c r="J31" s="399"/>
      <c r="K31" s="417">
        <f t="shared" si="1"/>
        <v>0</v>
      </c>
      <c r="L31" s="399"/>
      <c r="M31" s="417">
        <f t="shared" si="2"/>
        <v>0</v>
      </c>
      <c r="N31" s="417">
        <f t="shared" si="3"/>
        <v>0</v>
      </c>
    </row>
    <row r="32" spans="2:14" x14ac:dyDescent="0.25">
      <c r="B32" s="405">
        <f t="shared" si="4"/>
        <v>25</v>
      </c>
      <c r="C32" s="415"/>
      <c r="D32" s="414"/>
      <c r="E32" s="402"/>
      <c r="F32" s="409"/>
      <c r="G32" s="400">
        <f>'TEMPO - PAY'!I45/31</f>
        <v>0</v>
      </c>
      <c r="H32" s="399"/>
      <c r="I32" s="398">
        <f t="shared" si="0"/>
        <v>0</v>
      </c>
      <c r="J32" s="399"/>
      <c r="K32" s="398">
        <f t="shared" si="1"/>
        <v>0</v>
      </c>
      <c r="L32" s="399"/>
      <c r="M32" s="398">
        <f t="shared" si="2"/>
        <v>0</v>
      </c>
      <c r="N32" s="397">
        <f t="shared" si="3"/>
        <v>0</v>
      </c>
    </row>
    <row r="33" spans="2:15" x14ac:dyDescent="0.25">
      <c r="B33" s="405">
        <f t="shared" si="4"/>
        <v>26</v>
      </c>
      <c r="C33" s="415"/>
      <c r="D33" s="414"/>
      <c r="E33" s="413"/>
      <c r="F33" s="409"/>
      <c r="G33" s="400">
        <f>'TEMPO - PAY'!I46/31</f>
        <v>0</v>
      </c>
      <c r="H33" s="399"/>
      <c r="I33" s="398">
        <f t="shared" si="0"/>
        <v>0</v>
      </c>
      <c r="J33" s="399"/>
      <c r="K33" s="398">
        <f t="shared" si="1"/>
        <v>0</v>
      </c>
      <c r="L33" s="399"/>
      <c r="M33" s="398">
        <f t="shared" si="2"/>
        <v>0</v>
      </c>
      <c r="N33" s="397">
        <f t="shared" si="3"/>
        <v>0</v>
      </c>
    </row>
    <row r="34" spans="2:15" x14ac:dyDescent="0.25">
      <c r="B34" s="405">
        <f t="shared" si="4"/>
        <v>27</v>
      </c>
      <c r="C34" s="415"/>
      <c r="D34" s="414"/>
      <c r="E34" s="413"/>
      <c r="F34" s="409"/>
      <c r="G34" s="400">
        <f>'TEMPO - PAY'!I47/31</f>
        <v>0</v>
      </c>
      <c r="H34" s="399"/>
      <c r="I34" s="398">
        <f t="shared" si="0"/>
        <v>0</v>
      </c>
      <c r="J34" s="399"/>
      <c r="K34" s="398">
        <f t="shared" si="1"/>
        <v>0</v>
      </c>
      <c r="L34" s="399"/>
      <c r="M34" s="398">
        <f t="shared" si="2"/>
        <v>0</v>
      </c>
      <c r="N34" s="397">
        <f t="shared" si="3"/>
        <v>0</v>
      </c>
    </row>
    <row r="35" spans="2:15" x14ac:dyDescent="0.25">
      <c r="B35" s="405">
        <f t="shared" si="4"/>
        <v>28</v>
      </c>
      <c r="C35" s="415"/>
      <c r="D35" s="414"/>
      <c r="E35" s="413"/>
      <c r="F35" s="409"/>
      <c r="G35" s="400">
        <f>'TEMPO - PAY'!I48/31</f>
        <v>0</v>
      </c>
      <c r="H35" s="399"/>
      <c r="I35" s="398">
        <f t="shared" si="0"/>
        <v>0</v>
      </c>
      <c r="J35" s="399"/>
      <c r="K35" s="398">
        <f t="shared" si="1"/>
        <v>0</v>
      </c>
      <c r="L35" s="399"/>
      <c r="M35" s="398">
        <f t="shared" si="2"/>
        <v>0</v>
      </c>
      <c r="N35" s="397">
        <f t="shared" si="3"/>
        <v>0</v>
      </c>
    </row>
    <row r="36" spans="2:15" x14ac:dyDescent="0.25">
      <c r="B36" s="405">
        <f t="shared" si="4"/>
        <v>29</v>
      </c>
      <c r="C36" s="415"/>
      <c r="D36" s="414"/>
      <c r="E36" s="413"/>
      <c r="F36" s="409"/>
      <c r="G36" s="400">
        <f>'TEMPO - PAY'!I49/31</f>
        <v>0</v>
      </c>
      <c r="H36" s="399"/>
      <c r="I36" s="398">
        <f t="shared" si="0"/>
        <v>0</v>
      </c>
      <c r="J36" s="399"/>
      <c r="K36" s="398">
        <f t="shared" si="1"/>
        <v>0</v>
      </c>
      <c r="L36" s="399"/>
      <c r="M36" s="398">
        <f t="shared" si="2"/>
        <v>0</v>
      </c>
      <c r="N36" s="397">
        <f t="shared" si="3"/>
        <v>0</v>
      </c>
    </row>
    <row r="37" spans="2:15" x14ac:dyDescent="0.25">
      <c r="B37" s="405">
        <f t="shared" si="4"/>
        <v>30</v>
      </c>
      <c r="C37" s="415"/>
      <c r="D37" s="414"/>
      <c r="E37" s="413"/>
      <c r="F37" s="409"/>
      <c r="G37" s="400">
        <f>'TEMPO - PAY'!I50/31</f>
        <v>0</v>
      </c>
      <c r="H37" s="399"/>
      <c r="I37" s="398">
        <f t="shared" si="0"/>
        <v>0</v>
      </c>
      <c r="J37" s="399"/>
      <c r="K37" s="398">
        <f t="shared" si="1"/>
        <v>0</v>
      </c>
      <c r="L37" s="399"/>
      <c r="M37" s="398">
        <f t="shared" si="2"/>
        <v>0</v>
      </c>
      <c r="N37" s="397">
        <f t="shared" si="3"/>
        <v>0</v>
      </c>
    </row>
    <row r="38" spans="2:15" x14ac:dyDescent="0.25">
      <c r="B38" s="405">
        <f t="shared" si="4"/>
        <v>31</v>
      </c>
      <c r="C38" s="415"/>
      <c r="D38" s="414"/>
      <c r="E38" s="413"/>
      <c r="F38" s="409"/>
      <c r="G38" s="400">
        <f>'TEMPO - PAY'!I51/31</f>
        <v>0</v>
      </c>
      <c r="H38" s="399"/>
      <c r="I38" s="398">
        <f t="shared" si="0"/>
        <v>0</v>
      </c>
      <c r="J38" s="399"/>
      <c r="K38" s="398">
        <f t="shared" si="1"/>
        <v>0</v>
      </c>
      <c r="L38" s="399"/>
      <c r="M38" s="398">
        <f t="shared" si="2"/>
        <v>0</v>
      </c>
      <c r="N38" s="397">
        <f t="shared" si="3"/>
        <v>0</v>
      </c>
    </row>
    <row r="39" spans="2:15" x14ac:dyDescent="0.25">
      <c r="B39" s="405">
        <f t="shared" si="4"/>
        <v>32</v>
      </c>
      <c r="C39" s="415"/>
      <c r="D39" s="403"/>
      <c r="E39" s="402"/>
      <c r="F39" s="409"/>
      <c r="G39" s="400">
        <f>'TEMPO - PAY'!I52/31</f>
        <v>0</v>
      </c>
      <c r="H39" s="399"/>
      <c r="I39" s="398">
        <f t="shared" si="0"/>
        <v>0</v>
      </c>
      <c r="J39" s="399"/>
      <c r="K39" s="398">
        <f t="shared" si="1"/>
        <v>0</v>
      </c>
      <c r="L39" s="399"/>
      <c r="M39" s="398">
        <f t="shared" si="2"/>
        <v>0</v>
      </c>
      <c r="N39" s="397">
        <f t="shared" si="3"/>
        <v>0</v>
      </c>
    </row>
    <row r="40" spans="2:15" x14ac:dyDescent="0.25">
      <c r="B40" s="405">
        <f t="shared" si="4"/>
        <v>33</v>
      </c>
      <c r="C40" s="415"/>
      <c r="D40" s="414"/>
      <c r="E40" s="413"/>
      <c r="F40" s="409"/>
      <c r="G40" s="400">
        <f>'TEMPO - PAY'!I53/31</f>
        <v>0</v>
      </c>
      <c r="H40" s="399"/>
      <c r="I40" s="398">
        <f t="shared" si="0"/>
        <v>0</v>
      </c>
      <c r="J40" s="399"/>
      <c r="K40" s="398">
        <f t="shared" si="1"/>
        <v>0</v>
      </c>
      <c r="L40" s="399"/>
      <c r="M40" s="398">
        <f t="shared" si="2"/>
        <v>0</v>
      </c>
      <c r="N40" s="397">
        <f t="shared" si="3"/>
        <v>0</v>
      </c>
    </row>
    <row r="41" spans="2:15" x14ac:dyDescent="0.25">
      <c r="B41" s="405">
        <f t="shared" si="4"/>
        <v>34</v>
      </c>
      <c r="C41" s="415"/>
      <c r="D41" s="403"/>
      <c r="E41" s="402"/>
      <c r="F41" s="409"/>
      <c r="G41" s="400">
        <f>'TEMPO - PAY'!I54/31</f>
        <v>0</v>
      </c>
      <c r="H41" s="399"/>
      <c r="I41" s="398">
        <f t="shared" si="0"/>
        <v>0</v>
      </c>
      <c r="J41" s="399"/>
      <c r="K41" s="398">
        <f t="shared" si="1"/>
        <v>0</v>
      </c>
      <c r="L41" s="399"/>
      <c r="M41" s="398">
        <f t="shared" si="2"/>
        <v>0</v>
      </c>
      <c r="N41" s="397">
        <f t="shared" si="3"/>
        <v>0</v>
      </c>
    </row>
    <row r="42" spans="2:15" x14ac:dyDescent="0.25">
      <c r="B42" s="405">
        <f t="shared" si="4"/>
        <v>35</v>
      </c>
      <c r="C42" s="415"/>
      <c r="D42" s="414"/>
      <c r="E42" s="413"/>
      <c r="F42" s="409"/>
      <c r="G42" s="400">
        <f>'TEMPO - PAY'!I55/31</f>
        <v>0</v>
      </c>
      <c r="H42" s="399"/>
      <c r="I42" s="398">
        <f t="shared" si="0"/>
        <v>0</v>
      </c>
      <c r="J42" s="399"/>
      <c r="K42" s="398">
        <f t="shared" si="1"/>
        <v>0</v>
      </c>
      <c r="L42" s="399"/>
      <c r="M42" s="398">
        <f t="shared" si="2"/>
        <v>0</v>
      </c>
      <c r="N42" s="397">
        <f t="shared" si="3"/>
        <v>0</v>
      </c>
    </row>
    <row r="43" spans="2:15" x14ac:dyDescent="0.25">
      <c r="B43" s="405">
        <f t="shared" si="4"/>
        <v>36</v>
      </c>
      <c r="C43" s="415"/>
      <c r="D43" s="414"/>
      <c r="E43" s="413"/>
      <c r="F43" s="409"/>
      <c r="G43" s="400">
        <f>'TEMPO - PAY'!I56/31</f>
        <v>0</v>
      </c>
      <c r="H43" s="399"/>
      <c r="I43" s="398">
        <f t="shared" si="0"/>
        <v>0</v>
      </c>
      <c r="J43" s="399"/>
      <c r="K43" s="398">
        <f t="shared" si="1"/>
        <v>0</v>
      </c>
      <c r="L43" s="399"/>
      <c r="M43" s="398">
        <f t="shared" si="2"/>
        <v>0</v>
      </c>
      <c r="N43" s="397">
        <f t="shared" si="3"/>
        <v>0</v>
      </c>
    </row>
    <row r="44" spans="2:15" x14ac:dyDescent="0.25">
      <c r="B44" s="405">
        <f t="shared" si="4"/>
        <v>37</v>
      </c>
      <c r="C44" s="415"/>
      <c r="D44" s="414"/>
      <c r="E44" s="413"/>
      <c r="F44" s="409"/>
      <c r="G44" s="400">
        <f>'TEMPO - PAY'!I57/31</f>
        <v>0</v>
      </c>
      <c r="H44" s="399"/>
      <c r="I44" s="398">
        <f t="shared" si="0"/>
        <v>0</v>
      </c>
      <c r="J44" s="399"/>
      <c r="K44" s="398">
        <f t="shared" si="1"/>
        <v>0</v>
      </c>
      <c r="L44" s="399"/>
      <c r="M44" s="398">
        <f t="shared" si="2"/>
        <v>0</v>
      </c>
      <c r="N44" s="397">
        <f t="shared" si="3"/>
        <v>0</v>
      </c>
    </row>
    <row r="45" spans="2:15" x14ac:dyDescent="0.25">
      <c r="B45" s="405">
        <f t="shared" si="4"/>
        <v>38</v>
      </c>
      <c r="C45" s="415"/>
      <c r="D45" s="414"/>
      <c r="E45" s="413"/>
      <c r="F45" s="409"/>
      <c r="G45" s="400">
        <f>'TEMPO - PAY'!I58/31</f>
        <v>0</v>
      </c>
      <c r="H45" s="399"/>
      <c r="I45" s="398">
        <f t="shared" si="0"/>
        <v>0</v>
      </c>
      <c r="J45" s="399"/>
      <c r="K45" s="398">
        <f t="shared" si="1"/>
        <v>0</v>
      </c>
      <c r="L45" s="399"/>
      <c r="M45" s="398">
        <f t="shared" si="2"/>
        <v>0</v>
      </c>
      <c r="N45" s="397">
        <f t="shared" si="3"/>
        <v>0</v>
      </c>
    </row>
    <row r="46" spans="2:15" x14ac:dyDescent="0.25">
      <c r="B46" s="405">
        <f t="shared" si="4"/>
        <v>39</v>
      </c>
      <c r="C46" s="415"/>
      <c r="D46" s="414"/>
      <c r="E46" s="416"/>
      <c r="F46" s="409"/>
      <c r="G46" s="398">
        <f>'TEMPO - PAY'!I59/31</f>
        <v>0</v>
      </c>
      <c r="H46" s="401"/>
      <c r="I46" s="398">
        <f t="shared" si="0"/>
        <v>0</v>
      </c>
      <c r="J46" s="401"/>
      <c r="K46" s="398">
        <f t="shared" si="1"/>
        <v>0</v>
      </c>
      <c r="L46" s="401"/>
      <c r="M46" s="398">
        <f t="shared" si="2"/>
        <v>0</v>
      </c>
      <c r="N46" s="398">
        <f t="shared" si="3"/>
        <v>0</v>
      </c>
    </row>
    <row r="47" spans="2:15" x14ac:dyDescent="0.25">
      <c r="B47" s="405">
        <f t="shared" si="4"/>
        <v>40</v>
      </c>
      <c r="C47" s="415"/>
      <c r="D47" s="414"/>
      <c r="E47" s="413"/>
      <c r="F47" s="409"/>
      <c r="G47" s="400">
        <f>'TEMPO - PAY'!I60/31</f>
        <v>0</v>
      </c>
      <c r="H47" s="399"/>
      <c r="I47" s="398">
        <f t="shared" si="0"/>
        <v>0</v>
      </c>
      <c r="J47" s="399"/>
      <c r="K47" s="398">
        <f t="shared" si="1"/>
        <v>0</v>
      </c>
      <c r="L47" s="399"/>
      <c r="M47" s="398">
        <f t="shared" si="2"/>
        <v>0</v>
      </c>
      <c r="N47" s="397">
        <f t="shared" si="3"/>
        <v>0</v>
      </c>
    </row>
    <row r="48" spans="2:15" x14ac:dyDescent="0.25">
      <c r="B48" s="405">
        <f t="shared" si="4"/>
        <v>41</v>
      </c>
      <c r="C48" s="404"/>
      <c r="D48" s="403"/>
      <c r="E48" s="399"/>
      <c r="F48" s="409"/>
      <c r="G48" s="400">
        <f>'TEMPO - PAY'!I61/31</f>
        <v>0</v>
      </c>
      <c r="H48" s="399"/>
      <c r="I48" s="398">
        <f t="shared" si="0"/>
        <v>0</v>
      </c>
      <c r="J48" s="399"/>
      <c r="K48" s="398">
        <f t="shared" si="1"/>
        <v>0</v>
      </c>
      <c r="L48" s="399"/>
      <c r="M48" s="398">
        <f t="shared" si="2"/>
        <v>0</v>
      </c>
      <c r="N48" s="397">
        <f t="shared" si="3"/>
        <v>0</v>
      </c>
      <c r="O48" s="388"/>
    </row>
    <row r="49" spans="2:14" x14ac:dyDescent="0.25">
      <c r="B49" s="405">
        <f t="shared" si="4"/>
        <v>42</v>
      </c>
      <c r="C49" s="412"/>
      <c r="D49" s="411"/>
      <c r="E49" s="410"/>
      <c r="F49" s="409"/>
      <c r="G49" s="408">
        <f>'TEMPO - PAY'!I62/31</f>
        <v>0</v>
      </c>
      <c r="H49" s="407"/>
      <c r="I49" s="406">
        <f t="shared" si="0"/>
        <v>0</v>
      </c>
      <c r="J49" s="407"/>
      <c r="K49" s="406">
        <f t="shared" si="1"/>
        <v>0</v>
      </c>
      <c r="L49" s="407"/>
      <c r="M49" s="406">
        <f t="shared" si="2"/>
        <v>0</v>
      </c>
      <c r="N49" s="406">
        <f t="shared" si="3"/>
        <v>0</v>
      </c>
    </row>
    <row r="50" spans="2:14" x14ac:dyDescent="0.25">
      <c r="B50" s="405">
        <f t="shared" ref="B50:B71" si="5">+B27+1</f>
        <v>21</v>
      </c>
      <c r="C50" s="404"/>
      <c r="D50" s="403"/>
      <c r="E50" s="402"/>
      <c r="F50" s="401"/>
      <c r="G50" s="400">
        <f>'TEMPO - PAY'!I41/31</f>
        <v>0</v>
      </c>
      <c r="H50" s="399"/>
      <c r="I50" s="398">
        <f t="shared" ref="I50:I71" si="6">ROUND(G50*H50,2)</f>
        <v>0</v>
      </c>
      <c r="J50" s="399"/>
      <c r="K50" s="398">
        <f t="shared" ref="K50:K71" si="7">ROUND(G50/8*J50,2)</f>
        <v>0</v>
      </c>
      <c r="L50" s="399"/>
      <c r="M50" s="398">
        <f t="shared" ref="M50:M71" si="8">ROUND(G50/8/60*L50,2)</f>
        <v>0</v>
      </c>
      <c r="N50" s="397">
        <f t="shared" ref="N50:N71" si="9">I50+K50+M50</f>
        <v>0</v>
      </c>
    </row>
    <row r="51" spans="2:14" x14ac:dyDescent="0.25">
      <c r="B51" s="405">
        <f t="shared" si="5"/>
        <v>22</v>
      </c>
      <c r="C51" s="404"/>
      <c r="D51" s="403"/>
      <c r="E51" s="402"/>
      <c r="F51" s="401"/>
      <c r="G51" s="400">
        <f>'TEMPO - PAY'!I42/31</f>
        <v>0</v>
      </c>
      <c r="H51" s="399"/>
      <c r="I51" s="398">
        <f t="shared" si="6"/>
        <v>0</v>
      </c>
      <c r="J51" s="399"/>
      <c r="K51" s="398">
        <f t="shared" si="7"/>
        <v>0</v>
      </c>
      <c r="L51" s="399"/>
      <c r="M51" s="398">
        <f t="shared" si="8"/>
        <v>0</v>
      </c>
      <c r="N51" s="397">
        <f t="shared" si="9"/>
        <v>0</v>
      </c>
    </row>
    <row r="52" spans="2:14" x14ac:dyDescent="0.25">
      <c r="B52" s="405">
        <f t="shared" si="5"/>
        <v>23</v>
      </c>
      <c r="C52" s="404"/>
      <c r="D52" s="403"/>
      <c r="E52" s="402"/>
      <c r="F52" s="401"/>
      <c r="G52" s="400">
        <f>'TEMPO - PAY'!I43/31</f>
        <v>0</v>
      </c>
      <c r="H52" s="399"/>
      <c r="I52" s="398">
        <f t="shared" si="6"/>
        <v>0</v>
      </c>
      <c r="J52" s="399"/>
      <c r="K52" s="398">
        <f t="shared" si="7"/>
        <v>0</v>
      </c>
      <c r="L52" s="399"/>
      <c r="M52" s="398">
        <f t="shared" si="8"/>
        <v>0</v>
      </c>
      <c r="N52" s="397">
        <f t="shared" si="9"/>
        <v>0</v>
      </c>
    </row>
    <row r="53" spans="2:14" x14ac:dyDescent="0.25">
      <c r="B53" s="405">
        <f t="shared" si="5"/>
        <v>24</v>
      </c>
      <c r="C53" s="404"/>
      <c r="D53" s="403"/>
      <c r="E53" s="402"/>
      <c r="F53" s="401"/>
      <c r="G53" s="400">
        <f>'TEMPO - PAY'!I44/31</f>
        <v>0</v>
      </c>
      <c r="H53" s="399"/>
      <c r="I53" s="398">
        <f t="shared" si="6"/>
        <v>0</v>
      </c>
      <c r="J53" s="399"/>
      <c r="K53" s="398">
        <f t="shared" si="7"/>
        <v>0</v>
      </c>
      <c r="L53" s="399"/>
      <c r="M53" s="398">
        <f t="shared" si="8"/>
        <v>0</v>
      </c>
      <c r="N53" s="397">
        <f t="shared" si="9"/>
        <v>0</v>
      </c>
    </row>
    <row r="54" spans="2:14" x14ac:dyDescent="0.25">
      <c r="B54" s="405">
        <f t="shared" si="5"/>
        <v>25</v>
      </c>
      <c r="C54" s="404"/>
      <c r="D54" s="403"/>
      <c r="E54" s="402"/>
      <c r="F54" s="401"/>
      <c r="G54" s="400">
        <f>'TEMPO - PAY'!I45/31</f>
        <v>0</v>
      </c>
      <c r="H54" s="399"/>
      <c r="I54" s="398">
        <f t="shared" si="6"/>
        <v>0</v>
      </c>
      <c r="J54" s="399"/>
      <c r="K54" s="398">
        <f t="shared" si="7"/>
        <v>0</v>
      </c>
      <c r="L54" s="399"/>
      <c r="M54" s="398">
        <f t="shared" si="8"/>
        <v>0</v>
      </c>
      <c r="N54" s="397">
        <f t="shared" si="9"/>
        <v>0</v>
      </c>
    </row>
    <row r="55" spans="2:14" x14ac:dyDescent="0.25">
      <c r="B55" s="405">
        <f t="shared" si="5"/>
        <v>26</v>
      </c>
      <c r="C55" s="404"/>
      <c r="D55" s="403"/>
      <c r="E55" s="402"/>
      <c r="F55" s="401"/>
      <c r="G55" s="400">
        <f>'TEMPO - PAY'!I46/31</f>
        <v>0</v>
      </c>
      <c r="H55" s="399"/>
      <c r="I55" s="398">
        <f t="shared" si="6"/>
        <v>0</v>
      </c>
      <c r="J55" s="399"/>
      <c r="K55" s="398">
        <f t="shared" si="7"/>
        <v>0</v>
      </c>
      <c r="L55" s="399"/>
      <c r="M55" s="398">
        <f t="shared" si="8"/>
        <v>0</v>
      </c>
      <c r="N55" s="397">
        <f t="shared" si="9"/>
        <v>0</v>
      </c>
    </row>
    <row r="56" spans="2:14" x14ac:dyDescent="0.25">
      <c r="B56" s="405">
        <f t="shared" si="5"/>
        <v>27</v>
      </c>
      <c r="C56" s="404"/>
      <c r="D56" s="403"/>
      <c r="E56" s="402"/>
      <c r="F56" s="401"/>
      <c r="G56" s="400">
        <f>'TEMPO - PAY'!I47/31</f>
        <v>0</v>
      </c>
      <c r="H56" s="399"/>
      <c r="I56" s="398">
        <f t="shared" si="6"/>
        <v>0</v>
      </c>
      <c r="J56" s="399"/>
      <c r="K56" s="398">
        <f t="shared" si="7"/>
        <v>0</v>
      </c>
      <c r="L56" s="399"/>
      <c r="M56" s="398">
        <f t="shared" si="8"/>
        <v>0</v>
      </c>
      <c r="N56" s="397">
        <f t="shared" si="9"/>
        <v>0</v>
      </c>
    </row>
    <row r="57" spans="2:14" x14ac:dyDescent="0.25">
      <c r="B57" s="405">
        <f t="shared" si="5"/>
        <v>28</v>
      </c>
      <c r="C57" s="404"/>
      <c r="D57" s="403"/>
      <c r="E57" s="402"/>
      <c r="F57" s="401"/>
      <c r="G57" s="400">
        <f>'TEMPO - PAY'!I48/31</f>
        <v>0</v>
      </c>
      <c r="H57" s="399"/>
      <c r="I57" s="398">
        <f t="shared" si="6"/>
        <v>0</v>
      </c>
      <c r="J57" s="399"/>
      <c r="K57" s="398">
        <f t="shared" si="7"/>
        <v>0</v>
      </c>
      <c r="L57" s="399"/>
      <c r="M57" s="398">
        <f t="shared" si="8"/>
        <v>0</v>
      </c>
      <c r="N57" s="397">
        <f t="shared" si="9"/>
        <v>0</v>
      </c>
    </row>
    <row r="58" spans="2:14" x14ac:dyDescent="0.25">
      <c r="B58" s="405">
        <f t="shared" si="5"/>
        <v>29</v>
      </c>
      <c r="C58" s="404"/>
      <c r="D58" s="403"/>
      <c r="E58" s="402"/>
      <c r="F58" s="401"/>
      <c r="G58" s="400">
        <f>'TEMPO - PAY'!I49/31</f>
        <v>0</v>
      </c>
      <c r="H58" s="399"/>
      <c r="I58" s="398">
        <f t="shared" si="6"/>
        <v>0</v>
      </c>
      <c r="J58" s="399"/>
      <c r="K58" s="398">
        <f t="shared" si="7"/>
        <v>0</v>
      </c>
      <c r="L58" s="399"/>
      <c r="M58" s="398">
        <f t="shared" si="8"/>
        <v>0</v>
      </c>
      <c r="N58" s="397">
        <f t="shared" si="9"/>
        <v>0</v>
      </c>
    </row>
    <row r="59" spans="2:14" x14ac:dyDescent="0.25">
      <c r="B59" s="405">
        <f t="shared" si="5"/>
        <v>30</v>
      </c>
      <c r="C59" s="404"/>
      <c r="D59" s="403"/>
      <c r="E59" s="402"/>
      <c r="F59" s="401"/>
      <c r="G59" s="400">
        <f>'TEMPO - PAY'!I50/31</f>
        <v>0</v>
      </c>
      <c r="H59" s="399"/>
      <c r="I59" s="398">
        <f t="shared" si="6"/>
        <v>0</v>
      </c>
      <c r="J59" s="399"/>
      <c r="K59" s="398">
        <f t="shared" si="7"/>
        <v>0</v>
      </c>
      <c r="L59" s="399"/>
      <c r="M59" s="398">
        <f t="shared" si="8"/>
        <v>0</v>
      </c>
      <c r="N59" s="397">
        <f t="shared" si="9"/>
        <v>0</v>
      </c>
    </row>
    <row r="60" spans="2:14" x14ac:dyDescent="0.25">
      <c r="B60" s="405">
        <f t="shared" si="5"/>
        <v>31</v>
      </c>
      <c r="C60" s="404"/>
      <c r="D60" s="403"/>
      <c r="E60" s="402"/>
      <c r="F60" s="401"/>
      <c r="G60" s="400">
        <f>'TEMPO - PAY'!I51/31</f>
        <v>0</v>
      </c>
      <c r="H60" s="399"/>
      <c r="I60" s="398">
        <f t="shared" si="6"/>
        <v>0</v>
      </c>
      <c r="J60" s="399"/>
      <c r="K60" s="398">
        <f t="shared" si="7"/>
        <v>0</v>
      </c>
      <c r="L60" s="399"/>
      <c r="M60" s="398">
        <f t="shared" si="8"/>
        <v>0</v>
      </c>
      <c r="N60" s="397">
        <f t="shared" si="9"/>
        <v>0</v>
      </c>
    </row>
    <row r="61" spans="2:14" x14ac:dyDescent="0.25">
      <c r="B61" s="405">
        <f t="shared" si="5"/>
        <v>32</v>
      </c>
      <c r="C61" s="404"/>
      <c r="D61" s="403"/>
      <c r="E61" s="402"/>
      <c r="F61" s="401"/>
      <c r="G61" s="400">
        <f>'TEMPO - PAY'!I52/31</f>
        <v>0</v>
      </c>
      <c r="H61" s="399"/>
      <c r="I61" s="398">
        <f t="shared" si="6"/>
        <v>0</v>
      </c>
      <c r="J61" s="399"/>
      <c r="K61" s="398">
        <f t="shared" si="7"/>
        <v>0</v>
      </c>
      <c r="L61" s="399"/>
      <c r="M61" s="398">
        <f t="shared" si="8"/>
        <v>0</v>
      </c>
      <c r="N61" s="397">
        <f t="shared" si="9"/>
        <v>0</v>
      </c>
    </row>
    <row r="62" spans="2:14" x14ac:dyDescent="0.25">
      <c r="B62" s="405">
        <f t="shared" si="5"/>
        <v>33</v>
      </c>
      <c r="C62" s="404"/>
      <c r="D62" s="403"/>
      <c r="E62" s="402"/>
      <c r="F62" s="401"/>
      <c r="G62" s="400">
        <f>'TEMPO - PAY'!I53/31</f>
        <v>0</v>
      </c>
      <c r="H62" s="399"/>
      <c r="I62" s="398">
        <f t="shared" si="6"/>
        <v>0</v>
      </c>
      <c r="J62" s="399"/>
      <c r="K62" s="398">
        <f t="shared" si="7"/>
        <v>0</v>
      </c>
      <c r="L62" s="399"/>
      <c r="M62" s="398">
        <f t="shared" si="8"/>
        <v>0</v>
      </c>
      <c r="N62" s="397">
        <f t="shared" si="9"/>
        <v>0</v>
      </c>
    </row>
    <row r="63" spans="2:14" x14ac:dyDescent="0.25">
      <c r="B63" s="405">
        <f t="shared" si="5"/>
        <v>34</v>
      </c>
      <c r="C63" s="404"/>
      <c r="D63" s="403"/>
      <c r="E63" s="402"/>
      <c r="F63" s="401"/>
      <c r="G63" s="400">
        <f>'TEMPO - PAY'!I54/31</f>
        <v>0</v>
      </c>
      <c r="H63" s="399"/>
      <c r="I63" s="398">
        <f t="shared" si="6"/>
        <v>0</v>
      </c>
      <c r="J63" s="399"/>
      <c r="K63" s="398">
        <f t="shared" si="7"/>
        <v>0</v>
      </c>
      <c r="L63" s="399"/>
      <c r="M63" s="398">
        <f t="shared" si="8"/>
        <v>0</v>
      </c>
      <c r="N63" s="397">
        <f t="shared" si="9"/>
        <v>0</v>
      </c>
    </row>
    <row r="64" spans="2:14" x14ac:dyDescent="0.25">
      <c r="B64" s="405">
        <f t="shared" si="5"/>
        <v>35</v>
      </c>
      <c r="C64" s="404"/>
      <c r="D64" s="403"/>
      <c r="E64" s="402"/>
      <c r="F64" s="401"/>
      <c r="G64" s="400">
        <f>'TEMPO - PAY'!I55/31</f>
        <v>0</v>
      </c>
      <c r="H64" s="399"/>
      <c r="I64" s="398">
        <f t="shared" si="6"/>
        <v>0</v>
      </c>
      <c r="J64" s="399"/>
      <c r="K64" s="398">
        <f t="shared" si="7"/>
        <v>0</v>
      </c>
      <c r="L64" s="399"/>
      <c r="M64" s="398">
        <f t="shared" si="8"/>
        <v>0</v>
      </c>
      <c r="N64" s="397">
        <f t="shared" si="9"/>
        <v>0</v>
      </c>
    </row>
    <row r="65" spans="2:14" x14ac:dyDescent="0.25">
      <c r="B65" s="405">
        <f t="shared" si="5"/>
        <v>36</v>
      </c>
      <c r="C65" s="404"/>
      <c r="D65" s="403"/>
      <c r="E65" s="402"/>
      <c r="F65" s="401"/>
      <c r="G65" s="400">
        <f>'TEMPO - PAY'!I56/31</f>
        <v>0</v>
      </c>
      <c r="H65" s="399"/>
      <c r="I65" s="398">
        <f t="shared" si="6"/>
        <v>0</v>
      </c>
      <c r="J65" s="399"/>
      <c r="K65" s="398">
        <f t="shared" si="7"/>
        <v>0</v>
      </c>
      <c r="L65" s="399"/>
      <c r="M65" s="398">
        <f t="shared" si="8"/>
        <v>0</v>
      </c>
      <c r="N65" s="397">
        <f t="shared" si="9"/>
        <v>0</v>
      </c>
    </row>
    <row r="66" spans="2:14" x14ac:dyDescent="0.25">
      <c r="B66" s="405">
        <f t="shared" si="5"/>
        <v>37</v>
      </c>
      <c r="C66" s="404"/>
      <c r="D66" s="403"/>
      <c r="E66" s="402"/>
      <c r="F66" s="401"/>
      <c r="G66" s="400">
        <f>'TEMPO - PAY'!I57/31</f>
        <v>0</v>
      </c>
      <c r="H66" s="399"/>
      <c r="I66" s="398">
        <f t="shared" si="6"/>
        <v>0</v>
      </c>
      <c r="J66" s="399"/>
      <c r="K66" s="398">
        <f t="shared" si="7"/>
        <v>0</v>
      </c>
      <c r="L66" s="399"/>
      <c r="M66" s="398">
        <f t="shared" si="8"/>
        <v>0</v>
      </c>
      <c r="N66" s="397">
        <f t="shared" si="9"/>
        <v>0</v>
      </c>
    </row>
    <row r="67" spans="2:14" x14ac:dyDescent="0.25">
      <c r="B67" s="405">
        <f t="shared" si="5"/>
        <v>38</v>
      </c>
      <c r="C67" s="404"/>
      <c r="D67" s="403"/>
      <c r="E67" s="402"/>
      <c r="F67" s="401"/>
      <c r="G67" s="400">
        <f>'TEMPO - PAY'!I58/31</f>
        <v>0</v>
      </c>
      <c r="H67" s="399"/>
      <c r="I67" s="398">
        <f t="shared" si="6"/>
        <v>0</v>
      </c>
      <c r="J67" s="399"/>
      <c r="K67" s="398">
        <f t="shared" si="7"/>
        <v>0</v>
      </c>
      <c r="L67" s="399"/>
      <c r="M67" s="398">
        <f t="shared" si="8"/>
        <v>0</v>
      </c>
      <c r="N67" s="397">
        <f t="shared" si="9"/>
        <v>0</v>
      </c>
    </row>
    <row r="68" spans="2:14" x14ac:dyDescent="0.25">
      <c r="B68" s="405">
        <f t="shared" si="5"/>
        <v>39</v>
      </c>
      <c r="C68" s="404"/>
      <c r="D68" s="403"/>
      <c r="E68" s="402"/>
      <c r="F68" s="401"/>
      <c r="G68" s="400">
        <f>'TEMPO - PAY'!I59/31</f>
        <v>0</v>
      </c>
      <c r="H68" s="399"/>
      <c r="I68" s="398">
        <f t="shared" si="6"/>
        <v>0</v>
      </c>
      <c r="J68" s="399"/>
      <c r="K68" s="398">
        <f t="shared" si="7"/>
        <v>0</v>
      </c>
      <c r="L68" s="399"/>
      <c r="M68" s="398">
        <f t="shared" si="8"/>
        <v>0</v>
      </c>
      <c r="N68" s="397">
        <f t="shared" si="9"/>
        <v>0</v>
      </c>
    </row>
    <row r="69" spans="2:14" x14ac:dyDescent="0.25">
      <c r="B69" s="405">
        <f t="shared" si="5"/>
        <v>40</v>
      </c>
      <c r="C69" s="404"/>
      <c r="D69" s="403"/>
      <c r="E69" s="402"/>
      <c r="F69" s="401"/>
      <c r="G69" s="400">
        <f>'TEMPO - PAY'!I60/31</f>
        <v>0</v>
      </c>
      <c r="H69" s="399"/>
      <c r="I69" s="398">
        <f t="shared" si="6"/>
        <v>0</v>
      </c>
      <c r="J69" s="399"/>
      <c r="K69" s="398">
        <f t="shared" si="7"/>
        <v>0</v>
      </c>
      <c r="L69" s="399"/>
      <c r="M69" s="398">
        <f t="shared" si="8"/>
        <v>0</v>
      </c>
      <c r="N69" s="397">
        <f t="shared" si="9"/>
        <v>0</v>
      </c>
    </row>
    <row r="70" spans="2:14" x14ac:dyDescent="0.25">
      <c r="B70" s="405">
        <f t="shared" si="5"/>
        <v>41</v>
      </c>
      <c r="C70" s="404"/>
      <c r="D70" s="403"/>
      <c r="E70" s="402"/>
      <c r="F70" s="401"/>
      <c r="G70" s="400">
        <f>'TEMPO - PAY'!I61/31</f>
        <v>0</v>
      </c>
      <c r="H70" s="399"/>
      <c r="I70" s="398">
        <f t="shared" si="6"/>
        <v>0</v>
      </c>
      <c r="J70" s="399"/>
      <c r="K70" s="398">
        <f t="shared" si="7"/>
        <v>0</v>
      </c>
      <c r="L70" s="399"/>
      <c r="M70" s="398">
        <f t="shared" si="8"/>
        <v>0</v>
      </c>
      <c r="N70" s="397">
        <f t="shared" si="9"/>
        <v>0</v>
      </c>
    </row>
    <row r="71" spans="2:14" x14ac:dyDescent="0.25">
      <c r="B71" s="405">
        <f t="shared" si="5"/>
        <v>42</v>
      </c>
      <c r="C71" s="404"/>
      <c r="D71" s="403"/>
      <c r="E71" s="402"/>
      <c r="F71" s="401"/>
      <c r="G71" s="400">
        <f>'TEMPO - PAY'!I62/31</f>
        <v>0</v>
      </c>
      <c r="H71" s="399"/>
      <c r="I71" s="398">
        <f t="shared" si="6"/>
        <v>0</v>
      </c>
      <c r="J71" s="399"/>
      <c r="K71" s="398">
        <f t="shared" si="7"/>
        <v>0</v>
      </c>
      <c r="L71" s="399"/>
      <c r="M71" s="398">
        <f t="shared" si="8"/>
        <v>0</v>
      </c>
      <c r="N71" s="397">
        <f t="shared" si="9"/>
        <v>0</v>
      </c>
    </row>
    <row r="72" spans="2:14" x14ac:dyDescent="0.25">
      <c r="B72" s="405">
        <f>+B49+1</f>
        <v>43</v>
      </c>
      <c r="C72" s="404"/>
      <c r="D72" s="403"/>
      <c r="E72" s="402"/>
      <c r="F72" s="401"/>
      <c r="G72" s="400">
        <f>'TEMPO - PAY'!I85/31</f>
        <v>0</v>
      </c>
      <c r="H72" s="399"/>
      <c r="I72" s="398">
        <f t="shared" si="0"/>
        <v>0</v>
      </c>
      <c r="J72" s="399"/>
      <c r="K72" s="398">
        <f t="shared" si="1"/>
        <v>0</v>
      </c>
      <c r="L72" s="399"/>
      <c r="M72" s="398">
        <f t="shared" si="2"/>
        <v>0</v>
      </c>
      <c r="N72" s="397">
        <f t="shared" si="3"/>
        <v>0</v>
      </c>
    </row>
    <row r="73" spans="2:14" ht="16.5" thickBot="1" x14ac:dyDescent="0.3">
      <c r="B73" s="396"/>
      <c r="C73" s="395"/>
      <c r="D73" s="394"/>
      <c r="E73" s="393"/>
      <c r="F73" s="392">
        <f>SUM(F8:F72)</f>
        <v>0</v>
      </c>
      <c r="G73" s="392"/>
      <c r="H73" s="391"/>
      <c r="I73" s="390">
        <f>SUM(I8:I72)</f>
        <v>0</v>
      </c>
      <c r="J73" s="391"/>
      <c r="K73" s="390">
        <f>SUM(K8:K72)</f>
        <v>0</v>
      </c>
      <c r="L73" s="391"/>
      <c r="M73" s="390">
        <f>SUM(M8:M72)</f>
        <v>0</v>
      </c>
      <c r="N73" s="389">
        <f>SUM(N8:N72)</f>
        <v>0</v>
      </c>
    </row>
    <row r="74" spans="2:14" x14ac:dyDescent="0.25">
      <c r="F74" s="388">
        <f>F73-'TEMPO - PAY'!L87</f>
        <v>0</v>
      </c>
      <c r="G74" s="388"/>
    </row>
    <row r="92" spans="2:14" x14ac:dyDescent="0.25">
      <c r="B92" s="382"/>
      <c r="C92" s="387"/>
      <c r="D92" s="387"/>
      <c r="E92" s="386"/>
      <c r="F92" s="383"/>
      <c r="G92" s="383"/>
      <c r="H92" s="385"/>
      <c r="I92" s="384"/>
      <c r="J92" s="385"/>
      <c r="K92" s="384"/>
      <c r="L92" s="385"/>
      <c r="M92" s="384"/>
      <c r="N92" s="383"/>
    </row>
  </sheetData>
  <mergeCells count="9">
    <mergeCell ref="G4:G6"/>
    <mergeCell ref="B2:N2"/>
    <mergeCell ref="B3:N3"/>
    <mergeCell ref="E4:E6"/>
    <mergeCell ref="H4:N5"/>
    <mergeCell ref="B4:B6"/>
    <mergeCell ref="C4:C6"/>
    <mergeCell ref="D4:D6"/>
    <mergeCell ref="F4:F6"/>
  </mergeCell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5A7D7-5DBA-4218-A377-C2F49ED937C3}">
  <sheetPr codeName="Sheet37">
    <tabColor rgb="FF00B050"/>
    <pageSetUpPr fitToPage="1"/>
  </sheetPr>
  <dimension ref="A1:Z119"/>
  <sheetViews>
    <sheetView topLeftCell="A56" zoomScaleNormal="100" zoomScaleSheetLayoutView="100" workbookViewId="0">
      <selection activeCell="C21" sqref="C21:C55"/>
    </sheetView>
  </sheetViews>
  <sheetFormatPr defaultRowHeight="30.75" x14ac:dyDescent="0.25"/>
  <cols>
    <col min="1" max="1" width="9.375" style="429" customWidth="1"/>
    <col min="2" max="2" width="6.75" style="379" customWidth="1"/>
    <col min="3" max="3" width="24.625" style="379" customWidth="1"/>
    <col min="4" max="4" width="12.875" style="379" customWidth="1"/>
    <col min="5" max="5" width="9.625" style="382" customWidth="1"/>
    <col min="6" max="6" width="13.375" style="379" customWidth="1"/>
    <col min="7" max="7" width="8.5" style="379" customWidth="1"/>
    <col min="8" max="8" width="9.75" style="379" customWidth="1"/>
    <col min="9" max="9" width="13.125" style="379" customWidth="1"/>
    <col min="10" max="10" width="11.125" style="379" customWidth="1"/>
    <col min="11" max="11" width="14.25" style="379" customWidth="1"/>
    <col min="12" max="12" width="10.625" style="379" customWidth="1"/>
    <col min="13" max="13" width="11.5" style="379" customWidth="1"/>
    <col min="14" max="14" width="10.375" style="379" customWidth="1"/>
    <col min="15" max="15" width="11" style="379" bestFit="1" customWidth="1"/>
    <col min="16" max="16" width="11.875" style="379" customWidth="1"/>
    <col min="17" max="17" width="15.125" style="379" bestFit="1" customWidth="1"/>
    <col min="18" max="18" width="13.125" style="379" customWidth="1"/>
    <col min="19" max="19" width="12.75" style="379" customWidth="1"/>
    <col min="20" max="20" width="12.125" style="379" bestFit="1" customWidth="1"/>
    <col min="21" max="21" width="3.75" style="382" customWidth="1"/>
    <col min="22" max="22" width="14.25" style="379" customWidth="1"/>
    <col min="23" max="23" width="10.625" style="379" customWidth="1"/>
    <col min="24" max="24" width="11.625" style="379" bestFit="1" customWidth="1"/>
    <col min="25" max="25" width="11" style="379" bestFit="1" customWidth="1"/>
    <col min="26" max="26" width="5.625" style="379" customWidth="1"/>
    <col min="27" max="16384" width="9" style="379"/>
  </cols>
  <sheetData>
    <row r="1" spans="1:25" ht="23.25" customHeight="1" x14ac:dyDescent="0.25">
      <c r="A1" s="432">
        <v>94</v>
      </c>
      <c r="Q1" s="542"/>
      <c r="R1" s="542"/>
      <c r="S1" s="542"/>
      <c r="T1" s="542"/>
      <c r="U1" s="543"/>
      <c r="V1" s="101"/>
      <c r="W1" s="101"/>
    </row>
    <row r="2" spans="1:25" ht="23.25" x14ac:dyDescent="0.25">
      <c r="A2" s="432"/>
      <c r="Q2" s="542"/>
      <c r="R2" s="542"/>
      <c r="S2" s="542"/>
      <c r="T2" s="542"/>
      <c r="U2" s="541"/>
      <c r="V2" s="102"/>
      <c r="W2" s="102"/>
      <c r="X2" s="701" t="s">
        <v>40</v>
      </c>
      <c r="Y2" s="701"/>
    </row>
    <row r="3" spans="1:25" ht="15.75" customHeight="1" x14ac:dyDescent="0.25">
      <c r="A3" s="432"/>
      <c r="B3" s="702" t="s">
        <v>42</v>
      </c>
      <c r="C3" s="702"/>
      <c r="D3" s="702"/>
      <c r="E3" s="702"/>
      <c r="F3" s="702"/>
      <c r="G3" s="702"/>
      <c r="H3" s="702"/>
      <c r="I3" s="702"/>
      <c r="J3" s="702"/>
      <c r="K3" s="702"/>
      <c r="L3" s="702"/>
      <c r="M3" s="702"/>
      <c r="N3" s="702"/>
      <c r="O3" s="702"/>
      <c r="P3" s="702"/>
      <c r="Q3" s="702"/>
      <c r="R3" s="702"/>
      <c r="S3" s="702"/>
      <c r="T3" s="702"/>
      <c r="U3" s="702"/>
      <c r="V3" s="702"/>
      <c r="W3" s="702"/>
      <c r="X3" s="702"/>
      <c r="Y3" s="702"/>
    </row>
    <row r="4" spans="1:25" ht="15.75" customHeight="1" x14ac:dyDescent="0.25">
      <c r="A4" s="432"/>
      <c r="B4" s="703" t="s">
        <v>43</v>
      </c>
      <c r="C4" s="703"/>
      <c r="D4" s="703"/>
      <c r="E4" s="703"/>
      <c r="F4" s="703"/>
      <c r="G4" s="703"/>
      <c r="H4" s="703"/>
      <c r="I4" s="703"/>
      <c r="J4" s="703"/>
      <c r="K4" s="703"/>
      <c r="L4" s="703"/>
      <c r="M4" s="703"/>
      <c r="N4" s="703"/>
      <c r="O4" s="703"/>
      <c r="P4" s="703"/>
      <c r="Q4" s="703"/>
      <c r="R4" s="703"/>
      <c r="S4" s="703"/>
      <c r="T4" s="703"/>
      <c r="U4" s="703"/>
      <c r="V4" s="703"/>
      <c r="W4" s="703"/>
      <c r="X4" s="703"/>
      <c r="Y4" s="703"/>
    </row>
    <row r="5" spans="1:25" ht="15.75" customHeight="1" x14ac:dyDescent="0.25">
      <c r="A5" s="432"/>
      <c r="B5" s="703" t="s">
        <v>44</v>
      </c>
      <c r="C5" s="703"/>
      <c r="D5" s="703"/>
      <c r="E5" s="703"/>
      <c r="F5" s="703"/>
      <c r="G5" s="703"/>
      <c r="H5" s="703"/>
      <c r="I5" s="703"/>
      <c r="J5" s="703"/>
      <c r="K5" s="703"/>
      <c r="L5" s="703"/>
      <c r="M5" s="703"/>
      <c r="N5" s="703"/>
      <c r="O5" s="703"/>
      <c r="P5" s="703"/>
      <c r="Q5" s="703"/>
      <c r="R5" s="703"/>
      <c r="S5" s="703"/>
      <c r="T5" s="703"/>
      <c r="U5" s="703"/>
      <c r="V5" s="703"/>
      <c r="W5" s="703"/>
      <c r="X5" s="703"/>
      <c r="Y5" s="703"/>
    </row>
    <row r="6" spans="1:25" ht="15.75" customHeight="1" x14ac:dyDescent="0.25">
      <c r="A6" s="432"/>
      <c r="B6" s="702" t="s">
        <v>45</v>
      </c>
      <c r="C6" s="702"/>
      <c r="D6" s="702"/>
      <c r="E6" s="702"/>
      <c r="F6" s="702"/>
      <c r="G6" s="702"/>
      <c r="H6" s="702"/>
      <c r="I6" s="702"/>
      <c r="J6" s="702"/>
      <c r="K6" s="702"/>
      <c r="L6" s="702"/>
      <c r="M6" s="702"/>
      <c r="N6" s="702"/>
      <c r="O6" s="702"/>
      <c r="P6" s="702"/>
      <c r="Q6" s="702"/>
      <c r="R6" s="702"/>
      <c r="S6" s="702"/>
      <c r="T6" s="702"/>
      <c r="U6" s="702"/>
      <c r="V6" s="702"/>
      <c r="W6" s="702"/>
      <c r="X6" s="702"/>
      <c r="Y6" s="702"/>
    </row>
    <row r="7" spans="1:25" ht="15.75" customHeight="1" x14ac:dyDescent="0.25">
      <c r="A7" s="432"/>
      <c r="Q7" s="102"/>
      <c r="R7" s="102"/>
      <c r="S7" s="102"/>
      <c r="T7" s="102"/>
      <c r="U7" s="541"/>
      <c r="V7" s="102"/>
      <c r="W7" s="102"/>
      <c r="X7" s="102"/>
      <c r="Y7" s="102"/>
    </row>
    <row r="8" spans="1:25" ht="22.5" x14ac:dyDescent="0.25">
      <c r="A8" s="432"/>
      <c r="B8" s="697" t="s">
        <v>13</v>
      </c>
      <c r="C8" s="697"/>
      <c r="D8" s="697"/>
      <c r="E8" s="697"/>
      <c r="F8" s="697"/>
      <c r="G8" s="697"/>
      <c r="H8" s="697"/>
      <c r="I8" s="697"/>
      <c r="J8" s="697"/>
      <c r="K8" s="697"/>
      <c r="L8" s="697"/>
      <c r="M8" s="697"/>
      <c r="N8" s="697"/>
      <c r="O8" s="697"/>
      <c r="P8" s="697"/>
      <c r="Q8" s="697"/>
      <c r="R8" s="697"/>
      <c r="S8" s="697"/>
      <c r="T8" s="697"/>
      <c r="U8" s="697"/>
      <c r="V8" s="697"/>
      <c r="W8" s="697"/>
      <c r="X8" s="697"/>
      <c r="Y8" s="697"/>
    </row>
    <row r="9" spans="1:25" ht="20.25" x14ac:dyDescent="0.25">
      <c r="A9" s="432"/>
      <c r="B9" s="698" t="s">
        <v>158</v>
      </c>
      <c r="C9" s="698"/>
      <c r="D9" s="698"/>
      <c r="E9" s="698"/>
      <c r="F9" s="698"/>
      <c r="G9" s="698"/>
      <c r="H9" s="698"/>
      <c r="I9" s="698"/>
      <c r="J9" s="698"/>
      <c r="K9" s="698"/>
      <c r="L9" s="698"/>
      <c r="M9" s="698"/>
      <c r="N9" s="698"/>
      <c r="O9" s="698"/>
      <c r="P9" s="698"/>
      <c r="Q9" s="698"/>
      <c r="R9" s="698"/>
      <c r="S9" s="698"/>
      <c r="T9" s="698"/>
      <c r="U9" s="698"/>
      <c r="V9" s="698"/>
      <c r="W9" s="698"/>
      <c r="X9" s="698"/>
      <c r="Y9" s="698"/>
    </row>
    <row r="10" spans="1:25" ht="20.25" x14ac:dyDescent="0.25">
      <c r="A10" s="432"/>
      <c r="B10" s="699" t="s">
        <v>41</v>
      </c>
      <c r="C10" s="699"/>
      <c r="D10" s="699"/>
      <c r="E10" s="699"/>
      <c r="F10" s="699"/>
      <c r="G10" s="699"/>
      <c r="H10" s="699"/>
      <c r="I10" s="699"/>
      <c r="J10" s="699"/>
      <c r="K10" s="699"/>
      <c r="L10" s="699"/>
      <c r="M10" s="699"/>
      <c r="N10" s="699"/>
      <c r="O10" s="699"/>
      <c r="P10" s="699"/>
      <c r="Q10" s="699"/>
      <c r="R10" s="699"/>
      <c r="S10" s="699"/>
      <c r="T10" s="699"/>
      <c r="U10" s="699"/>
      <c r="V10" s="699"/>
      <c r="W10" s="699"/>
      <c r="X10" s="699"/>
      <c r="Y10" s="699"/>
    </row>
    <row r="11" spans="1:25" ht="20.25" x14ac:dyDescent="0.25">
      <c r="A11" s="432"/>
      <c r="B11" s="699" t="s">
        <v>138</v>
      </c>
      <c r="C11" s="699"/>
      <c r="D11" s="699"/>
      <c r="E11" s="699"/>
      <c r="F11" s="699"/>
      <c r="G11" s="699"/>
      <c r="H11" s="699"/>
      <c r="I11" s="699"/>
      <c r="J11" s="699"/>
      <c r="K11" s="699"/>
      <c r="L11" s="699"/>
      <c r="M11" s="699"/>
      <c r="N11" s="699"/>
      <c r="O11" s="699"/>
      <c r="P11" s="699"/>
      <c r="Q11" s="699"/>
      <c r="R11" s="699"/>
      <c r="S11" s="699"/>
      <c r="T11" s="699"/>
      <c r="U11" s="699"/>
      <c r="V11" s="699"/>
      <c r="W11" s="699"/>
      <c r="X11" s="699"/>
      <c r="Y11" s="699"/>
    </row>
    <row r="12" spans="1:25" ht="15.75" x14ac:dyDescent="0.25">
      <c r="A12" s="432"/>
      <c r="C12" s="382"/>
      <c r="D12" s="700" t="s">
        <v>106</v>
      </c>
      <c r="F12" s="382"/>
      <c r="G12" s="382"/>
      <c r="H12" s="382"/>
      <c r="I12" s="382"/>
      <c r="J12" s="382"/>
      <c r="K12" s="382"/>
      <c r="L12" s="382"/>
      <c r="M12" s="382"/>
      <c r="N12" s="382"/>
      <c r="O12" s="382"/>
      <c r="P12" s="382"/>
      <c r="Q12" s="382"/>
      <c r="R12" s="382"/>
      <c r="S12" s="382"/>
      <c r="T12" s="382"/>
      <c r="V12" s="382"/>
      <c r="W12" s="382"/>
      <c r="X12" s="382"/>
      <c r="Y12" s="382"/>
    </row>
    <row r="13" spans="1:25" s="451" customFormat="1" ht="24.95" customHeight="1" x14ac:dyDescent="0.25">
      <c r="A13" s="432"/>
      <c r="B13" s="704" t="s">
        <v>88</v>
      </c>
      <c r="C13" s="704"/>
      <c r="D13" s="698"/>
      <c r="E13" s="540"/>
      <c r="F13" s="539"/>
      <c r="G13" s="539"/>
      <c r="H13" s="539"/>
      <c r="I13" s="539"/>
      <c r="J13" s="539"/>
      <c r="K13" s="539"/>
      <c r="L13" s="539"/>
      <c r="M13" s="539"/>
      <c r="N13" s="539"/>
      <c r="O13" s="539"/>
      <c r="P13" s="539"/>
      <c r="Q13" s="379"/>
      <c r="R13" s="379"/>
      <c r="S13" s="379"/>
      <c r="T13" s="379"/>
      <c r="U13" s="539" t="s">
        <v>103</v>
      </c>
      <c r="V13" s="539"/>
      <c r="W13" s="705" t="str">
        <f>SUMMARY!B19</f>
        <v>2026-01-025</v>
      </c>
      <c r="X13" s="705"/>
      <c r="Y13" s="705"/>
    </row>
    <row r="14" spans="1:25" s="451" customFormat="1" ht="24.95" customHeight="1" x14ac:dyDescent="0.25">
      <c r="A14" s="432"/>
      <c r="B14" s="379"/>
      <c r="C14" s="379"/>
      <c r="D14" s="698"/>
      <c r="E14" s="382"/>
      <c r="F14" s="379"/>
      <c r="G14" s="379"/>
      <c r="H14" s="379"/>
      <c r="I14" s="379"/>
      <c r="J14" s="379"/>
      <c r="K14" s="379"/>
      <c r="L14" s="379"/>
      <c r="M14" s="379"/>
      <c r="N14" s="379"/>
      <c r="O14" s="379"/>
      <c r="P14" s="379"/>
      <c r="Q14" s="379"/>
      <c r="R14" s="379"/>
      <c r="S14" s="379"/>
      <c r="T14" s="379"/>
      <c r="U14" s="539"/>
      <c r="V14" s="539"/>
      <c r="W14" s="379"/>
      <c r="X14" s="379"/>
      <c r="Y14" s="379"/>
    </row>
    <row r="15" spans="1:25" s="451" customFormat="1" ht="15.75" customHeight="1" x14ac:dyDescent="0.25">
      <c r="A15" s="432"/>
      <c r="B15" s="685" t="s">
        <v>0</v>
      </c>
      <c r="C15" s="685"/>
      <c r="D15" s="685"/>
      <c r="E15" s="685"/>
      <c r="F15" s="685"/>
      <c r="G15" s="685"/>
      <c r="H15" s="685"/>
      <c r="I15" s="685"/>
      <c r="J15" s="685"/>
      <c r="K15" s="685"/>
      <c r="L15" s="685"/>
      <c r="M15" s="685"/>
      <c r="N15" s="685"/>
      <c r="O15" s="685"/>
      <c r="P15" s="685"/>
      <c r="Q15" s="685"/>
      <c r="R15" s="685"/>
      <c r="S15" s="685"/>
      <c r="T15" s="685"/>
      <c r="U15" s="685"/>
      <c r="V15" s="685"/>
      <c r="W15" s="685"/>
      <c r="X15" s="685"/>
      <c r="Y15" s="685"/>
    </row>
    <row r="16" spans="1:25" ht="9" customHeight="1" thickBot="1" x14ac:dyDescent="0.3">
      <c r="A16" s="432"/>
      <c r="C16" s="394"/>
      <c r="D16" s="394"/>
      <c r="E16" s="455"/>
      <c r="F16" s="394"/>
      <c r="G16" s="394"/>
      <c r="H16" s="394"/>
      <c r="I16" s="394"/>
      <c r="Q16" s="394"/>
      <c r="R16" s="394"/>
      <c r="S16" s="394"/>
      <c r="T16" s="394"/>
      <c r="U16" s="455"/>
      <c r="V16" s="394"/>
      <c r="W16" s="394"/>
      <c r="X16" s="394"/>
      <c r="Y16" s="394"/>
    </row>
    <row r="17" spans="1:26" ht="16.5" customHeight="1" thickBot="1" x14ac:dyDescent="0.3">
      <c r="A17" s="432"/>
      <c r="B17" s="686" t="s">
        <v>6</v>
      </c>
      <c r="C17" s="695" t="s">
        <v>1</v>
      </c>
      <c r="D17" s="695" t="s">
        <v>2</v>
      </c>
      <c r="E17" s="686" t="s">
        <v>14</v>
      </c>
      <c r="F17" s="679" t="s">
        <v>4</v>
      </c>
      <c r="G17" s="680"/>
      <c r="H17" s="680"/>
      <c r="I17" s="680"/>
      <c r="J17" s="680"/>
      <c r="K17" s="681"/>
      <c r="L17" s="680" t="s">
        <v>3</v>
      </c>
      <c r="M17" s="680"/>
      <c r="N17" s="680"/>
      <c r="O17" s="680"/>
      <c r="P17" s="680"/>
      <c r="Q17" s="681"/>
      <c r="R17" s="686" t="s">
        <v>16</v>
      </c>
      <c r="S17" s="987" t="s">
        <v>51</v>
      </c>
      <c r="T17" s="752" t="s">
        <v>52</v>
      </c>
      <c r="U17" s="695" t="s">
        <v>59</v>
      </c>
      <c r="V17" s="679" t="s">
        <v>60</v>
      </c>
      <c r="W17" s="680"/>
      <c r="X17" s="680"/>
      <c r="Y17" s="681"/>
      <c r="Z17" s="538"/>
    </row>
    <row r="18" spans="1:26" ht="19.5" customHeight="1" x14ac:dyDescent="0.25">
      <c r="A18" s="432"/>
      <c r="B18" s="687"/>
      <c r="C18" s="696"/>
      <c r="D18" s="696"/>
      <c r="E18" s="687"/>
      <c r="F18" s="665" t="s">
        <v>48</v>
      </c>
      <c r="G18" s="691" t="s">
        <v>50</v>
      </c>
      <c r="H18" s="659" t="s">
        <v>49</v>
      </c>
      <c r="I18" s="985" t="s">
        <v>5</v>
      </c>
      <c r="J18" s="985" t="s">
        <v>53</v>
      </c>
      <c r="K18" s="977" t="s">
        <v>137</v>
      </c>
      <c r="L18" s="994" t="s">
        <v>54</v>
      </c>
      <c r="M18" s="985" t="s">
        <v>55</v>
      </c>
      <c r="N18" s="985" t="s">
        <v>56</v>
      </c>
      <c r="O18" s="998" t="s">
        <v>57</v>
      </c>
      <c r="P18" s="985" t="s">
        <v>58</v>
      </c>
      <c r="Q18" s="742" t="s">
        <v>17</v>
      </c>
      <c r="R18" s="687"/>
      <c r="S18" s="988"/>
      <c r="T18" s="754"/>
      <c r="U18" s="696"/>
      <c r="V18" s="979" t="s">
        <v>61</v>
      </c>
      <c r="W18" s="981" t="s">
        <v>62</v>
      </c>
      <c r="X18" s="1002" t="s">
        <v>57</v>
      </c>
      <c r="Y18" s="1004" t="s">
        <v>63</v>
      </c>
      <c r="Z18" s="538"/>
    </row>
    <row r="19" spans="1:26" ht="26.25" customHeight="1" thickBot="1" x14ac:dyDescent="0.3">
      <c r="A19" s="432"/>
      <c r="B19" s="687"/>
      <c r="C19" s="696"/>
      <c r="D19" s="696"/>
      <c r="E19" s="687"/>
      <c r="F19" s="666"/>
      <c r="G19" s="692"/>
      <c r="H19" s="660"/>
      <c r="I19" s="986"/>
      <c r="J19" s="986"/>
      <c r="K19" s="978"/>
      <c r="L19" s="995"/>
      <c r="M19" s="986"/>
      <c r="N19" s="986"/>
      <c r="O19" s="999"/>
      <c r="P19" s="986"/>
      <c r="Q19" s="743"/>
      <c r="R19" s="688"/>
      <c r="S19" s="989"/>
      <c r="T19" s="756"/>
      <c r="U19" s="696"/>
      <c r="V19" s="980"/>
      <c r="W19" s="982"/>
      <c r="X19" s="1003"/>
      <c r="Y19" s="1005"/>
      <c r="Z19" s="538"/>
    </row>
    <row r="20" spans="1:26" ht="18.75" customHeight="1" x14ac:dyDescent="0.25">
      <c r="A20" s="432"/>
      <c r="B20" s="423"/>
      <c r="C20" s="423"/>
      <c r="D20" s="423"/>
      <c r="E20" s="530"/>
      <c r="F20" s="537"/>
      <c r="G20" s="536"/>
      <c r="H20" s="536"/>
      <c r="I20" s="533"/>
      <c r="J20" s="533"/>
      <c r="K20" s="535"/>
      <c r="L20" s="534"/>
      <c r="M20" s="533"/>
      <c r="N20" s="533"/>
      <c r="O20" s="533"/>
      <c r="P20" s="533"/>
      <c r="Q20" s="532"/>
      <c r="R20" s="423"/>
      <c r="S20" s="531"/>
      <c r="T20" s="527"/>
      <c r="U20" s="530"/>
      <c r="V20" s="529"/>
      <c r="W20" s="528"/>
      <c r="X20" s="528"/>
      <c r="Y20" s="527"/>
    </row>
    <row r="21" spans="1:26" ht="18.75" customHeight="1" x14ac:dyDescent="0.25">
      <c r="A21" s="432"/>
      <c r="B21" s="405">
        <v>1</v>
      </c>
      <c r="C21" s="509"/>
      <c r="D21" s="509" t="e">
        <f>VLOOKUP(C21,'WTAX-TEMPO'!C:O,2,0)</f>
        <v>#N/A</v>
      </c>
      <c r="E21" s="508">
        <f>VLOOKUP(B21,'WTAX-TEMPO'!B:N,4,0)</f>
        <v>0</v>
      </c>
      <c r="F21" s="526"/>
      <c r="G21" s="507"/>
      <c r="H21" s="507"/>
      <c r="I21" s="497">
        <f t="shared" ref="I21:I85" si="0">SUM(F21:H21)</f>
        <v>0</v>
      </c>
      <c r="J21" s="506">
        <f>'WTAX-TEMPO'!N8</f>
        <v>0</v>
      </c>
      <c r="K21" s="505">
        <f t="shared" ref="K21:K85" si="1">ROUND(I21-J21,2)</f>
        <v>0</v>
      </c>
      <c r="L21" s="504">
        <f>'WTAX-TEMPO'!F8</f>
        <v>0</v>
      </c>
      <c r="M21" s="497">
        <f>'TEMPO - DEDS'!R20</f>
        <v>0</v>
      </c>
      <c r="N21" s="497">
        <f>'TEMPO - DEDS'!X20</f>
        <v>0</v>
      </c>
      <c r="O21" s="497">
        <f>'TEMPO - DEDS'!Y20</f>
        <v>0</v>
      </c>
      <c r="P21" s="497">
        <f>'TEMPO - DEDS'!AE20</f>
        <v>0</v>
      </c>
      <c r="Q21" s="503">
        <f t="shared" ref="Q21:Q85" si="2">ROUND(SUM(L21:P21),2)</f>
        <v>0</v>
      </c>
      <c r="R21" s="502">
        <f t="shared" ref="R21:R85" si="3">K21-Q21</f>
        <v>0</v>
      </c>
      <c r="S21" s="501">
        <f t="shared" ref="S21:S85" si="4">ROUND(R21/2,0)</f>
        <v>0</v>
      </c>
      <c r="T21" s="500">
        <f t="shared" ref="T21:T85" si="5">R21-S21</f>
        <v>0</v>
      </c>
      <c r="U21" s="499">
        <f t="shared" ref="U21:U85" si="6">B21</f>
        <v>1</v>
      </c>
      <c r="V21" s="498">
        <f>ROUND('TEMPO - PAY'!I21*0.12,2)</f>
        <v>0</v>
      </c>
      <c r="W21" s="497">
        <v>100</v>
      </c>
      <c r="X21" s="497">
        <f>MIN((I21*0.05)-'TEMPO - DEDS'!Y20,2500)</f>
        <v>0</v>
      </c>
      <c r="Y21" s="496">
        <v>200</v>
      </c>
    </row>
    <row r="22" spans="1:26" ht="18.75" customHeight="1" x14ac:dyDescent="0.25">
      <c r="A22" s="432"/>
      <c r="B22" s="405">
        <f t="shared" ref="B22:B62" si="7">+B21+1</f>
        <v>2</v>
      </c>
      <c r="C22" s="509"/>
      <c r="D22" s="509" t="e">
        <f>VLOOKUP(C22,'WTAX-TEMPO'!C:O,2,0)</f>
        <v>#N/A</v>
      </c>
      <c r="E22" s="508">
        <f>VLOOKUP(B22,'WTAX-TEMPO'!B:N,4,0)</f>
        <v>0</v>
      </c>
      <c r="F22" s="526"/>
      <c r="G22" s="507"/>
      <c r="H22" s="507"/>
      <c r="I22" s="497">
        <f t="shared" si="0"/>
        <v>0</v>
      </c>
      <c r="J22" s="506">
        <f>'WTAX-TEMPO'!N9</f>
        <v>0</v>
      </c>
      <c r="K22" s="505">
        <f t="shared" si="1"/>
        <v>0</v>
      </c>
      <c r="L22" s="504">
        <f>'WTAX-TEMPO'!F9</f>
        <v>0</v>
      </c>
      <c r="M22" s="497">
        <f>'TEMPO - DEDS'!R21</f>
        <v>0</v>
      </c>
      <c r="N22" s="497">
        <f>'TEMPO - DEDS'!X21</f>
        <v>0</v>
      </c>
      <c r="O22" s="497">
        <f>'TEMPO - DEDS'!Y21</f>
        <v>0</v>
      </c>
      <c r="P22" s="497">
        <f>'TEMPO - DEDS'!AE21</f>
        <v>0</v>
      </c>
      <c r="Q22" s="503">
        <f t="shared" si="2"/>
        <v>0</v>
      </c>
      <c r="R22" s="502">
        <f t="shared" si="3"/>
        <v>0</v>
      </c>
      <c r="S22" s="501">
        <f t="shared" si="4"/>
        <v>0</v>
      </c>
      <c r="T22" s="500">
        <f t="shared" si="5"/>
        <v>0</v>
      </c>
      <c r="U22" s="499">
        <f t="shared" si="6"/>
        <v>2</v>
      </c>
      <c r="V22" s="498">
        <f>ROUND('TEMPO - PAY'!I22*0.12,2)</f>
        <v>0</v>
      </c>
      <c r="W22" s="497">
        <v>100</v>
      </c>
      <c r="X22" s="497">
        <f>MIN((I22*0.05)-'TEMPO - DEDS'!Y21,2500)</f>
        <v>0</v>
      </c>
      <c r="Y22" s="496">
        <v>200</v>
      </c>
    </row>
    <row r="23" spans="1:26" ht="18.75" customHeight="1" x14ac:dyDescent="0.25">
      <c r="A23" s="432"/>
      <c r="B23" s="405">
        <f t="shared" si="7"/>
        <v>3</v>
      </c>
      <c r="C23" s="509"/>
      <c r="D23" s="509" t="e">
        <f>VLOOKUP(C23,'WTAX-TEMPO'!C:O,2,0)</f>
        <v>#N/A</v>
      </c>
      <c r="E23" s="508">
        <f>VLOOKUP(B23,'WTAX-TEMPO'!B:N,4,0)</f>
        <v>0</v>
      </c>
      <c r="F23" s="526"/>
      <c r="G23" s="507"/>
      <c r="H23" s="507"/>
      <c r="I23" s="497">
        <f t="shared" si="0"/>
        <v>0</v>
      </c>
      <c r="J23" s="506">
        <f>'WTAX-TEMPO'!N10</f>
        <v>0</v>
      </c>
      <c r="K23" s="505">
        <f t="shared" si="1"/>
        <v>0</v>
      </c>
      <c r="L23" s="504">
        <f>'WTAX-TEMPO'!F10</f>
        <v>0</v>
      </c>
      <c r="M23" s="497">
        <f>'TEMPO - DEDS'!R22</f>
        <v>0</v>
      </c>
      <c r="N23" s="497">
        <f>'TEMPO - DEDS'!X22</f>
        <v>0</v>
      </c>
      <c r="O23" s="497">
        <f>'TEMPO - DEDS'!Y22</f>
        <v>0</v>
      </c>
      <c r="P23" s="497">
        <f>'TEMPO - DEDS'!AE22</f>
        <v>0</v>
      </c>
      <c r="Q23" s="503">
        <f t="shared" si="2"/>
        <v>0</v>
      </c>
      <c r="R23" s="502">
        <f t="shared" si="3"/>
        <v>0</v>
      </c>
      <c r="S23" s="501">
        <f t="shared" si="4"/>
        <v>0</v>
      </c>
      <c r="T23" s="500">
        <f t="shared" si="5"/>
        <v>0</v>
      </c>
      <c r="U23" s="499">
        <f t="shared" si="6"/>
        <v>3</v>
      </c>
      <c r="V23" s="498">
        <f>ROUND('TEMPO - PAY'!I23*0.12,2)</f>
        <v>0</v>
      </c>
      <c r="W23" s="497">
        <v>100</v>
      </c>
      <c r="X23" s="497">
        <f>MIN((I23*0.05)-'TEMPO - DEDS'!Y22,2500)</f>
        <v>0</v>
      </c>
      <c r="Y23" s="496">
        <v>200</v>
      </c>
    </row>
    <row r="24" spans="1:26" ht="18.75" customHeight="1" x14ac:dyDescent="0.25">
      <c r="A24" s="432"/>
      <c r="B24" s="405">
        <f t="shared" si="7"/>
        <v>4</v>
      </c>
      <c r="C24" s="509"/>
      <c r="D24" s="509" t="e">
        <f>VLOOKUP(C24,'WTAX-TEMPO'!C:O,2,0)</f>
        <v>#N/A</v>
      </c>
      <c r="E24" s="508">
        <f>VLOOKUP(B24,'WTAX-TEMPO'!B:N,4,0)</f>
        <v>0</v>
      </c>
      <c r="F24" s="526"/>
      <c r="G24" s="507"/>
      <c r="H24" s="507"/>
      <c r="I24" s="497">
        <f t="shared" si="0"/>
        <v>0</v>
      </c>
      <c r="J24" s="506">
        <f>'WTAX-TEMPO'!N11</f>
        <v>0</v>
      </c>
      <c r="K24" s="505">
        <f t="shared" si="1"/>
        <v>0</v>
      </c>
      <c r="L24" s="504">
        <f>'WTAX-TEMPO'!F11</f>
        <v>0</v>
      </c>
      <c r="M24" s="497">
        <f>'TEMPO - DEDS'!R23</f>
        <v>0</v>
      </c>
      <c r="N24" s="497">
        <f>'TEMPO - DEDS'!X23</f>
        <v>0</v>
      </c>
      <c r="O24" s="497">
        <f>'TEMPO - DEDS'!Y23</f>
        <v>0</v>
      </c>
      <c r="P24" s="497">
        <f>'TEMPO - DEDS'!AE23</f>
        <v>0</v>
      </c>
      <c r="Q24" s="503">
        <f t="shared" si="2"/>
        <v>0</v>
      </c>
      <c r="R24" s="502">
        <f t="shared" si="3"/>
        <v>0</v>
      </c>
      <c r="S24" s="501">
        <f t="shared" si="4"/>
        <v>0</v>
      </c>
      <c r="T24" s="500">
        <f t="shared" si="5"/>
        <v>0</v>
      </c>
      <c r="U24" s="499">
        <f t="shared" si="6"/>
        <v>4</v>
      </c>
      <c r="V24" s="498">
        <f>ROUND('TEMPO - PAY'!I24*0.12,2)</f>
        <v>0</v>
      </c>
      <c r="W24" s="497">
        <v>100</v>
      </c>
      <c r="X24" s="497">
        <f>MIN((I24*0.05)-'TEMPO - DEDS'!Y23,2500)</f>
        <v>0</v>
      </c>
      <c r="Y24" s="496">
        <v>200</v>
      </c>
    </row>
    <row r="25" spans="1:26" ht="18.75" customHeight="1" x14ac:dyDescent="0.25">
      <c r="A25" s="432"/>
      <c r="B25" s="405">
        <f t="shared" si="7"/>
        <v>5</v>
      </c>
      <c r="C25" s="509"/>
      <c r="D25" s="509" t="e">
        <f>VLOOKUP(C25,'WTAX-TEMPO'!C:O,2,0)</f>
        <v>#N/A</v>
      </c>
      <c r="E25" s="508">
        <f>VLOOKUP(B25,'WTAX-TEMPO'!B:N,4,0)</f>
        <v>0</v>
      </c>
      <c r="F25" s="526"/>
      <c r="G25" s="507"/>
      <c r="H25" s="507"/>
      <c r="I25" s="497">
        <f t="shared" si="0"/>
        <v>0</v>
      </c>
      <c r="J25" s="506">
        <f>'WTAX-TEMPO'!N12</f>
        <v>0</v>
      </c>
      <c r="K25" s="505">
        <f t="shared" si="1"/>
        <v>0</v>
      </c>
      <c r="L25" s="504">
        <f>'WTAX-TEMPO'!F12</f>
        <v>0</v>
      </c>
      <c r="M25" s="497">
        <f>'TEMPO - DEDS'!R24</f>
        <v>0</v>
      </c>
      <c r="N25" s="497">
        <f>'TEMPO - DEDS'!X24</f>
        <v>0</v>
      </c>
      <c r="O25" s="497">
        <f>'TEMPO - DEDS'!Y24</f>
        <v>0</v>
      </c>
      <c r="P25" s="497">
        <f>'TEMPO - DEDS'!AE24</f>
        <v>0</v>
      </c>
      <c r="Q25" s="503">
        <f t="shared" si="2"/>
        <v>0</v>
      </c>
      <c r="R25" s="502">
        <f t="shared" si="3"/>
        <v>0</v>
      </c>
      <c r="S25" s="501">
        <f t="shared" si="4"/>
        <v>0</v>
      </c>
      <c r="T25" s="500">
        <f t="shared" si="5"/>
        <v>0</v>
      </c>
      <c r="U25" s="499">
        <f t="shared" si="6"/>
        <v>5</v>
      </c>
      <c r="V25" s="498">
        <f>ROUND('TEMPO - PAY'!I25*0.12,2)</f>
        <v>0</v>
      </c>
      <c r="W25" s="497">
        <v>100</v>
      </c>
      <c r="X25" s="497">
        <f>MIN((I25*0.05)-'TEMPO - DEDS'!Y24,2500)</f>
        <v>0</v>
      </c>
      <c r="Y25" s="496">
        <v>200</v>
      </c>
    </row>
    <row r="26" spans="1:26" ht="18.75" customHeight="1" x14ac:dyDescent="0.25">
      <c r="A26" s="432"/>
      <c r="B26" s="405">
        <f t="shared" si="7"/>
        <v>6</v>
      </c>
      <c r="C26" s="509"/>
      <c r="D26" s="509" t="e">
        <f>VLOOKUP(C26,'WTAX-TEMPO'!C:O,2,0)</f>
        <v>#N/A</v>
      </c>
      <c r="E26" s="508">
        <f>VLOOKUP(B26,'WTAX-TEMPO'!B:N,4,0)</f>
        <v>0</v>
      </c>
      <c r="F26" s="526"/>
      <c r="G26" s="507"/>
      <c r="H26" s="507"/>
      <c r="I26" s="497">
        <f t="shared" si="0"/>
        <v>0</v>
      </c>
      <c r="J26" s="506">
        <f>'WTAX-TEMPO'!N13</f>
        <v>0</v>
      </c>
      <c r="K26" s="505">
        <f t="shared" si="1"/>
        <v>0</v>
      </c>
      <c r="L26" s="504">
        <f>'WTAX-TEMPO'!F13</f>
        <v>0</v>
      </c>
      <c r="M26" s="497">
        <f>'TEMPO - DEDS'!R25</f>
        <v>0</v>
      </c>
      <c r="N26" s="497">
        <f>'TEMPO - DEDS'!X25</f>
        <v>0</v>
      </c>
      <c r="O26" s="497">
        <f>'TEMPO - DEDS'!Y25</f>
        <v>0</v>
      </c>
      <c r="P26" s="497">
        <f>'TEMPO - DEDS'!AE25</f>
        <v>0</v>
      </c>
      <c r="Q26" s="503">
        <f t="shared" si="2"/>
        <v>0</v>
      </c>
      <c r="R26" s="502">
        <f t="shared" si="3"/>
        <v>0</v>
      </c>
      <c r="S26" s="501">
        <f t="shared" si="4"/>
        <v>0</v>
      </c>
      <c r="T26" s="500">
        <f t="shared" si="5"/>
        <v>0</v>
      </c>
      <c r="U26" s="499">
        <f t="shared" si="6"/>
        <v>6</v>
      </c>
      <c r="V26" s="498">
        <f>ROUND('TEMPO - PAY'!I26*0.12,2)</f>
        <v>0</v>
      </c>
      <c r="W26" s="497">
        <v>100</v>
      </c>
      <c r="X26" s="497">
        <f>MIN((I26*0.05)-'TEMPO - DEDS'!Y25,2500)</f>
        <v>0</v>
      </c>
      <c r="Y26" s="496">
        <v>200</v>
      </c>
    </row>
    <row r="27" spans="1:26" ht="18.75" customHeight="1" x14ac:dyDescent="0.25">
      <c r="A27" s="432"/>
      <c r="B27" s="405">
        <f t="shared" si="7"/>
        <v>7</v>
      </c>
      <c r="C27" s="509"/>
      <c r="D27" s="509" t="e">
        <f>VLOOKUP(C27,'WTAX-TEMPO'!C:O,2,0)</f>
        <v>#N/A</v>
      </c>
      <c r="E27" s="508">
        <f>VLOOKUP(B27,'WTAX-TEMPO'!B:N,4,0)</f>
        <v>0</v>
      </c>
      <c r="F27" s="526"/>
      <c r="G27" s="507"/>
      <c r="H27" s="507"/>
      <c r="I27" s="497">
        <f t="shared" si="0"/>
        <v>0</v>
      </c>
      <c r="J27" s="506">
        <f>'WTAX-TEMPO'!N14</f>
        <v>0</v>
      </c>
      <c r="K27" s="505">
        <f t="shared" si="1"/>
        <v>0</v>
      </c>
      <c r="L27" s="504">
        <f>'WTAX-TEMPO'!F14</f>
        <v>0</v>
      </c>
      <c r="M27" s="497">
        <f>'TEMPO - DEDS'!R26</f>
        <v>0</v>
      </c>
      <c r="N27" s="497">
        <f>'TEMPO - DEDS'!X26</f>
        <v>0</v>
      </c>
      <c r="O27" s="497">
        <f>'TEMPO - DEDS'!Y26</f>
        <v>0</v>
      </c>
      <c r="P27" s="497">
        <f>'TEMPO - DEDS'!AE26</f>
        <v>0</v>
      </c>
      <c r="Q27" s="503">
        <f t="shared" si="2"/>
        <v>0</v>
      </c>
      <c r="R27" s="502">
        <f t="shared" si="3"/>
        <v>0</v>
      </c>
      <c r="S27" s="501">
        <f t="shared" si="4"/>
        <v>0</v>
      </c>
      <c r="T27" s="500">
        <f t="shared" si="5"/>
        <v>0</v>
      </c>
      <c r="U27" s="499">
        <f t="shared" si="6"/>
        <v>7</v>
      </c>
      <c r="V27" s="498">
        <f>ROUND('TEMPO - PAY'!I27*0.12,2)</f>
        <v>0</v>
      </c>
      <c r="W27" s="497">
        <v>100</v>
      </c>
      <c r="X27" s="497">
        <f>MIN((I27*0.05)-'TEMPO - DEDS'!Y26,2500)</f>
        <v>0</v>
      </c>
      <c r="Y27" s="496">
        <v>200</v>
      </c>
    </row>
    <row r="28" spans="1:26" s="637" customFormat="1" ht="18.75" customHeight="1" x14ac:dyDescent="0.25">
      <c r="A28" s="623"/>
      <c r="B28" s="624">
        <f t="shared" si="7"/>
        <v>8</v>
      </c>
      <c r="C28" s="625"/>
      <c r="D28" s="625" t="e">
        <f>VLOOKUP(C28,'WTAX-TEMPO'!C:O,2,0)</f>
        <v>#N/A</v>
      </c>
      <c r="E28" s="626">
        <f>VLOOKUP(B28,'WTAX-TEMPO'!B:N,4,0)</f>
        <v>0</v>
      </c>
      <c r="F28" s="627"/>
      <c r="G28" s="628"/>
      <c r="H28" s="628"/>
      <c r="I28" s="628">
        <f t="shared" si="0"/>
        <v>0</v>
      </c>
      <c r="J28" s="628">
        <f>'WTAX-TEMPO'!N15</f>
        <v>0</v>
      </c>
      <c r="K28" s="629">
        <f t="shared" si="1"/>
        <v>0</v>
      </c>
      <c r="L28" s="627">
        <f>'WTAX-TEMPO'!F15</f>
        <v>0</v>
      </c>
      <c r="M28" s="628">
        <f>'TEMPO - DEDS'!R27</f>
        <v>0</v>
      </c>
      <c r="N28" s="628">
        <f>'TEMPO - DEDS'!X27</f>
        <v>0</v>
      </c>
      <c r="O28" s="628">
        <f>'TEMPO - DEDS'!Y27</f>
        <v>0</v>
      </c>
      <c r="P28" s="628">
        <f>'TEMPO - DEDS'!AE27</f>
        <v>0</v>
      </c>
      <c r="Q28" s="630">
        <f t="shared" si="2"/>
        <v>0</v>
      </c>
      <c r="R28" s="631">
        <f t="shared" si="3"/>
        <v>0</v>
      </c>
      <c r="S28" s="632">
        <f t="shared" si="4"/>
        <v>0</v>
      </c>
      <c r="T28" s="633">
        <f t="shared" si="5"/>
        <v>0</v>
      </c>
      <c r="U28" s="634">
        <f t="shared" si="6"/>
        <v>8</v>
      </c>
      <c r="V28" s="635">
        <f>ROUND('TEMPO - PAY'!I28*0.12,2)</f>
        <v>0</v>
      </c>
      <c r="W28" s="628">
        <v>100</v>
      </c>
      <c r="X28" s="628">
        <f>MIN((I28*0.05)-'TEMPO - DEDS'!Y27,2500)</f>
        <v>0</v>
      </c>
      <c r="Y28" s="636">
        <v>200</v>
      </c>
    </row>
    <row r="29" spans="1:26" ht="18.75" customHeight="1" x14ac:dyDescent="0.25">
      <c r="A29" s="432"/>
      <c r="B29" s="405">
        <f t="shared" si="7"/>
        <v>9</v>
      </c>
      <c r="C29" s="509"/>
      <c r="D29" s="509" t="e">
        <f>VLOOKUP(C29,'WTAX-TEMPO'!C:O,2,0)</f>
        <v>#N/A</v>
      </c>
      <c r="E29" s="508">
        <f>VLOOKUP(B29,'WTAX-TEMPO'!B:N,4,0)</f>
        <v>0</v>
      </c>
      <c r="F29" s="526"/>
      <c r="G29" s="507"/>
      <c r="H29" s="507"/>
      <c r="I29" s="497">
        <f t="shared" si="0"/>
        <v>0</v>
      </c>
      <c r="J29" s="506">
        <f>'WTAX-TEMPO'!N16</f>
        <v>0</v>
      </c>
      <c r="K29" s="505">
        <f t="shared" si="1"/>
        <v>0</v>
      </c>
      <c r="L29" s="504">
        <f>'WTAX-TEMPO'!F16</f>
        <v>0</v>
      </c>
      <c r="M29" s="497">
        <f>'TEMPO - DEDS'!R28</f>
        <v>0</v>
      </c>
      <c r="N29" s="497">
        <f>'TEMPO - DEDS'!X28</f>
        <v>0</v>
      </c>
      <c r="O29" s="497">
        <f>'TEMPO - DEDS'!Y28</f>
        <v>0</v>
      </c>
      <c r="P29" s="497">
        <f>'TEMPO - DEDS'!AE28</f>
        <v>0</v>
      </c>
      <c r="Q29" s="503">
        <f t="shared" si="2"/>
        <v>0</v>
      </c>
      <c r="R29" s="502">
        <f t="shared" si="3"/>
        <v>0</v>
      </c>
      <c r="S29" s="501">
        <f t="shared" si="4"/>
        <v>0</v>
      </c>
      <c r="T29" s="500">
        <f t="shared" si="5"/>
        <v>0</v>
      </c>
      <c r="U29" s="499">
        <f t="shared" si="6"/>
        <v>9</v>
      </c>
      <c r="V29" s="498">
        <f>ROUND('TEMPO - PAY'!I29*0.12,2)</f>
        <v>0</v>
      </c>
      <c r="W29" s="497">
        <v>100</v>
      </c>
      <c r="X29" s="497">
        <f>MIN((I29*0.05)-'TEMPO - DEDS'!Y28,2500)</f>
        <v>0</v>
      </c>
      <c r="Y29" s="496">
        <v>200</v>
      </c>
    </row>
    <row r="30" spans="1:26" ht="18.75" customHeight="1" x14ac:dyDescent="0.25">
      <c r="A30" s="432"/>
      <c r="B30" s="405">
        <f t="shared" si="7"/>
        <v>10</v>
      </c>
      <c r="C30" s="509"/>
      <c r="D30" s="509" t="e">
        <f>VLOOKUP(C30,'WTAX-TEMPO'!C:O,2,0)</f>
        <v>#N/A</v>
      </c>
      <c r="E30" s="508">
        <f>VLOOKUP(B30,'WTAX-TEMPO'!B:N,4,0)</f>
        <v>0</v>
      </c>
      <c r="F30" s="526"/>
      <c r="G30" s="507"/>
      <c r="H30" s="507"/>
      <c r="I30" s="497">
        <f t="shared" si="0"/>
        <v>0</v>
      </c>
      <c r="J30" s="506">
        <f>'WTAX-TEMPO'!N17</f>
        <v>0</v>
      </c>
      <c r="K30" s="505">
        <f t="shared" si="1"/>
        <v>0</v>
      </c>
      <c r="L30" s="504">
        <f>'WTAX-TEMPO'!F17</f>
        <v>0</v>
      </c>
      <c r="M30" s="497">
        <f>'TEMPO - DEDS'!R29</f>
        <v>0</v>
      </c>
      <c r="N30" s="497">
        <f>'TEMPO - DEDS'!X29</f>
        <v>0</v>
      </c>
      <c r="O30" s="497">
        <f>'TEMPO - DEDS'!Y29</f>
        <v>0</v>
      </c>
      <c r="P30" s="497">
        <f>'TEMPO - DEDS'!AE29</f>
        <v>0</v>
      </c>
      <c r="Q30" s="503">
        <f t="shared" si="2"/>
        <v>0</v>
      </c>
      <c r="R30" s="502">
        <f t="shared" si="3"/>
        <v>0</v>
      </c>
      <c r="S30" s="501">
        <f t="shared" si="4"/>
        <v>0</v>
      </c>
      <c r="T30" s="500">
        <f t="shared" si="5"/>
        <v>0</v>
      </c>
      <c r="U30" s="499">
        <f t="shared" si="6"/>
        <v>10</v>
      </c>
      <c r="V30" s="498">
        <f>ROUND('TEMPO - PAY'!I30*0.12,2)</f>
        <v>0</v>
      </c>
      <c r="W30" s="497">
        <v>100</v>
      </c>
      <c r="X30" s="497">
        <f>MIN((I30*0.05)-'TEMPO - DEDS'!Y29,2500)</f>
        <v>0</v>
      </c>
      <c r="Y30" s="496">
        <v>200</v>
      </c>
    </row>
    <row r="31" spans="1:26" ht="18.75" customHeight="1" x14ac:dyDescent="0.25">
      <c r="A31" s="432"/>
      <c r="B31" s="405">
        <f t="shared" si="7"/>
        <v>11</v>
      </c>
      <c r="C31" s="509"/>
      <c r="D31" s="509" t="e">
        <f>VLOOKUP(C31,'WTAX-TEMPO'!C:O,2,0)</f>
        <v>#N/A</v>
      </c>
      <c r="E31" s="508">
        <f>VLOOKUP(B31,'WTAX-TEMPO'!B:N,4,0)</f>
        <v>0</v>
      </c>
      <c r="F31" s="526"/>
      <c r="G31" s="507"/>
      <c r="H31" s="507"/>
      <c r="I31" s="497">
        <f t="shared" si="0"/>
        <v>0</v>
      </c>
      <c r="J31" s="506">
        <f>'WTAX-TEMPO'!N18</f>
        <v>0</v>
      </c>
      <c r="K31" s="505">
        <f t="shared" si="1"/>
        <v>0</v>
      </c>
      <c r="L31" s="504">
        <f>'WTAX-TEMPO'!F18</f>
        <v>0</v>
      </c>
      <c r="M31" s="497">
        <f>'TEMPO - DEDS'!R30</f>
        <v>0</v>
      </c>
      <c r="N31" s="497">
        <f>'TEMPO - DEDS'!X30</f>
        <v>0</v>
      </c>
      <c r="O31" s="497">
        <f>'TEMPO - DEDS'!Y30</f>
        <v>0</v>
      </c>
      <c r="P31" s="497">
        <f>'TEMPO - DEDS'!AE30</f>
        <v>0</v>
      </c>
      <c r="Q31" s="503">
        <f t="shared" si="2"/>
        <v>0</v>
      </c>
      <c r="R31" s="502">
        <f t="shared" si="3"/>
        <v>0</v>
      </c>
      <c r="S31" s="501">
        <f t="shared" si="4"/>
        <v>0</v>
      </c>
      <c r="T31" s="500">
        <f t="shared" si="5"/>
        <v>0</v>
      </c>
      <c r="U31" s="499">
        <f t="shared" si="6"/>
        <v>11</v>
      </c>
      <c r="V31" s="498">
        <f>ROUND('TEMPO - PAY'!I31*0.12,2)</f>
        <v>0</v>
      </c>
      <c r="W31" s="497">
        <v>100</v>
      </c>
      <c r="X31" s="497">
        <f>MIN((I31*0.05)-'TEMPO - DEDS'!Y30,2500)</f>
        <v>0</v>
      </c>
      <c r="Y31" s="496">
        <v>200</v>
      </c>
    </row>
    <row r="32" spans="1:26" ht="18.75" customHeight="1" x14ac:dyDescent="0.25">
      <c r="A32" s="432"/>
      <c r="B32" s="405">
        <f t="shared" si="7"/>
        <v>12</v>
      </c>
      <c r="C32" s="509"/>
      <c r="D32" s="509" t="e">
        <f>VLOOKUP(C32,'WTAX-TEMPO'!C:O,2,0)</f>
        <v>#N/A</v>
      </c>
      <c r="E32" s="508">
        <f>VLOOKUP(B32,'WTAX-TEMPO'!B:N,4,0)</f>
        <v>0</v>
      </c>
      <c r="F32" s="526"/>
      <c r="G32" s="494"/>
      <c r="H32" s="494"/>
      <c r="I32" s="497">
        <f t="shared" si="0"/>
        <v>0</v>
      </c>
      <c r="J32" s="506">
        <f>'WTAX-TEMPO'!N19</f>
        <v>0</v>
      </c>
      <c r="K32" s="505">
        <f t="shared" si="1"/>
        <v>0</v>
      </c>
      <c r="L32" s="504">
        <f>'WTAX-TEMPO'!F19</f>
        <v>0</v>
      </c>
      <c r="M32" s="497">
        <f>'TEMPO - DEDS'!R31</f>
        <v>0</v>
      </c>
      <c r="N32" s="497">
        <f>'TEMPO - DEDS'!X31</f>
        <v>0</v>
      </c>
      <c r="O32" s="497">
        <f>'TEMPO - DEDS'!Y31</f>
        <v>0</v>
      </c>
      <c r="P32" s="497">
        <f>'TEMPO - DEDS'!AE31</f>
        <v>0</v>
      </c>
      <c r="Q32" s="503">
        <f t="shared" si="2"/>
        <v>0</v>
      </c>
      <c r="R32" s="502">
        <f t="shared" si="3"/>
        <v>0</v>
      </c>
      <c r="S32" s="501">
        <f t="shared" si="4"/>
        <v>0</v>
      </c>
      <c r="T32" s="500">
        <f t="shared" si="5"/>
        <v>0</v>
      </c>
      <c r="U32" s="499">
        <f t="shared" si="6"/>
        <v>12</v>
      </c>
      <c r="V32" s="498">
        <f>ROUND('TEMPO - PAY'!I32*0.12,2)</f>
        <v>0</v>
      </c>
      <c r="W32" s="497">
        <v>100</v>
      </c>
      <c r="X32" s="497">
        <f>MIN((I32*0.05)-'TEMPO - DEDS'!Y31,2500)</f>
        <v>0</v>
      </c>
      <c r="Y32" s="496">
        <v>200</v>
      </c>
    </row>
    <row r="33" spans="1:25" ht="18.75" customHeight="1" x14ac:dyDescent="0.25">
      <c r="A33" s="432"/>
      <c r="B33" s="405">
        <f t="shared" si="7"/>
        <v>13</v>
      </c>
      <c r="C33" s="509"/>
      <c r="D33" s="509" t="e">
        <f>VLOOKUP(C33,'WTAX-TEMPO'!C:O,2,0)</f>
        <v>#N/A</v>
      </c>
      <c r="E33" s="508">
        <f>VLOOKUP(B33,'WTAX-TEMPO'!B:N,4,0)</f>
        <v>0</v>
      </c>
      <c r="F33" s="526"/>
      <c r="G33" s="494"/>
      <c r="H33" s="494"/>
      <c r="I33" s="497">
        <f t="shared" si="0"/>
        <v>0</v>
      </c>
      <c r="J33" s="506">
        <f>'WTAX-TEMPO'!N20</f>
        <v>0</v>
      </c>
      <c r="K33" s="505">
        <f t="shared" si="1"/>
        <v>0</v>
      </c>
      <c r="L33" s="504">
        <f>'WTAX-TEMPO'!F20</f>
        <v>0</v>
      </c>
      <c r="M33" s="497">
        <f>'TEMPO - DEDS'!R32</f>
        <v>0</v>
      </c>
      <c r="N33" s="497">
        <f>'TEMPO - DEDS'!X32</f>
        <v>0</v>
      </c>
      <c r="O33" s="497">
        <f>'TEMPO - DEDS'!Y32</f>
        <v>0</v>
      </c>
      <c r="P33" s="497">
        <f>'TEMPO - DEDS'!AE32</f>
        <v>0</v>
      </c>
      <c r="Q33" s="503">
        <f t="shared" si="2"/>
        <v>0</v>
      </c>
      <c r="R33" s="502">
        <f t="shared" si="3"/>
        <v>0</v>
      </c>
      <c r="S33" s="501">
        <f t="shared" si="4"/>
        <v>0</v>
      </c>
      <c r="T33" s="500">
        <f t="shared" si="5"/>
        <v>0</v>
      </c>
      <c r="U33" s="499">
        <f t="shared" si="6"/>
        <v>13</v>
      </c>
      <c r="V33" s="498">
        <f>ROUND('TEMPO - PAY'!I33*0.12,2)</f>
        <v>0</v>
      </c>
      <c r="W33" s="497">
        <v>100</v>
      </c>
      <c r="X33" s="497">
        <f>MIN((I33*0.05)-'TEMPO - DEDS'!Y32,2500)</f>
        <v>0</v>
      </c>
      <c r="Y33" s="496">
        <v>200</v>
      </c>
    </row>
    <row r="34" spans="1:25" ht="18.75" customHeight="1" x14ac:dyDescent="0.25">
      <c r="A34" s="432"/>
      <c r="B34" s="405">
        <f t="shared" si="7"/>
        <v>14</v>
      </c>
      <c r="C34" s="509"/>
      <c r="D34" s="509" t="e">
        <f>VLOOKUP(C34,'WTAX-TEMPO'!C:O,2,0)</f>
        <v>#N/A</v>
      </c>
      <c r="E34" s="508">
        <f>VLOOKUP(B34,'WTAX-TEMPO'!B:N,4,0)</f>
        <v>0</v>
      </c>
      <c r="F34" s="526"/>
      <c r="G34" s="494"/>
      <c r="H34" s="494"/>
      <c r="I34" s="497">
        <f t="shared" si="0"/>
        <v>0</v>
      </c>
      <c r="J34" s="506">
        <f>'WTAX-TEMPO'!N21</f>
        <v>0</v>
      </c>
      <c r="K34" s="505">
        <f t="shared" si="1"/>
        <v>0</v>
      </c>
      <c r="L34" s="504">
        <f>'WTAX-TEMPO'!F21</f>
        <v>0</v>
      </c>
      <c r="M34" s="497">
        <f>'TEMPO - DEDS'!R33</f>
        <v>0</v>
      </c>
      <c r="N34" s="497">
        <f>'TEMPO - DEDS'!X33</f>
        <v>0</v>
      </c>
      <c r="O34" s="497">
        <f>'TEMPO - DEDS'!Y33</f>
        <v>0</v>
      </c>
      <c r="P34" s="497">
        <f>'TEMPO - DEDS'!AE33</f>
        <v>0</v>
      </c>
      <c r="Q34" s="503">
        <f t="shared" si="2"/>
        <v>0</v>
      </c>
      <c r="R34" s="502">
        <f t="shared" si="3"/>
        <v>0</v>
      </c>
      <c r="S34" s="501">
        <f t="shared" si="4"/>
        <v>0</v>
      </c>
      <c r="T34" s="500">
        <f t="shared" si="5"/>
        <v>0</v>
      </c>
      <c r="U34" s="499">
        <f t="shared" si="6"/>
        <v>14</v>
      </c>
      <c r="V34" s="498">
        <f>ROUND('TEMPO - PAY'!I34*0.12,2)</f>
        <v>0</v>
      </c>
      <c r="W34" s="497">
        <v>100</v>
      </c>
      <c r="X34" s="497">
        <f>MIN((I34*0.05)-'TEMPO - DEDS'!Y33,2500)</f>
        <v>0</v>
      </c>
      <c r="Y34" s="496">
        <v>200</v>
      </c>
    </row>
    <row r="35" spans="1:25" ht="18.75" customHeight="1" x14ac:dyDescent="0.25">
      <c r="A35" s="432"/>
      <c r="B35" s="405">
        <f t="shared" si="7"/>
        <v>15</v>
      </c>
      <c r="C35" s="509"/>
      <c r="D35" s="509" t="e">
        <f>VLOOKUP(C35,'WTAX-TEMPO'!C:O,2,0)</f>
        <v>#N/A</v>
      </c>
      <c r="E35" s="508">
        <f>VLOOKUP(B35,'WTAX-TEMPO'!B:N,4,0)</f>
        <v>0</v>
      </c>
      <c r="F35" s="526"/>
      <c r="G35" s="494"/>
      <c r="H35" s="494"/>
      <c r="I35" s="497">
        <f t="shared" si="0"/>
        <v>0</v>
      </c>
      <c r="J35" s="506">
        <f>'WTAX-TEMPO'!N22</f>
        <v>0</v>
      </c>
      <c r="K35" s="505">
        <f t="shared" si="1"/>
        <v>0</v>
      </c>
      <c r="L35" s="504">
        <f>'WTAX-TEMPO'!F22</f>
        <v>0</v>
      </c>
      <c r="M35" s="497">
        <f>'TEMPO - DEDS'!R34</f>
        <v>0</v>
      </c>
      <c r="N35" s="497">
        <f>'TEMPO - DEDS'!X34</f>
        <v>0</v>
      </c>
      <c r="O35" s="497">
        <f>'TEMPO - DEDS'!Y34</f>
        <v>0</v>
      </c>
      <c r="P35" s="497">
        <f>'TEMPO - DEDS'!AE34</f>
        <v>0</v>
      </c>
      <c r="Q35" s="503">
        <f t="shared" si="2"/>
        <v>0</v>
      </c>
      <c r="R35" s="502">
        <f t="shared" si="3"/>
        <v>0</v>
      </c>
      <c r="S35" s="501">
        <f t="shared" si="4"/>
        <v>0</v>
      </c>
      <c r="T35" s="500">
        <f t="shared" si="5"/>
        <v>0</v>
      </c>
      <c r="U35" s="499">
        <f t="shared" si="6"/>
        <v>15</v>
      </c>
      <c r="V35" s="498">
        <f>ROUND('TEMPO - PAY'!I35*0.12,2)</f>
        <v>0</v>
      </c>
      <c r="W35" s="497">
        <v>100</v>
      </c>
      <c r="X35" s="497">
        <f>MIN((I35*0.05)-'TEMPO - DEDS'!Y34,2500)</f>
        <v>0</v>
      </c>
      <c r="Y35" s="496">
        <v>200</v>
      </c>
    </row>
    <row r="36" spans="1:25" ht="18.75" customHeight="1" x14ac:dyDescent="0.25">
      <c r="A36" s="432"/>
      <c r="B36" s="405">
        <f t="shared" si="7"/>
        <v>16</v>
      </c>
      <c r="C36" s="509"/>
      <c r="D36" s="509" t="e">
        <f>VLOOKUP(C36,'WTAX-TEMPO'!C:O,2,0)</f>
        <v>#N/A</v>
      </c>
      <c r="E36" s="508">
        <f>VLOOKUP(B36,'WTAX-TEMPO'!B:N,4,0)</f>
        <v>0</v>
      </c>
      <c r="F36" s="526"/>
      <c r="G36" s="494"/>
      <c r="H36" s="494"/>
      <c r="I36" s="497">
        <f t="shared" si="0"/>
        <v>0</v>
      </c>
      <c r="J36" s="506">
        <f>'WTAX-TEMPO'!N23</f>
        <v>0</v>
      </c>
      <c r="K36" s="505">
        <f t="shared" si="1"/>
        <v>0</v>
      </c>
      <c r="L36" s="504">
        <f>'WTAX-TEMPO'!F23</f>
        <v>0</v>
      </c>
      <c r="M36" s="497">
        <f>'TEMPO - DEDS'!R35</f>
        <v>0</v>
      </c>
      <c r="N36" s="497">
        <f>'TEMPO - DEDS'!X35</f>
        <v>0</v>
      </c>
      <c r="O36" s="497">
        <f>'TEMPO - DEDS'!Y35</f>
        <v>0</v>
      </c>
      <c r="P36" s="497">
        <f>'TEMPO - DEDS'!AE35</f>
        <v>0</v>
      </c>
      <c r="Q36" s="503">
        <f t="shared" si="2"/>
        <v>0</v>
      </c>
      <c r="R36" s="502">
        <f t="shared" si="3"/>
        <v>0</v>
      </c>
      <c r="S36" s="501">
        <f t="shared" si="4"/>
        <v>0</v>
      </c>
      <c r="T36" s="500">
        <f t="shared" si="5"/>
        <v>0</v>
      </c>
      <c r="U36" s="499">
        <f t="shared" si="6"/>
        <v>16</v>
      </c>
      <c r="V36" s="498">
        <f>ROUND('TEMPO - PAY'!I36*0.12,2)</f>
        <v>0</v>
      </c>
      <c r="W36" s="497">
        <v>100</v>
      </c>
      <c r="X36" s="497">
        <f>MIN((I36*0.05)-'TEMPO - DEDS'!Y35,2500)</f>
        <v>0</v>
      </c>
      <c r="Y36" s="496">
        <v>200</v>
      </c>
    </row>
    <row r="37" spans="1:25" ht="18.75" customHeight="1" x14ac:dyDescent="0.25">
      <c r="A37" s="432"/>
      <c r="B37" s="405">
        <f t="shared" si="7"/>
        <v>17</v>
      </c>
      <c r="C37" s="509"/>
      <c r="D37" s="509" t="e">
        <f>VLOOKUP(C37,'WTAX-TEMPO'!C:O,2,0)</f>
        <v>#N/A</v>
      </c>
      <c r="E37" s="508">
        <f>VLOOKUP(B37,'WTAX-TEMPO'!B:N,4,0)</f>
        <v>0</v>
      </c>
      <c r="F37" s="526"/>
      <c r="G37" s="494"/>
      <c r="H37" s="494"/>
      <c r="I37" s="497">
        <f t="shared" si="0"/>
        <v>0</v>
      </c>
      <c r="J37" s="506">
        <f>'WTAX-TEMPO'!N24</f>
        <v>0</v>
      </c>
      <c r="K37" s="505">
        <f t="shared" si="1"/>
        <v>0</v>
      </c>
      <c r="L37" s="504">
        <f>'WTAX-TEMPO'!F24</f>
        <v>0</v>
      </c>
      <c r="M37" s="497">
        <f>'TEMPO - DEDS'!R36</f>
        <v>0</v>
      </c>
      <c r="N37" s="497">
        <f>'TEMPO - DEDS'!X36</f>
        <v>0</v>
      </c>
      <c r="O37" s="497">
        <f>'TEMPO - DEDS'!Y36</f>
        <v>0</v>
      </c>
      <c r="P37" s="497">
        <f>'TEMPO - DEDS'!AE36</f>
        <v>0</v>
      </c>
      <c r="Q37" s="503">
        <f t="shared" si="2"/>
        <v>0</v>
      </c>
      <c r="R37" s="502">
        <f t="shared" si="3"/>
        <v>0</v>
      </c>
      <c r="S37" s="501">
        <f t="shared" si="4"/>
        <v>0</v>
      </c>
      <c r="T37" s="500">
        <f t="shared" si="5"/>
        <v>0</v>
      </c>
      <c r="U37" s="499">
        <f t="shared" si="6"/>
        <v>17</v>
      </c>
      <c r="V37" s="498">
        <f>ROUND('TEMPO - PAY'!I37*0.12,2)</f>
        <v>0</v>
      </c>
      <c r="W37" s="497">
        <v>100</v>
      </c>
      <c r="X37" s="497">
        <f>MIN((I37*0.05)-'TEMPO - DEDS'!Y36,2500)</f>
        <v>0</v>
      </c>
      <c r="Y37" s="496">
        <v>200</v>
      </c>
    </row>
    <row r="38" spans="1:25" ht="18.75" customHeight="1" x14ac:dyDescent="0.25">
      <c r="A38" s="432"/>
      <c r="B38" s="405">
        <f t="shared" si="7"/>
        <v>18</v>
      </c>
      <c r="C38" s="509"/>
      <c r="D38" s="509" t="e">
        <f>VLOOKUP(C38,'WTAX-TEMPO'!C:O,2,0)</f>
        <v>#N/A</v>
      </c>
      <c r="E38" s="508">
        <f>VLOOKUP(B38,'WTAX-TEMPO'!B:N,4,0)</f>
        <v>0</v>
      </c>
      <c r="F38" s="526"/>
      <c r="G38" s="494"/>
      <c r="H38" s="494"/>
      <c r="I38" s="497">
        <f t="shared" si="0"/>
        <v>0</v>
      </c>
      <c r="J38" s="506">
        <f>'WTAX-TEMPO'!N25</f>
        <v>0</v>
      </c>
      <c r="K38" s="505">
        <f t="shared" si="1"/>
        <v>0</v>
      </c>
      <c r="L38" s="504">
        <f>'WTAX-TEMPO'!F25</f>
        <v>0</v>
      </c>
      <c r="M38" s="497">
        <f>'TEMPO - DEDS'!R37</f>
        <v>0</v>
      </c>
      <c r="N38" s="497">
        <f>'TEMPO - DEDS'!X37</f>
        <v>0</v>
      </c>
      <c r="O38" s="497">
        <f>'TEMPO - DEDS'!Y37</f>
        <v>0</v>
      </c>
      <c r="P38" s="497">
        <f>'TEMPO - DEDS'!AE37</f>
        <v>0</v>
      </c>
      <c r="Q38" s="503">
        <f t="shared" si="2"/>
        <v>0</v>
      </c>
      <c r="R38" s="502">
        <f t="shared" si="3"/>
        <v>0</v>
      </c>
      <c r="S38" s="501">
        <f t="shared" si="4"/>
        <v>0</v>
      </c>
      <c r="T38" s="500">
        <f t="shared" si="5"/>
        <v>0</v>
      </c>
      <c r="U38" s="499">
        <f t="shared" si="6"/>
        <v>18</v>
      </c>
      <c r="V38" s="498">
        <f>ROUND('TEMPO - PAY'!I38*0.12,2)</f>
        <v>0</v>
      </c>
      <c r="W38" s="497">
        <v>100</v>
      </c>
      <c r="X38" s="497">
        <f>MIN((I38*0.05)-'TEMPO - DEDS'!Y37,2500)</f>
        <v>0</v>
      </c>
      <c r="Y38" s="496">
        <v>200</v>
      </c>
    </row>
    <row r="39" spans="1:25" ht="18.75" customHeight="1" x14ac:dyDescent="0.25">
      <c r="A39" s="432"/>
      <c r="B39" s="405">
        <f t="shared" si="7"/>
        <v>19</v>
      </c>
      <c r="C39" s="509"/>
      <c r="D39" s="509" t="e">
        <f>VLOOKUP(C39,'WTAX-TEMPO'!C:O,2,0)</f>
        <v>#N/A</v>
      </c>
      <c r="E39" s="508">
        <f>VLOOKUP(B39,'WTAX-TEMPO'!B:N,4,0)</f>
        <v>0</v>
      </c>
      <c r="F39" s="526"/>
      <c r="G39" s="494"/>
      <c r="H39" s="494"/>
      <c r="I39" s="497">
        <f t="shared" si="0"/>
        <v>0</v>
      </c>
      <c r="J39" s="506">
        <f>'WTAX-TEMPO'!N26</f>
        <v>0</v>
      </c>
      <c r="K39" s="505">
        <f t="shared" si="1"/>
        <v>0</v>
      </c>
      <c r="L39" s="504">
        <f>'WTAX-TEMPO'!F26</f>
        <v>0</v>
      </c>
      <c r="M39" s="497">
        <f>'TEMPO - DEDS'!R38</f>
        <v>0</v>
      </c>
      <c r="N39" s="497">
        <f>'TEMPO - DEDS'!X38</f>
        <v>0</v>
      </c>
      <c r="O39" s="497">
        <f>'TEMPO - DEDS'!Y38</f>
        <v>0</v>
      </c>
      <c r="P39" s="497">
        <f>'TEMPO - DEDS'!AE38</f>
        <v>0</v>
      </c>
      <c r="Q39" s="503">
        <f t="shared" si="2"/>
        <v>0</v>
      </c>
      <c r="R39" s="502">
        <f t="shared" si="3"/>
        <v>0</v>
      </c>
      <c r="S39" s="501">
        <f t="shared" si="4"/>
        <v>0</v>
      </c>
      <c r="T39" s="500">
        <f t="shared" si="5"/>
        <v>0</v>
      </c>
      <c r="U39" s="499">
        <f t="shared" si="6"/>
        <v>19</v>
      </c>
      <c r="V39" s="498">
        <f>ROUND('TEMPO - PAY'!I39*0.12,2)</f>
        <v>0</v>
      </c>
      <c r="W39" s="497">
        <v>100</v>
      </c>
      <c r="X39" s="497">
        <f>MIN((I39*0.05)-'TEMPO - DEDS'!Y38,2500)</f>
        <v>0</v>
      </c>
      <c r="Y39" s="496">
        <v>200</v>
      </c>
    </row>
    <row r="40" spans="1:25" ht="18.75" customHeight="1" x14ac:dyDescent="0.25">
      <c r="A40" s="432"/>
      <c r="B40" s="405">
        <f t="shared" si="7"/>
        <v>20</v>
      </c>
      <c r="C40" s="509"/>
      <c r="D40" s="509" t="e">
        <f>VLOOKUP(C40,'WTAX-TEMPO'!C:O,2,0)</f>
        <v>#N/A</v>
      </c>
      <c r="E40" s="508">
        <f>VLOOKUP(B40,'WTAX-TEMPO'!B:N,4,0)</f>
        <v>0</v>
      </c>
      <c r="F40" s="526"/>
      <c r="G40" s="494"/>
      <c r="H40" s="494"/>
      <c r="I40" s="497">
        <f t="shared" si="0"/>
        <v>0</v>
      </c>
      <c r="J40" s="506">
        <f>'WTAX-TEMPO'!N27</f>
        <v>0</v>
      </c>
      <c r="K40" s="505">
        <f t="shared" si="1"/>
        <v>0</v>
      </c>
      <c r="L40" s="504">
        <f>'WTAX-TEMPO'!F27</f>
        <v>0</v>
      </c>
      <c r="M40" s="497">
        <f>'TEMPO - DEDS'!R39</f>
        <v>0</v>
      </c>
      <c r="N40" s="497">
        <f>'TEMPO - DEDS'!X39</f>
        <v>0</v>
      </c>
      <c r="O40" s="497">
        <f>'TEMPO - DEDS'!Y39</f>
        <v>0</v>
      </c>
      <c r="P40" s="497">
        <f>'TEMPO - DEDS'!AE39</f>
        <v>0</v>
      </c>
      <c r="Q40" s="503">
        <f t="shared" si="2"/>
        <v>0</v>
      </c>
      <c r="R40" s="502">
        <f t="shared" si="3"/>
        <v>0</v>
      </c>
      <c r="S40" s="501">
        <f t="shared" si="4"/>
        <v>0</v>
      </c>
      <c r="T40" s="500">
        <f t="shared" si="5"/>
        <v>0</v>
      </c>
      <c r="U40" s="499">
        <f t="shared" si="6"/>
        <v>20</v>
      </c>
      <c r="V40" s="498">
        <f>ROUND('TEMPO - PAY'!I40*0.12,2)</f>
        <v>0</v>
      </c>
      <c r="W40" s="497">
        <v>100</v>
      </c>
      <c r="X40" s="497">
        <f>MIN((I40*0.05)-'TEMPO - DEDS'!Y39,2500)</f>
        <v>0</v>
      </c>
      <c r="Y40" s="496">
        <v>200</v>
      </c>
    </row>
    <row r="41" spans="1:25" ht="18.75" customHeight="1" x14ac:dyDescent="0.25">
      <c r="A41" s="432"/>
      <c r="B41" s="405">
        <f t="shared" si="7"/>
        <v>21</v>
      </c>
      <c r="C41" s="509"/>
      <c r="D41" s="509" t="e">
        <f>VLOOKUP(C41,'WTAX-TEMPO'!C:O,2,0)</f>
        <v>#N/A</v>
      </c>
      <c r="E41" s="508">
        <f>VLOOKUP(B41,'WTAX-TEMPO'!B:N,4,0)</f>
        <v>0</v>
      </c>
      <c r="F41" s="526"/>
      <c r="G41" s="494"/>
      <c r="H41" s="494"/>
      <c r="I41" s="497">
        <f t="shared" si="0"/>
        <v>0</v>
      </c>
      <c r="J41" s="506">
        <f>'WTAX-TEMPO'!N28</f>
        <v>0</v>
      </c>
      <c r="K41" s="505">
        <f t="shared" si="1"/>
        <v>0</v>
      </c>
      <c r="L41" s="504">
        <f>'WTAX-TEMPO'!F28</f>
        <v>0</v>
      </c>
      <c r="M41" s="497">
        <f>'TEMPO - DEDS'!R40</f>
        <v>0</v>
      </c>
      <c r="N41" s="497">
        <f>'TEMPO - DEDS'!X40</f>
        <v>0</v>
      </c>
      <c r="O41" s="497">
        <f>'TEMPO - DEDS'!Y40</f>
        <v>0</v>
      </c>
      <c r="P41" s="497">
        <f>'TEMPO - DEDS'!AE40</f>
        <v>0</v>
      </c>
      <c r="Q41" s="503">
        <f t="shared" si="2"/>
        <v>0</v>
      </c>
      <c r="R41" s="502">
        <f t="shared" si="3"/>
        <v>0</v>
      </c>
      <c r="S41" s="501">
        <f t="shared" si="4"/>
        <v>0</v>
      </c>
      <c r="T41" s="500">
        <f t="shared" si="5"/>
        <v>0</v>
      </c>
      <c r="U41" s="499">
        <f t="shared" si="6"/>
        <v>21</v>
      </c>
      <c r="V41" s="498">
        <f>ROUND('TEMPO - PAY'!I41*0.12,2)</f>
        <v>0</v>
      </c>
      <c r="W41" s="497">
        <v>100</v>
      </c>
      <c r="X41" s="497">
        <f>MIN((I41*0.05)-'TEMPO - DEDS'!Y40,2500)</f>
        <v>0</v>
      </c>
      <c r="Y41" s="496">
        <v>200</v>
      </c>
    </row>
    <row r="42" spans="1:25" ht="18.75" customHeight="1" x14ac:dyDescent="0.25">
      <c r="A42" s="432"/>
      <c r="B42" s="405">
        <f t="shared" si="7"/>
        <v>22</v>
      </c>
      <c r="C42" s="509"/>
      <c r="D42" s="509" t="e">
        <f>VLOOKUP(C42,'WTAX-TEMPO'!C:O,2,0)</f>
        <v>#N/A</v>
      </c>
      <c r="E42" s="508">
        <f>VLOOKUP(B42,'WTAX-TEMPO'!B:N,4,0)</f>
        <v>0</v>
      </c>
      <c r="F42" s="525"/>
      <c r="G42" s="494"/>
      <c r="H42" s="494"/>
      <c r="I42" s="497">
        <f t="shared" si="0"/>
        <v>0</v>
      </c>
      <c r="J42" s="506">
        <f>'WTAX-TEMPO'!N29</f>
        <v>0</v>
      </c>
      <c r="K42" s="505">
        <f t="shared" si="1"/>
        <v>0</v>
      </c>
      <c r="L42" s="504">
        <f>'WTAX-TEMPO'!F29</f>
        <v>0</v>
      </c>
      <c r="M42" s="497">
        <f>'TEMPO - DEDS'!R41</f>
        <v>0</v>
      </c>
      <c r="N42" s="497">
        <f>'TEMPO - DEDS'!X41</f>
        <v>0</v>
      </c>
      <c r="O42" s="497">
        <f>'TEMPO - DEDS'!Y41</f>
        <v>0</v>
      </c>
      <c r="P42" s="497">
        <f>'TEMPO - DEDS'!AE41</f>
        <v>0</v>
      </c>
      <c r="Q42" s="503">
        <f t="shared" si="2"/>
        <v>0</v>
      </c>
      <c r="R42" s="502">
        <f t="shared" si="3"/>
        <v>0</v>
      </c>
      <c r="S42" s="501">
        <f t="shared" si="4"/>
        <v>0</v>
      </c>
      <c r="T42" s="500">
        <f t="shared" si="5"/>
        <v>0</v>
      </c>
      <c r="U42" s="499">
        <f t="shared" si="6"/>
        <v>22</v>
      </c>
      <c r="V42" s="498">
        <f>ROUND('TEMPO - PAY'!I42*0.12,2)</f>
        <v>0</v>
      </c>
      <c r="W42" s="497">
        <v>100</v>
      </c>
      <c r="X42" s="497">
        <f>MIN((I42*0.05)-'TEMPO - DEDS'!Y41,2500)</f>
        <v>0</v>
      </c>
      <c r="Y42" s="496">
        <v>200</v>
      </c>
    </row>
    <row r="43" spans="1:25" ht="18.75" customHeight="1" x14ac:dyDescent="0.25">
      <c r="A43" s="432"/>
      <c r="B43" s="405">
        <f t="shared" si="7"/>
        <v>23</v>
      </c>
      <c r="C43" s="509"/>
      <c r="D43" s="509" t="e">
        <f>VLOOKUP(C43,'WTAX-TEMPO'!C:O,2,0)</f>
        <v>#N/A</v>
      </c>
      <c r="E43" s="508">
        <f>VLOOKUP(B43,'WTAX-TEMPO'!B:N,4,0)</f>
        <v>0</v>
      </c>
      <c r="F43" s="495"/>
      <c r="G43" s="494"/>
      <c r="H43" s="494"/>
      <c r="I43" s="497">
        <f t="shared" si="0"/>
        <v>0</v>
      </c>
      <c r="J43" s="506">
        <f>'WTAX-TEMPO'!N30</f>
        <v>0</v>
      </c>
      <c r="K43" s="505">
        <f t="shared" si="1"/>
        <v>0</v>
      </c>
      <c r="L43" s="504">
        <f>'WTAX-TEMPO'!F30</f>
        <v>0</v>
      </c>
      <c r="M43" s="497">
        <f>'TEMPO - DEDS'!R42</f>
        <v>0</v>
      </c>
      <c r="N43" s="497">
        <f>'TEMPO - DEDS'!X42</f>
        <v>0</v>
      </c>
      <c r="O43" s="497">
        <f>'TEMPO - DEDS'!Y42</f>
        <v>0</v>
      </c>
      <c r="P43" s="497">
        <f>'TEMPO - DEDS'!AE42</f>
        <v>0</v>
      </c>
      <c r="Q43" s="503">
        <f t="shared" si="2"/>
        <v>0</v>
      </c>
      <c r="R43" s="502">
        <f t="shared" si="3"/>
        <v>0</v>
      </c>
      <c r="S43" s="501">
        <f t="shared" si="4"/>
        <v>0</v>
      </c>
      <c r="T43" s="500">
        <f t="shared" si="5"/>
        <v>0</v>
      </c>
      <c r="U43" s="499">
        <f t="shared" si="6"/>
        <v>23</v>
      </c>
      <c r="V43" s="498">
        <f>ROUND('TEMPO - PAY'!I43*0.12,2)</f>
        <v>0</v>
      </c>
      <c r="W43" s="497">
        <v>100</v>
      </c>
      <c r="X43" s="497">
        <f>MIN((I43*0.05)-'TEMPO - DEDS'!Y42,2500)</f>
        <v>0</v>
      </c>
      <c r="Y43" s="496">
        <v>200</v>
      </c>
    </row>
    <row r="44" spans="1:25" s="637" customFormat="1" ht="18.75" customHeight="1" x14ac:dyDescent="0.25">
      <c r="A44" s="623"/>
      <c r="B44" s="624">
        <f t="shared" si="7"/>
        <v>24</v>
      </c>
      <c r="C44" s="625"/>
      <c r="D44" s="625" t="e">
        <f>VLOOKUP(C44,'WTAX-TEMPO'!C:O,2,0)</f>
        <v>#N/A</v>
      </c>
      <c r="E44" s="626">
        <f>VLOOKUP(B44,'WTAX-TEMPO'!B:N,4,0)</f>
        <v>0</v>
      </c>
      <c r="F44" s="635"/>
      <c r="G44" s="628"/>
      <c r="H44" s="628"/>
      <c r="I44" s="628">
        <f t="shared" si="0"/>
        <v>0</v>
      </c>
      <c r="J44" s="628">
        <f>'WTAX-TEMPO'!N31</f>
        <v>0</v>
      </c>
      <c r="K44" s="629">
        <f t="shared" si="1"/>
        <v>0</v>
      </c>
      <c r="L44" s="627">
        <f>'WTAX-TEMPO'!F31</f>
        <v>0</v>
      </c>
      <c r="M44" s="628">
        <f>'TEMPO - DEDS'!R43</f>
        <v>0</v>
      </c>
      <c r="N44" s="628">
        <f>'TEMPO - DEDS'!X43</f>
        <v>0</v>
      </c>
      <c r="O44" s="628">
        <f>'TEMPO - DEDS'!Y43</f>
        <v>0</v>
      </c>
      <c r="P44" s="628">
        <f>'TEMPO - DEDS'!AE43</f>
        <v>0</v>
      </c>
      <c r="Q44" s="630">
        <f t="shared" si="2"/>
        <v>0</v>
      </c>
      <c r="R44" s="631">
        <f t="shared" si="3"/>
        <v>0</v>
      </c>
      <c r="S44" s="632">
        <f t="shared" si="4"/>
        <v>0</v>
      </c>
      <c r="T44" s="633">
        <f t="shared" si="5"/>
        <v>0</v>
      </c>
      <c r="U44" s="634">
        <f t="shared" si="6"/>
        <v>24</v>
      </c>
      <c r="V44" s="635">
        <f>ROUND('TEMPO - PAY'!I44*0.12,2)</f>
        <v>0</v>
      </c>
      <c r="W44" s="628">
        <v>100</v>
      </c>
      <c r="X44" s="628">
        <f>MIN((I44*0.05)-'TEMPO - DEDS'!Y43,2500)</f>
        <v>0</v>
      </c>
      <c r="Y44" s="636">
        <v>200</v>
      </c>
    </row>
    <row r="45" spans="1:25" ht="18.75" customHeight="1" x14ac:dyDescent="0.25">
      <c r="A45" s="432"/>
      <c r="B45" s="405">
        <f t="shared" si="7"/>
        <v>25</v>
      </c>
      <c r="C45" s="509"/>
      <c r="D45" s="509" t="e">
        <f>VLOOKUP(C45,'WTAX-TEMPO'!C:O,2,0)</f>
        <v>#N/A</v>
      </c>
      <c r="E45" s="508">
        <f>VLOOKUP(B45,'WTAX-TEMPO'!B:N,4,0)</f>
        <v>0</v>
      </c>
      <c r="F45" s="495"/>
      <c r="G45" s="494"/>
      <c r="H45" s="494"/>
      <c r="I45" s="497">
        <f t="shared" si="0"/>
        <v>0</v>
      </c>
      <c r="J45" s="506">
        <f>'WTAX-TEMPO'!N32</f>
        <v>0</v>
      </c>
      <c r="K45" s="505">
        <f t="shared" si="1"/>
        <v>0</v>
      </c>
      <c r="L45" s="504">
        <f>'WTAX-TEMPO'!F32</f>
        <v>0</v>
      </c>
      <c r="M45" s="497">
        <f>'TEMPO - DEDS'!R44</f>
        <v>0</v>
      </c>
      <c r="N45" s="497">
        <f>'TEMPO - DEDS'!X44</f>
        <v>0</v>
      </c>
      <c r="O45" s="497">
        <f>'TEMPO - DEDS'!Y44</f>
        <v>0</v>
      </c>
      <c r="P45" s="497">
        <f>'TEMPO - DEDS'!AE44</f>
        <v>0</v>
      </c>
      <c r="Q45" s="503">
        <f t="shared" si="2"/>
        <v>0</v>
      </c>
      <c r="R45" s="502">
        <f t="shared" si="3"/>
        <v>0</v>
      </c>
      <c r="S45" s="501">
        <f t="shared" si="4"/>
        <v>0</v>
      </c>
      <c r="T45" s="500">
        <f t="shared" si="5"/>
        <v>0</v>
      </c>
      <c r="U45" s="499">
        <f t="shared" si="6"/>
        <v>25</v>
      </c>
      <c r="V45" s="498">
        <f>ROUND('TEMPO - PAY'!I45*0.12,2)</f>
        <v>0</v>
      </c>
      <c r="W45" s="497">
        <v>100</v>
      </c>
      <c r="X45" s="497">
        <f>MIN((I45*0.05)-'TEMPO - DEDS'!Y44,2500)</f>
        <v>0</v>
      </c>
      <c r="Y45" s="496">
        <v>200</v>
      </c>
    </row>
    <row r="46" spans="1:25" ht="18.75" customHeight="1" x14ac:dyDescent="0.25">
      <c r="A46" s="432"/>
      <c r="B46" s="405">
        <f t="shared" si="7"/>
        <v>26</v>
      </c>
      <c r="C46" s="509"/>
      <c r="D46" s="509" t="e">
        <f>VLOOKUP(C46,'WTAX-TEMPO'!C:O,2,0)</f>
        <v>#N/A</v>
      </c>
      <c r="E46" s="508">
        <f>VLOOKUP(B46,'WTAX-TEMPO'!B:N,4,0)</f>
        <v>0</v>
      </c>
      <c r="F46" s="495"/>
      <c r="G46" s="494"/>
      <c r="H46" s="494"/>
      <c r="I46" s="497">
        <f t="shared" si="0"/>
        <v>0</v>
      </c>
      <c r="J46" s="506">
        <f>'WTAX-TEMPO'!N33</f>
        <v>0</v>
      </c>
      <c r="K46" s="505">
        <f t="shared" si="1"/>
        <v>0</v>
      </c>
      <c r="L46" s="504">
        <f>'WTAX-TEMPO'!F33</f>
        <v>0</v>
      </c>
      <c r="M46" s="497">
        <f>'TEMPO - DEDS'!R45</f>
        <v>0</v>
      </c>
      <c r="N46" s="497">
        <f>'TEMPO - DEDS'!X45</f>
        <v>0</v>
      </c>
      <c r="O46" s="497">
        <f>'TEMPO - DEDS'!Y45</f>
        <v>0</v>
      </c>
      <c r="P46" s="497">
        <f>'TEMPO - DEDS'!AE45</f>
        <v>0</v>
      </c>
      <c r="Q46" s="503">
        <f t="shared" si="2"/>
        <v>0</v>
      </c>
      <c r="R46" s="502">
        <f t="shared" si="3"/>
        <v>0</v>
      </c>
      <c r="S46" s="501">
        <f t="shared" si="4"/>
        <v>0</v>
      </c>
      <c r="T46" s="500">
        <f t="shared" si="5"/>
        <v>0</v>
      </c>
      <c r="U46" s="499">
        <f t="shared" si="6"/>
        <v>26</v>
      </c>
      <c r="V46" s="498">
        <f>ROUND('TEMPO - PAY'!I46*0.12,2)</f>
        <v>0</v>
      </c>
      <c r="W46" s="497">
        <v>100</v>
      </c>
      <c r="X46" s="497">
        <f>MIN((I46*0.05)-'TEMPO - DEDS'!Y45,2500)</f>
        <v>0</v>
      </c>
      <c r="Y46" s="496">
        <v>200</v>
      </c>
    </row>
    <row r="47" spans="1:25" ht="18.75" customHeight="1" x14ac:dyDescent="0.25">
      <c r="A47" s="432"/>
      <c r="B47" s="405">
        <f t="shared" si="7"/>
        <v>27</v>
      </c>
      <c r="C47" s="509"/>
      <c r="D47" s="509" t="e">
        <f>VLOOKUP(C47,'WTAX-TEMPO'!C:O,2,0)</f>
        <v>#N/A</v>
      </c>
      <c r="E47" s="508">
        <f>VLOOKUP(B47,'WTAX-TEMPO'!B:N,4,0)</f>
        <v>0</v>
      </c>
      <c r="F47" s="495"/>
      <c r="G47" s="494"/>
      <c r="H47" s="494"/>
      <c r="I47" s="497">
        <f t="shared" si="0"/>
        <v>0</v>
      </c>
      <c r="J47" s="506">
        <f>'WTAX-TEMPO'!N34</f>
        <v>0</v>
      </c>
      <c r="K47" s="505">
        <f t="shared" si="1"/>
        <v>0</v>
      </c>
      <c r="L47" s="504">
        <f>'WTAX-TEMPO'!F34</f>
        <v>0</v>
      </c>
      <c r="M47" s="497">
        <f>'TEMPO - DEDS'!R46</f>
        <v>0</v>
      </c>
      <c r="N47" s="497">
        <f>'TEMPO - DEDS'!X46</f>
        <v>0</v>
      </c>
      <c r="O47" s="497">
        <f>'TEMPO - DEDS'!Y46</f>
        <v>0</v>
      </c>
      <c r="P47" s="497">
        <f>'TEMPO - DEDS'!AE46</f>
        <v>0</v>
      </c>
      <c r="Q47" s="503">
        <f t="shared" si="2"/>
        <v>0</v>
      </c>
      <c r="R47" s="502">
        <f t="shared" si="3"/>
        <v>0</v>
      </c>
      <c r="S47" s="501">
        <f t="shared" si="4"/>
        <v>0</v>
      </c>
      <c r="T47" s="500">
        <f t="shared" si="5"/>
        <v>0</v>
      </c>
      <c r="U47" s="499">
        <f t="shared" si="6"/>
        <v>27</v>
      </c>
      <c r="V47" s="498">
        <f>ROUND('TEMPO - PAY'!I47*0.12,2)</f>
        <v>0</v>
      </c>
      <c r="W47" s="497">
        <v>100</v>
      </c>
      <c r="X47" s="497">
        <f>MIN((I47*0.05)-'TEMPO - DEDS'!Y46,2500)</f>
        <v>0</v>
      </c>
      <c r="Y47" s="496">
        <v>200</v>
      </c>
    </row>
    <row r="48" spans="1:25" ht="18.75" customHeight="1" x14ac:dyDescent="0.25">
      <c r="A48" s="432"/>
      <c r="B48" s="405">
        <f t="shared" si="7"/>
        <v>28</v>
      </c>
      <c r="C48" s="509"/>
      <c r="D48" s="509" t="e">
        <f>VLOOKUP(C48,'WTAX-TEMPO'!C:O,2,0)</f>
        <v>#N/A</v>
      </c>
      <c r="E48" s="508">
        <f>VLOOKUP(B48,'WTAX-TEMPO'!B:N,4,0)</f>
        <v>0</v>
      </c>
      <c r="F48" s="495"/>
      <c r="G48" s="494"/>
      <c r="H48" s="494"/>
      <c r="I48" s="497">
        <f t="shared" si="0"/>
        <v>0</v>
      </c>
      <c r="J48" s="506">
        <f>'WTAX-TEMPO'!N35</f>
        <v>0</v>
      </c>
      <c r="K48" s="505">
        <f t="shared" si="1"/>
        <v>0</v>
      </c>
      <c r="L48" s="504">
        <f>'WTAX-TEMPO'!F35</f>
        <v>0</v>
      </c>
      <c r="M48" s="497">
        <f>'TEMPO - DEDS'!R47</f>
        <v>0</v>
      </c>
      <c r="N48" s="497">
        <f>'TEMPO - DEDS'!X47</f>
        <v>0</v>
      </c>
      <c r="O48" s="497">
        <f>'TEMPO - DEDS'!Y47</f>
        <v>0</v>
      </c>
      <c r="P48" s="497">
        <f>'TEMPO - DEDS'!AE47</f>
        <v>0</v>
      </c>
      <c r="Q48" s="503">
        <f t="shared" si="2"/>
        <v>0</v>
      </c>
      <c r="R48" s="502">
        <f t="shared" si="3"/>
        <v>0</v>
      </c>
      <c r="S48" s="501">
        <f t="shared" si="4"/>
        <v>0</v>
      </c>
      <c r="T48" s="500">
        <f t="shared" si="5"/>
        <v>0</v>
      </c>
      <c r="U48" s="499">
        <f t="shared" si="6"/>
        <v>28</v>
      </c>
      <c r="V48" s="498">
        <f>ROUND('TEMPO - PAY'!I48*0.12,2)</f>
        <v>0</v>
      </c>
      <c r="W48" s="497">
        <v>100</v>
      </c>
      <c r="X48" s="497">
        <f>MIN((I48*0.05)-'TEMPO - DEDS'!Y47,2500)</f>
        <v>0</v>
      </c>
      <c r="Y48" s="496">
        <v>200</v>
      </c>
    </row>
    <row r="49" spans="1:25" ht="18.75" customHeight="1" x14ac:dyDescent="0.25">
      <c r="A49" s="432"/>
      <c r="B49" s="405">
        <f t="shared" si="7"/>
        <v>29</v>
      </c>
      <c r="C49" s="509"/>
      <c r="D49" s="509" t="e">
        <f>VLOOKUP(C49,'WTAX-TEMPO'!C:O,2,0)</f>
        <v>#N/A</v>
      </c>
      <c r="E49" s="508">
        <f>VLOOKUP(B49,'WTAX-TEMPO'!B:N,4,0)</f>
        <v>0</v>
      </c>
      <c r="F49" s="495"/>
      <c r="G49" s="494"/>
      <c r="H49" s="494"/>
      <c r="I49" s="497">
        <f t="shared" si="0"/>
        <v>0</v>
      </c>
      <c r="J49" s="506">
        <f>'WTAX-TEMPO'!N36</f>
        <v>0</v>
      </c>
      <c r="K49" s="505">
        <f t="shared" si="1"/>
        <v>0</v>
      </c>
      <c r="L49" s="504">
        <f>'WTAX-TEMPO'!F36</f>
        <v>0</v>
      </c>
      <c r="M49" s="497">
        <f>'TEMPO - DEDS'!R48</f>
        <v>0</v>
      </c>
      <c r="N49" s="497">
        <f>'TEMPO - DEDS'!X48</f>
        <v>0</v>
      </c>
      <c r="O49" s="497">
        <f>'TEMPO - DEDS'!Y48</f>
        <v>0</v>
      </c>
      <c r="P49" s="497">
        <f>'TEMPO - DEDS'!AE48</f>
        <v>0</v>
      </c>
      <c r="Q49" s="503">
        <f t="shared" si="2"/>
        <v>0</v>
      </c>
      <c r="R49" s="502">
        <f t="shared" si="3"/>
        <v>0</v>
      </c>
      <c r="S49" s="501">
        <f t="shared" si="4"/>
        <v>0</v>
      </c>
      <c r="T49" s="500">
        <f t="shared" si="5"/>
        <v>0</v>
      </c>
      <c r="U49" s="499">
        <f t="shared" si="6"/>
        <v>29</v>
      </c>
      <c r="V49" s="498">
        <f>ROUND('TEMPO - PAY'!I49*0.12,2)</f>
        <v>0</v>
      </c>
      <c r="W49" s="497">
        <v>100</v>
      </c>
      <c r="X49" s="497">
        <f>MIN((I49*0.05)-'TEMPO - DEDS'!Y48,2500)</f>
        <v>0</v>
      </c>
      <c r="Y49" s="496">
        <v>200</v>
      </c>
    </row>
    <row r="50" spans="1:25" ht="18.75" customHeight="1" x14ac:dyDescent="0.25">
      <c r="A50" s="432"/>
      <c r="B50" s="405">
        <f t="shared" si="7"/>
        <v>30</v>
      </c>
      <c r="C50" s="509"/>
      <c r="D50" s="509" t="e">
        <f>VLOOKUP(C50,'WTAX-TEMPO'!C:O,2,0)</f>
        <v>#N/A</v>
      </c>
      <c r="E50" s="508">
        <f>VLOOKUP(B50,'WTAX-TEMPO'!B:N,4,0)</f>
        <v>0</v>
      </c>
      <c r="F50" s="495"/>
      <c r="G50" s="494"/>
      <c r="H50" s="494"/>
      <c r="I50" s="497">
        <f t="shared" si="0"/>
        <v>0</v>
      </c>
      <c r="J50" s="506">
        <f>'WTAX-TEMPO'!N37</f>
        <v>0</v>
      </c>
      <c r="K50" s="505">
        <f t="shared" si="1"/>
        <v>0</v>
      </c>
      <c r="L50" s="504">
        <f>'WTAX-TEMPO'!F37</f>
        <v>0</v>
      </c>
      <c r="M50" s="497">
        <f>'TEMPO - DEDS'!R49</f>
        <v>0</v>
      </c>
      <c r="N50" s="497">
        <f>'TEMPO - DEDS'!X49</f>
        <v>0</v>
      </c>
      <c r="O50" s="497">
        <f>'TEMPO - DEDS'!Y49</f>
        <v>0</v>
      </c>
      <c r="P50" s="497">
        <f>'TEMPO - DEDS'!AE49</f>
        <v>0</v>
      </c>
      <c r="Q50" s="503">
        <f t="shared" si="2"/>
        <v>0</v>
      </c>
      <c r="R50" s="502">
        <f t="shared" si="3"/>
        <v>0</v>
      </c>
      <c r="S50" s="501">
        <f t="shared" si="4"/>
        <v>0</v>
      </c>
      <c r="T50" s="500">
        <f t="shared" si="5"/>
        <v>0</v>
      </c>
      <c r="U50" s="499">
        <f t="shared" si="6"/>
        <v>30</v>
      </c>
      <c r="V50" s="498">
        <f>ROUND('TEMPO - PAY'!I50*0.12,2)</f>
        <v>0</v>
      </c>
      <c r="W50" s="497">
        <v>100</v>
      </c>
      <c r="X50" s="497">
        <f>MIN((I50*0.05)-'TEMPO - DEDS'!Y49,2500)</f>
        <v>0</v>
      </c>
      <c r="Y50" s="496">
        <v>200</v>
      </c>
    </row>
    <row r="51" spans="1:25" ht="18.75" customHeight="1" x14ac:dyDescent="0.25">
      <c r="A51" s="432"/>
      <c r="B51" s="405">
        <f t="shared" si="7"/>
        <v>31</v>
      </c>
      <c r="C51" s="509"/>
      <c r="D51" s="509" t="e">
        <f>VLOOKUP(C51,'WTAX-TEMPO'!C:O,2,0)</f>
        <v>#N/A</v>
      </c>
      <c r="E51" s="508">
        <f>VLOOKUP(B51,'WTAX-TEMPO'!B:N,4,0)</f>
        <v>0</v>
      </c>
      <c r="F51" s="525"/>
      <c r="G51" s="494"/>
      <c r="H51" s="494"/>
      <c r="I51" s="497">
        <f t="shared" si="0"/>
        <v>0</v>
      </c>
      <c r="J51" s="506">
        <f>'WTAX-TEMPO'!N38</f>
        <v>0</v>
      </c>
      <c r="K51" s="505">
        <f t="shared" si="1"/>
        <v>0</v>
      </c>
      <c r="L51" s="504">
        <f>'WTAX-TEMPO'!F38</f>
        <v>0</v>
      </c>
      <c r="M51" s="497">
        <f>'TEMPO - DEDS'!R50</f>
        <v>0</v>
      </c>
      <c r="N51" s="497">
        <f>'TEMPO - DEDS'!X50</f>
        <v>0</v>
      </c>
      <c r="O51" s="497">
        <f>'TEMPO - DEDS'!Y50</f>
        <v>0</v>
      </c>
      <c r="P51" s="497">
        <f>'TEMPO - DEDS'!AE50</f>
        <v>0</v>
      </c>
      <c r="Q51" s="503">
        <f t="shared" si="2"/>
        <v>0</v>
      </c>
      <c r="R51" s="502">
        <f t="shared" si="3"/>
        <v>0</v>
      </c>
      <c r="S51" s="501">
        <f t="shared" si="4"/>
        <v>0</v>
      </c>
      <c r="T51" s="500">
        <f t="shared" si="5"/>
        <v>0</v>
      </c>
      <c r="U51" s="499">
        <f t="shared" si="6"/>
        <v>31</v>
      </c>
      <c r="V51" s="498">
        <f>ROUND('TEMPO - PAY'!I51*0.12,2)</f>
        <v>0</v>
      </c>
      <c r="W51" s="497">
        <v>100</v>
      </c>
      <c r="X51" s="497">
        <f>MIN((I51*0.05)-'TEMPO - DEDS'!Y50,2500)</f>
        <v>0</v>
      </c>
      <c r="Y51" s="496">
        <v>200</v>
      </c>
    </row>
    <row r="52" spans="1:25" ht="18.75" customHeight="1" x14ac:dyDescent="0.25">
      <c r="A52" s="432"/>
      <c r="B52" s="405">
        <f t="shared" si="7"/>
        <v>32</v>
      </c>
      <c r="C52" s="509"/>
      <c r="D52" s="509" t="e">
        <f>VLOOKUP(C52,'WTAX-TEMPO'!C:O,2,0)</f>
        <v>#N/A</v>
      </c>
      <c r="E52" s="508">
        <f>VLOOKUP(B52,'WTAX-TEMPO'!B:N,4,0)</f>
        <v>0</v>
      </c>
      <c r="F52" s="495"/>
      <c r="G52" s="494"/>
      <c r="H52" s="494"/>
      <c r="I52" s="497">
        <f t="shared" si="0"/>
        <v>0</v>
      </c>
      <c r="J52" s="506">
        <f>'WTAX-TEMPO'!N39</f>
        <v>0</v>
      </c>
      <c r="K52" s="505">
        <f t="shared" si="1"/>
        <v>0</v>
      </c>
      <c r="L52" s="504">
        <f>'WTAX-TEMPO'!F39</f>
        <v>0</v>
      </c>
      <c r="M52" s="497">
        <f>'TEMPO - DEDS'!R51</f>
        <v>0</v>
      </c>
      <c r="N52" s="497">
        <f>'TEMPO - DEDS'!X51</f>
        <v>0</v>
      </c>
      <c r="O52" s="497">
        <f>'TEMPO - DEDS'!Y51</f>
        <v>0</v>
      </c>
      <c r="P52" s="497">
        <f>'TEMPO - DEDS'!AE51</f>
        <v>0</v>
      </c>
      <c r="Q52" s="503">
        <f t="shared" si="2"/>
        <v>0</v>
      </c>
      <c r="R52" s="502">
        <f t="shared" si="3"/>
        <v>0</v>
      </c>
      <c r="S52" s="501">
        <f t="shared" si="4"/>
        <v>0</v>
      </c>
      <c r="T52" s="500">
        <f t="shared" si="5"/>
        <v>0</v>
      </c>
      <c r="U52" s="499">
        <f t="shared" si="6"/>
        <v>32</v>
      </c>
      <c r="V52" s="498">
        <f>ROUND('TEMPO - PAY'!I52*0.12,2)</f>
        <v>0</v>
      </c>
      <c r="W52" s="497">
        <v>100</v>
      </c>
      <c r="X52" s="497">
        <f>MIN((I52*0.05)-'TEMPO - DEDS'!Y51,2500)</f>
        <v>0</v>
      </c>
      <c r="Y52" s="496">
        <v>200</v>
      </c>
    </row>
    <row r="53" spans="1:25" ht="18.75" customHeight="1" x14ac:dyDescent="0.25">
      <c r="A53" s="432"/>
      <c r="B53" s="405">
        <f t="shared" si="7"/>
        <v>33</v>
      </c>
      <c r="C53" s="509"/>
      <c r="D53" s="509" t="e">
        <f>VLOOKUP(C53,'WTAX-TEMPO'!C:O,2,0)</f>
        <v>#N/A</v>
      </c>
      <c r="E53" s="508">
        <f>VLOOKUP(B53,'WTAX-TEMPO'!B:N,4,0)</f>
        <v>0</v>
      </c>
      <c r="F53" s="525"/>
      <c r="G53" s="494"/>
      <c r="H53" s="494"/>
      <c r="I53" s="497">
        <f t="shared" si="0"/>
        <v>0</v>
      </c>
      <c r="J53" s="506">
        <f>'WTAX-TEMPO'!N40</f>
        <v>0</v>
      </c>
      <c r="K53" s="505">
        <f t="shared" si="1"/>
        <v>0</v>
      </c>
      <c r="L53" s="504">
        <f>'WTAX-TEMPO'!F40</f>
        <v>0</v>
      </c>
      <c r="M53" s="497">
        <f>'TEMPO - DEDS'!R52</f>
        <v>0</v>
      </c>
      <c r="N53" s="497">
        <f>'TEMPO - DEDS'!X52</f>
        <v>0</v>
      </c>
      <c r="O53" s="497">
        <f>'TEMPO - DEDS'!Y52</f>
        <v>0</v>
      </c>
      <c r="P53" s="497">
        <f>'TEMPO - DEDS'!AE52</f>
        <v>0</v>
      </c>
      <c r="Q53" s="503">
        <f t="shared" si="2"/>
        <v>0</v>
      </c>
      <c r="R53" s="502">
        <f t="shared" si="3"/>
        <v>0</v>
      </c>
      <c r="S53" s="501">
        <f t="shared" si="4"/>
        <v>0</v>
      </c>
      <c r="T53" s="500">
        <f t="shared" si="5"/>
        <v>0</v>
      </c>
      <c r="U53" s="499">
        <f t="shared" si="6"/>
        <v>33</v>
      </c>
      <c r="V53" s="498">
        <f>ROUND('TEMPO - PAY'!I53*0.12,2)</f>
        <v>0</v>
      </c>
      <c r="W53" s="497">
        <v>100</v>
      </c>
      <c r="X53" s="497">
        <f>MIN((I53*0.05)-'TEMPO - DEDS'!Y52,2500)</f>
        <v>0</v>
      </c>
      <c r="Y53" s="496">
        <v>200</v>
      </c>
    </row>
    <row r="54" spans="1:25" ht="18.75" customHeight="1" x14ac:dyDescent="0.25">
      <c r="A54" s="432"/>
      <c r="B54" s="405">
        <f t="shared" si="7"/>
        <v>34</v>
      </c>
      <c r="C54" s="509"/>
      <c r="D54" s="509" t="e">
        <f>VLOOKUP(C54,'WTAX-TEMPO'!C:O,2,0)</f>
        <v>#N/A</v>
      </c>
      <c r="E54" s="508">
        <f>VLOOKUP(B54,'WTAX-TEMPO'!B:N,4,0)</f>
        <v>0</v>
      </c>
      <c r="F54" s="495"/>
      <c r="G54" s="494"/>
      <c r="H54" s="494"/>
      <c r="I54" s="497">
        <f t="shared" si="0"/>
        <v>0</v>
      </c>
      <c r="J54" s="506">
        <f>'WTAX-TEMPO'!N41</f>
        <v>0</v>
      </c>
      <c r="K54" s="505">
        <f t="shared" si="1"/>
        <v>0</v>
      </c>
      <c r="L54" s="504">
        <f>'WTAX-TEMPO'!F41</f>
        <v>0</v>
      </c>
      <c r="M54" s="497">
        <f>'TEMPO - DEDS'!R53</f>
        <v>0</v>
      </c>
      <c r="N54" s="497">
        <f>'TEMPO - DEDS'!X53</f>
        <v>0</v>
      </c>
      <c r="O54" s="497">
        <f>'TEMPO - DEDS'!Y53</f>
        <v>0</v>
      </c>
      <c r="P54" s="497">
        <f>'TEMPO - DEDS'!AE53</f>
        <v>0</v>
      </c>
      <c r="Q54" s="503">
        <f t="shared" si="2"/>
        <v>0</v>
      </c>
      <c r="R54" s="502">
        <f t="shared" si="3"/>
        <v>0</v>
      </c>
      <c r="S54" s="501">
        <f t="shared" si="4"/>
        <v>0</v>
      </c>
      <c r="T54" s="500">
        <f t="shared" si="5"/>
        <v>0</v>
      </c>
      <c r="U54" s="499">
        <f t="shared" si="6"/>
        <v>34</v>
      </c>
      <c r="V54" s="498">
        <f>ROUND('TEMPO - PAY'!I54*0.12,2)</f>
        <v>0</v>
      </c>
      <c r="W54" s="497">
        <v>100</v>
      </c>
      <c r="X54" s="497">
        <f>MIN((I54*0.05)-'TEMPO - DEDS'!Y53,2500)</f>
        <v>0</v>
      </c>
      <c r="Y54" s="496">
        <v>200</v>
      </c>
    </row>
    <row r="55" spans="1:25" ht="18.75" customHeight="1" x14ac:dyDescent="0.25">
      <c r="A55" s="432"/>
      <c r="B55" s="405">
        <f t="shared" si="7"/>
        <v>35</v>
      </c>
      <c r="C55" s="509"/>
      <c r="D55" s="509" t="e">
        <f>VLOOKUP(C55,'WTAX-TEMPO'!C:O,2,0)</f>
        <v>#N/A</v>
      </c>
      <c r="E55" s="508">
        <f>VLOOKUP(B55,'WTAX-TEMPO'!B:N,4,0)</f>
        <v>0</v>
      </c>
      <c r="F55" s="495"/>
      <c r="G55" s="494"/>
      <c r="H55" s="494"/>
      <c r="I55" s="497">
        <f t="shared" si="0"/>
        <v>0</v>
      </c>
      <c r="J55" s="506">
        <f>'WTAX-TEMPO'!N42</f>
        <v>0</v>
      </c>
      <c r="K55" s="505">
        <f t="shared" si="1"/>
        <v>0</v>
      </c>
      <c r="L55" s="504">
        <f>'WTAX-TEMPO'!F42</f>
        <v>0</v>
      </c>
      <c r="M55" s="497">
        <f>'TEMPO - DEDS'!R54</f>
        <v>0</v>
      </c>
      <c r="N55" s="497">
        <f>'TEMPO - DEDS'!X54</f>
        <v>0</v>
      </c>
      <c r="O55" s="497">
        <f>'TEMPO - DEDS'!Y54</f>
        <v>0</v>
      </c>
      <c r="P55" s="497">
        <f>'TEMPO - DEDS'!AE54</f>
        <v>0</v>
      </c>
      <c r="Q55" s="503">
        <f t="shared" si="2"/>
        <v>0</v>
      </c>
      <c r="R55" s="502">
        <f t="shared" si="3"/>
        <v>0</v>
      </c>
      <c r="S55" s="501">
        <f t="shared" si="4"/>
        <v>0</v>
      </c>
      <c r="T55" s="500">
        <f t="shared" si="5"/>
        <v>0</v>
      </c>
      <c r="U55" s="499">
        <f t="shared" si="6"/>
        <v>35</v>
      </c>
      <c r="V55" s="498">
        <f>ROUND('TEMPO - PAY'!I55*0.12,2)</f>
        <v>0</v>
      </c>
      <c r="W55" s="497">
        <v>100</v>
      </c>
      <c r="X55" s="497">
        <f>MIN((I55*0.05)-'TEMPO - DEDS'!Y54,2500)</f>
        <v>0</v>
      </c>
      <c r="Y55" s="496">
        <v>200</v>
      </c>
    </row>
    <row r="56" spans="1:25" ht="18.75" customHeight="1" x14ac:dyDescent="0.25">
      <c r="A56" s="432"/>
      <c r="B56" s="405">
        <f t="shared" si="7"/>
        <v>36</v>
      </c>
      <c r="C56" s="509">
        <f>VLOOKUP(B56,'WTAX-TEMPO'!B:N,2,0)</f>
        <v>0</v>
      </c>
      <c r="D56" s="509" t="e">
        <f>VLOOKUP(C56,'WTAX-TEMPO'!C:O,2,0)</f>
        <v>#N/A</v>
      </c>
      <c r="E56" s="508">
        <f>VLOOKUP(B56,'WTAX-TEMPO'!B:N,4,0)</f>
        <v>0</v>
      </c>
      <c r="F56" s="525"/>
      <c r="G56" s="494"/>
      <c r="H56" s="494"/>
      <c r="I56" s="497">
        <f t="shared" si="0"/>
        <v>0</v>
      </c>
      <c r="J56" s="506">
        <f>'WTAX-TEMPO'!N43</f>
        <v>0</v>
      </c>
      <c r="K56" s="505">
        <f t="shared" si="1"/>
        <v>0</v>
      </c>
      <c r="L56" s="504">
        <f>'WTAX-TEMPO'!F43</f>
        <v>0</v>
      </c>
      <c r="M56" s="497">
        <f>'TEMPO - DEDS'!R55</f>
        <v>0</v>
      </c>
      <c r="N56" s="497">
        <f>'TEMPO - DEDS'!X55</f>
        <v>0</v>
      </c>
      <c r="O56" s="497">
        <f>'TEMPO - DEDS'!Y55</f>
        <v>0</v>
      </c>
      <c r="P56" s="497">
        <f>'TEMPO - DEDS'!AE55</f>
        <v>0</v>
      </c>
      <c r="Q56" s="503">
        <f t="shared" si="2"/>
        <v>0</v>
      </c>
      <c r="R56" s="502">
        <f t="shared" si="3"/>
        <v>0</v>
      </c>
      <c r="S56" s="501">
        <f t="shared" si="4"/>
        <v>0</v>
      </c>
      <c r="T56" s="500">
        <f t="shared" si="5"/>
        <v>0</v>
      </c>
      <c r="U56" s="499">
        <f t="shared" si="6"/>
        <v>36</v>
      </c>
      <c r="V56" s="498">
        <f>ROUND('TEMPO - PAY'!I56*0.12,2)</f>
        <v>0</v>
      </c>
      <c r="W56" s="497">
        <v>100</v>
      </c>
      <c r="X56" s="497">
        <f>MIN((I56*0.05)-'TEMPO - DEDS'!Y55,2500)</f>
        <v>0</v>
      </c>
      <c r="Y56" s="496">
        <v>200</v>
      </c>
    </row>
    <row r="57" spans="1:25" ht="18.75" customHeight="1" x14ac:dyDescent="0.25">
      <c r="A57" s="432"/>
      <c r="B57" s="405">
        <f t="shared" si="7"/>
        <v>37</v>
      </c>
      <c r="C57" s="509">
        <f>VLOOKUP(B57,'WTAX-TEMPO'!B:N,2,0)</f>
        <v>0</v>
      </c>
      <c r="D57" s="509" t="e">
        <f>VLOOKUP(C57,'WTAX-TEMPO'!C:O,2,0)</f>
        <v>#N/A</v>
      </c>
      <c r="E57" s="508">
        <f>VLOOKUP(B57,'WTAX-TEMPO'!B:N,4,0)</f>
        <v>0</v>
      </c>
      <c r="F57" s="495"/>
      <c r="G57" s="494"/>
      <c r="H57" s="494"/>
      <c r="I57" s="497">
        <f t="shared" si="0"/>
        <v>0</v>
      </c>
      <c r="J57" s="506">
        <f>'WTAX-TEMPO'!N44</f>
        <v>0</v>
      </c>
      <c r="K57" s="505">
        <f t="shared" si="1"/>
        <v>0</v>
      </c>
      <c r="L57" s="504">
        <f>'WTAX-TEMPO'!F44</f>
        <v>0</v>
      </c>
      <c r="M57" s="497">
        <f>'TEMPO - DEDS'!R56</f>
        <v>0</v>
      </c>
      <c r="N57" s="497">
        <f>'TEMPO - DEDS'!X56</f>
        <v>0</v>
      </c>
      <c r="O57" s="497">
        <f>'TEMPO - DEDS'!Y56</f>
        <v>0</v>
      </c>
      <c r="P57" s="497">
        <f>'TEMPO - DEDS'!AE56</f>
        <v>0</v>
      </c>
      <c r="Q57" s="503">
        <f t="shared" si="2"/>
        <v>0</v>
      </c>
      <c r="R57" s="502">
        <f t="shared" si="3"/>
        <v>0</v>
      </c>
      <c r="S57" s="501">
        <f t="shared" si="4"/>
        <v>0</v>
      </c>
      <c r="T57" s="500">
        <f t="shared" si="5"/>
        <v>0</v>
      </c>
      <c r="U57" s="499">
        <f t="shared" si="6"/>
        <v>37</v>
      </c>
      <c r="V57" s="498">
        <f>ROUND('TEMPO - PAY'!I57*0.12,2)</f>
        <v>0</v>
      </c>
      <c r="W57" s="497">
        <v>100</v>
      </c>
      <c r="X57" s="497">
        <f>MIN((I57*0.05)-'TEMPO - DEDS'!Y56,2500)</f>
        <v>0</v>
      </c>
      <c r="Y57" s="496">
        <v>200</v>
      </c>
    </row>
    <row r="58" spans="1:25" ht="18.75" customHeight="1" x14ac:dyDescent="0.25">
      <c r="A58" s="432"/>
      <c r="B58" s="405">
        <f t="shared" si="7"/>
        <v>38</v>
      </c>
      <c r="C58" s="509">
        <f>VLOOKUP(B58,'WTAX-TEMPO'!B:N,2,0)</f>
        <v>0</v>
      </c>
      <c r="D58" s="509" t="e">
        <f>VLOOKUP(C58,'WTAX-TEMPO'!C:O,2,0)</f>
        <v>#N/A</v>
      </c>
      <c r="E58" s="508">
        <f>VLOOKUP(B58,'WTAX-TEMPO'!B:N,4,0)</f>
        <v>0</v>
      </c>
      <c r="F58" s="525"/>
      <c r="G58" s="507"/>
      <c r="H58" s="507"/>
      <c r="I58" s="497">
        <f t="shared" si="0"/>
        <v>0</v>
      </c>
      <c r="J58" s="506">
        <f>'WTAX-TEMPO'!N45</f>
        <v>0</v>
      </c>
      <c r="K58" s="505">
        <f t="shared" si="1"/>
        <v>0</v>
      </c>
      <c r="L58" s="504">
        <f>'WTAX-TEMPO'!F45</f>
        <v>0</v>
      </c>
      <c r="M58" s="497">
        <f>'TEMPO - DEDS'!R57</f>
        <v>0</v>
      </c>
      <c r="N58" s="497">
        <f>'TEMPO - DEDS'!X57</f>
        <v>0</v>
      </c>
      <c r="O58" s="497">
        <f>'TEMPO - DEDS'!Y57</f>
        <v>0</v>
      </c>
      <c r="P58" s="497">
        <f>'TEMPO - DEDS'!AE57</f>
        <v>0</v>
      </c>
      <c r="Q58" s="503">
        <f t="shared" si="2"/>
        <v>0</v>
      </c>
      <c r="R58" s="502">
        <f t="shared" si="3"/>
        <v>0</v>
      </c>
      <c r="S58" s="501">
        <f t="shared" si="4"/>
        <v>0</v>
      </c>
      <c r="T58" s="500">
        <f t="shared" si="5"/>
        <v>0</v>
      </c>
      <c r="U58" s="499">
        <f t="shared" si="6"/>
        <v>38</v>
      </c>
      <c r="V58" s="498">
        <f>ROUND('TEMPO - PAY'!I58*0.12,2)</f>
        <v>0</v>
      </c>
      <c r="W58" s="497">
        <v>100</v>
      </c>
      <c r="X58" s="497">
        <f>MIN((I58*0.05)-'TEMPO - DEDS'!Y57,2500)</f>
        <v>0</v>
      </c>
      <c r="Y58" s="496">
        <v>200</v>
      </c>
    </row>
    <row r="59" spans="1:25" ht="18.75" customHeight="1" x14ac:dyDescent="0.25">
      <c r="A59" s="432"/>
      <c r="B59" s="405">
        <f t="shared" si="7"/>
        <v>39</v>
      </c>
      <c r="C59" s="509">
        <f>VLOOKUP(B59,'WTAX-TEMPO'!B:N,2,0)</f>
        <v>0</v>
      </c>
      <c r="D59" s="509" t="e">
        <f>VLOOKUP(C59,'WTAX-TEMPO'!C:O,2,0)</f>
        <v>#N/A</v>
      </c>
      <c r="E59" s="508">
        <f>VLOOKUP(B59,'WTAX-TEMPO'!B:N,4,0)</f>
        <v>0</v>
      </c>
      <c r="F59" s="495"/>
      <c r="G59" s="494"/>
      <c r="H59" s="494"/>
      <c r="I59" s="497">
        <f t="shared" si="0"/>
        <v>0</v>
      </c>
      <c r="J59" s="506">
        <f>'WTAX-TEMPO'!N46</f>
        <v>0</v>
      </c>
      <c r="K59" s="505">
        <f t="shared" si="1"/>
        <v>0</v>
      </c>
      <c r="L59" s="504">
        <f>'WTAX-TEMPO'!F46</f>
        <v>0</v>
      </c>
      <c r="M59" s="497">
        <f>'TEMPO - DEDS'!R58</f>
        <v>0</v>
      </c>
      <c r="N59" s="497">
        <f>'TEMPO - DEDS'!X58</f>
        <v>0</v>
      </c>
      <c r="O59" s="497">
        <f>'TEMPO - DEDS'!Y58</f>
        <v>0</v>
      </c>
      <c r="P59" s="497">
        <f>'TEMPO - DEDS'!AE58</f>
        <v>0</v>
      </c>
      <c r="Q59" s="503">
        <f t="shared" si="2"/>
        <v>0</v>
      </c>
      <c r="R59" s="502">
        <f t="shared" si="3"/>
        <v>0</v>
      </c>
      <c r="S59" s="501">
        <f t="shared" si="4"/>
        <v>0</v>
      </c>
      <c r="T59" s="500">
        <f t="shared" si="5"/>
        <v>0</v>
      </c>
      <c r="U59" s="499">
        <f t="shared" si="6"/>
        <v>39</v>
      </c>
      <c r="V59" s="498">
        <f>ROUND('TEMPO - PAY'!I59*0.12,2)</f>
        <v>0</v>
      </c>
      <c r="W59" s="497">
        <v>100</v>
      </c>
      <c r="X59" s="497">
        <f>MIN((I59*0.05)-'TEMPO - DEDS'!Y58,2500)</f>
        <v>0</v>
      </c>
      <c r="Y59" s="496">
        <v>200</v>
      </c>
    </row>
    <row r="60" spans="1:25" ht="18.75" customHeight="1" x14ac:dyDescent="0.25">
      <c r="A60" s="432"/>
      <c r="B60" s="405">
        <f t="shared" si="7"/>
        <v>40</v>
      </c>
      <c r="C60" s="509">
        <f>VLOOKUP(B60,'WTAX-TEMPO'!B:N,2,0)</f>
        <v>0</v>
      </c>
      <c r="D60" s="509" t="e">
        <f>VLOOKUP(C60,'WTAX-TEMPO'!C:O,2,0)</f>
        <v>#N/A</v>
      </c>
      <c r="E60" s="508">
        <f>VLOOKUP(B60,'WTAX-TEMPO'!B:N,4,0)</f>
        <v>0</v>
      </c>
      <c r="F60" s="495"/>
      <c r="G60" s="494"/>
      <c r="H60" s="494"/>
      <c r="I60" s="497">
        <f t="shared" si="0"/>
        <v>0</v>
      </c>
      <c r="J60" s="506">
        <f>'WTAX-TEMPO'!N47</f>
        <v>0</v>
      </c>
      <c r="K60" s="505">
        <f t="shared" si="1"/>
        <v>0</v>
      </c>
      <c r="L60" s="504">
        <f>'WTAX-TEMPO'!F47</f>
        <v>0</v>
      </c>
      <c r="M60" s="497">
        <f>'TEMPO - DEDS'!R59</f>
        <v>0</v>
      </c>
      <c r="N60" s="497">
        <f>'TEMPO - DEDS'!X59</f>
        <v>0</v>
      </c>
      <c r="O60" s="497">
        <f>'TEMPO - DEDS'!Y59</f>
        <v>0</v>
      </c>
      <c r="P60" s="497">
        <f>'TEMPO - DEDS'!AE59</f>
        <v>0</v>
      </c>
      <c r="Q60" s="503">
        <f t="shared" si="2"/>
        <v>0</v>
      </c>
      <c r="R60" s="502">
        <f t="shared" si="3"/>
        <v>0</v>
      </c>
      <c r="S60" s="501">
        <f t="shared" si="4"/>
        <v>0</v>
      </c>
      <c r="T60" s="500">
        <f t="shared" si="5"/>
        <v>0</v>
      </c>
      <c r="U60" s="499">
        <f t="shared" si="6"/>
        <v>40</v>
      </c>
      <c r="V60" s="498">
        <f>ROUND('TEMPO - PAY'!I60*0.12,2)</f>
        <v>0</v>
      </c>
      <c r="W60" s="497">
        <v>100</v>
      </c>
      <c r="X60" s="497">
        <f>MIN((I60*0.05)-'TEMPO - DEDS'!Y59,2500)</f>
        <v>0</v>
      </c>
      <c r="Y60" s="496">
        <v>200</v>
      </c>
    </row>
    <row r="61" spans="1:25" ht="18.75" customHeight="1" x14ac:dyDescent="0.25">
      <c r="A61" s="432"/>
      <c r="B61" s="405">
        <f t="shared" si="7"/>
        <v>41</v>
      </c>
      <c r="C61" s="509">
        <f>VLOOKUP(B61,'WTAX-TEMPO'!B:N,2,0)</f>
        <v>0</v>
      </c>
      <c r="D61" s="509" t="e">
        <f>VLOOKUP(C61,'WTAX-TEMPO'!C:O,2,0)</f>
        <v>#N/A</v>
      </c>
      <c r="E61" s="508">
        <f>VLOOKUP(B61,'WTAX-TEMPO'!B:N,4,0)</f>
        <v>0</v>
      </c>
      <c r="F61" s="525"/>
      <c r="G61" s="507"/>
      <c r="H61" s="507"/>
      <c r="I61" s="497">
        <f t="shared" si="0"/>
        <v>0</v>
      </c>
      <c r="J61" s="506">
        <f>'WTAX-TEMPO'!N48</f>
        <v>0</v>
      </c>
      <c r="K61" s="505">
        <f t="shared" si="1"/>
        <v>0</v>
      </c>
      <c r="L61" s="504">
        <f>'WTAX-TEMPO'!F48</f>
        <v>0</v>
      </c>
      <c r="M61" s="497">
        <f>'TEMPO - DEDS'!R60</f>
        <v>0</v>
      </c>
      <c r="N61" s="497">
        <f>'TEMPO - DEDS'!X60</f>
        <v>0</v>
      </c>
      <c r="O61" s="497">
        <f>'TEMPO - DEDS'!Y60</f>
        <v>0</v>
      </c>
      <c r="P61" s="497">
        <f>'TEMPO - DEDS'!AE60</f>
        <v>0</v>
      </c>
      <c r="Q61" s="503">
        <f t="shared" si="2"/>
        <v>0</v>
      </c>
      <c r="R61" s="502">
        <f t="shared" si="3"/>
        <v>0</v>
      </c>
      <c r="S61" s="501">
        <f t="shared" si="4"/>
        <v>0</v>
      </c>
      <c r="T61" s="500">
        <f t="shared" si="5"/>
        <v>0</v>
      </c>
      <c r="U61" s="499">
        <f t="shared" si="6"/>
        <v>41</v>
      </c>
      <c r="V61" s="498">
        <f>ROUND('TEMPO - PAY'!I61*0.12,2)</f>
        <v>0</v>
      </c>
      <c r="W61" s="497">
        <v>100</v>
      </c>
      <c r="X61" s="497">
        <f>MIN((I61*0.05)-'TEMPO - DEDS'!Y60,2500)</f>
        <v>0</v>
      </c>
      <c r="Y61" s="496">
        <v>200</v>
      </c>
    </row>
    <row r="62" spans="1:25" ht="18.75" customHeight="1" x14ac:dyDescent="0.25">
      <c r="A62" s="432"/>
      <c r="B62" s="405">
        <f t="shared" si="7"/>
        <v>42</v>
      </c>
      <c r="C62" s="524">
        <f>VLOOKUP(B62,'WTAX-TEMPO'!B:N,2,0)</f>
        <v>0</v>
      </c>
      <c r="D62" s="524" t="e">
        <f>VLOOKUP(C62,'WTAX-TEMPO'!C:O,2,0)</f>
        <v>#N/A</v>
      </c>
      <c r="E62" s="523">
        <f>VLOOKUP(B62,'WTAX-TEMPO'!B:N,4,0)</f>
        <v>0</v>
      </c>
      <c r="F62" s="522"/>
      <c r="G62" s="521"/>
      <c r="H62" s="521"/>
      <c r="I62" s="511">
        <f t="shared" si="0"/>
        <v>0</v>
      </c>
      <c r="J62" s="520">
        <f>'WTAX-TEMPO'!N49</f>
        <v>0</v>
      </c>
      <c r="K62" s="519">
        <f t="shared" si="1"/>
        <v>0</v>
      </c>
      <c r="L62" s="518">
        <f>'WTAX-TEMPO'!F49</f>
        <v>0</v>
      </c>
      <c r="M62" s="511">
        <f>'TEMPO - DEDS'!R61</f>
        <v>0</v>
      </c>
      <c r="N62" s="511">
        <f>'TEMPO - DEDS'!X61</f>
        <v>0</v>
      </c>
      <c r="O62" s="511">
        <f>'TEMPO - DEDS'!Y61</f>
        <v>0</v>
      </c>
      <c r="P62" s="511">
        <f>'TEMPO - DEDS'!AE61</f>
        <v>0</v>
      </c>
      <c r="Q62" s="517">
        <f t="shared" si="2"/>
        <v>0</v>
      </c>
      <c r="R62" s="516">
        <f t="shared" si="3"/>
        <v>0</v>
      </c>
      <c r="S62" s="515">
        <f t="shared" si="4"/>
        <v>0</v>
      </c>
      <c r="T62" s="514">
        <f t="shared" si="5"/>
        <v>0</v>
      </c>
      <c r="U62" s="513">
        <f t="shared" si="6"/>
        <v>42</v>
      </c>
      <c r="V62" s="512">
        <f>ROUND('TEMPO - PAY'!I62*0.12,2)</f>
        <v>0</v>
      </c>
      <c r="W62" s="511">
        <v>100</v>
      </c>
      <c r="X62" s="511">
        <f>MIN((I62*0.05)-'TEMPO - DEDS'!Y61,2500)</f>
        <v>0</v>
      </c>
      <c r="Y62" s="510">
        <v>200</v>
      </c>
    </row>
    <row r="63" spans="1:25" ht="18.75" customHeight="1" x14ac:dyDescent="0.25">
      <c r="A63" s="432"/>
      <c r="B63" s="405">
        <f t="shared" ref="B63:B84" si="8">+B40+1</f>
        <v>21</v>
      </c>
      <c r="C63" s="509">
        <f>VLOOKUP(B63,'WTAX-TEMPO'!B:N,2,0)</f>
        <v>0</v>
      </c>
      <c r="D63" s="509" t="e">
        <f>VLOOKUP(C63,'WTAX-TEMPO'!C:O,2,0)</f>
        <v>#N/A</v>
      </c>
      <c r="E63" s="508">
        <f>VLOOKUP(B63,'WTAX-TEMPO'!B:N,4,0)</f>
        <v>0</v>
      </c>
      <c r="F63" s="495"/>
      <c r="G63" s="507"/>
      <c r="H63" s="507"/>
      <c r="I63" s="497">
        <f t="shared" ref="I63:I84" si="9">SUM(F63:H63)</f>
        <v>0</v>
      </c>
      <c r="J63" s="506">
        <f>'WTAX-TEMPO'!N50</f>
        <v>0</v>
      </c>
      <c r="K63" s="505">
        <f t="shared" ref="K63:K84" si="10">ROUND(I63-J63,2)</f>
        <v>0</v>
      </c>
      <c r="L63" s="504">
        <f>'WTAX-TEMPO'!F50</f>
        <v>0</v>
      </c>
      <c r="M63" s="497">
        <f>'TEMPO - DEDS'!R40</f>
        <v>0</v>
      </c>
      <c r="N63" s="497">
        <f>'TEMPO - DEDS'!X40</f>
        <v>0</v>
      </c>
      <c r="O63" s="497">
        <f>'TEMPO - DEDS'!Y40</f>
        <v>0</v>
      </c>
      <c r="P63" s="497">
        <f>'TEMPO - DEDS'!AE40</f>
        <v>0</v>
      </c>
      <c r="Q63" s="503">
        <f t="shared" ref="Q63:Q84" si="11">ROUND(SUM(L63:P63),2)</f>
        <v>0</v>
      </c>
      <c r="R63" s="502">
        <f t="shared" ref="R63:R84" si="12">K63-Q63</f>
        <v>0</v>
      </c>
      <c r="S63" s="501">
        <f t="shared" ref="S63:S84" si="13">ROUND(R63/2,0)</f>
        <v>0</v>
      </c>
      <c r="T63" s="500">
        <f t="shared" ref="T63:T84" si="14">R63-S63</f>
        <v>0</v>
      </c>
      <c r="U63" s="499">
        <f t="shared" ref="U63:U84" si="15">B63</f>
        <v>21</v>
      </c>
      <c r="V63" s="498">
        <f>ROUND('TEMPO - PAY'!I63*0.12,2)</f>
        <v>0</v>
      </c>
      <c r="W63" s="497">
        <v>100</v>
      </c>
      <c r="X63" s="497">
        <f>MIN((I63*0.05)-'TEMPO - DEDS'!Y40,2500)</f>
        <v>0</v>
      </c>
      <c r="Y63" s="496">
        <v>200</v>
      </c>
    </row>
    <row r="64" spans="1:25" ht="18.75" customHeight="1" x14ac:dyDescent="0.25">
      <c r="A64" s="432"/>
      <c r="B64" s="405">
        <f t="shared" si="8"/>
        <v>22</v>
      </c>
      <c r="C64" s="509">
        <f>VLOOKUP(B64,'WTAX-TEMPO'!B:N,2,0)</f>
        <v>0</v>
      </c>
      <c r="D64" s="509" t="e">
        <f>VLOOKUP(C64,'WTAX-TEMPO'!C:O,2,0)</f>
        <v>#N/A</v>
      </c>
      <c r="E64" s="508">
        <f>VLOOKUP(B64,'WTAX-TEMPO'!B:N,4,0)</f>
        <v>0</v>
      </c>
      <c r="F64" s="495"/>
      <c r="G64" s="507"/>
      <c r="H64" s="507"/>
      <c r="I64" s="497">
        <f t="shared" si="9"/>
        <v>0</v>
      </c>
      <c r="J64" s="506">
        <f>'WTAX-TEMPO'!N51</f>
        <v>0</v>
      </c>
      <c r="K64" s="505">
        <f t="shared" si="10"/>
        <v>0</v>
      </c>
      <c r="L64" s="504">
        <f>'WTAX-TEMPO'!F51</f>
        <v>0</v>
      </c>
      <c r="M64" s="497">
        <f>'TEMPO - DEDS'!R41</f>
        <v>0</v>
      </c>
      <c r="N64" s="497">
        <f>'TEMPO - DEDS'!X41</f>
        <v>0</v>
      </c>
      <c r="O64" s="497">
        <f>'TEMPO - DEDS'!Y41</f>
        <v>0</v>
      </c>
      <c r="P64" s="497">
        <f>'TEMPO - DEDS'!AE41</f>
        <v>0</v>
      </c>
      <c r="Q64" s="503">
        <f t="shared" si="11"/>
        <v>0</v>
      </c>
      <c r="R64" s="502">
        <f t="shared" si="12"/>
        <v>0</v>
      </c>
      <c r="S64" s="501">
        <f t="shared" si="13"/>
        <v>0</v>
      </c>
      <c r="T64" s="500">
        <f t="shared" si="14"/>
        <v>0</v>
      </c>
      <c r="U64" s="499">
        <f t="shared" si="15"/>
        <v>22</v>
      </c>
      <c r="V64" s="498">
        <f>ROUND('TEMPO - PAY'!I64*0.12,2)</f>
        <v>0</v>
      </c>
      <c r="W64" s="497">
        <v>100</v>
      </c>
      <c r="X64" s="497">
        <f>MIN((I64*0.05)-'TEMPO - DEDS'!Y41,2500)</f>
        <v>0</v>
      </c>
      <c r="Y64" s="496">
        <v>200</v>
      </c>
    </row>
    <row r="65" spans="1:25" ht="18.75" customHeight="1" x14ac:dyDescent="0.25">
      <c r="A65" s="432"/>
      <c r="B65" s="405">
        <f t="shared" si="8"/>
        <v>23</v>
      </c>
      <c r="C65" s="509">
        <f>VLOOKUP(B65,'WTAX-TEMPO'!B:N,2,0)</f>
        <v>0</v>
      </c>
      <c r="D65" s="509" t="e">
        <f>VLOOKUP(C65,'WTAX-TEMPO'!C:O,2,0)</f>
        <v>#N/A</v>
      </c>
      <c r="E65" s="508">
        <f>VLOOKUP(B65,'WTAX-TEMPO'!B:N,4,0)</f>
        <v>0</v>
      </c>
      <c r="F65" s="495"/>
      <c r="G65" s="507"/>
      <c r="H65" s="507"/>
      <c r="I65" s="497">
        <f t="shared" si="9"/>
        <v>0</v>
      </c>
      <c r="J65" s="506">
        <f>'WTAX-TEMPO'!N52</f>
        <v>0</v>
      </c>
      <c r="K65" s="505">
        <f t="shared" si="10"/>
        <v>0</v>
      </c>
      <c r="L65" s="504">
        <f>'WTAX-TEMPO'!F52</f>
        <v>0</v>
      </c>
      <c r="M65" s="497">
        <f>'TEMPO - DEDS'!R42</f>
        <v>0</v>
      </c>
      <c r="N65" s="497">
        <f>'TEMPO - DEDS'!X42</f>
        <v>0</v>
      </c>
      <c r="O65" s="497">
        <f>'TEMPO - DEDS'!Y42</f>
        <v>0</v>
      </c>
      <c r="P65" s="497">
        <f>'TEMPO - DEDS'!AE42</f>
        <v>0</v>
      </c>
      <c r="Q65" s="503">
        <f t="shared" si="11"/>
        <v>0</v>
      </c>
      <c r="R65" s="502">
        <f t="shared" si="12"/>
        <v>0</v>
      </c>
      <c r="S65" s="501">
        <f t="shared" si="13"/>
        <v>0</v>
      </c>
      <c r="T65" s="500">
        <f t="shared" si="14"/>
        <v>0</v>
      </c>
      <c r="U65" s="499">
        <f t="shared" si="15"/>
        <v>23</v>
      </c>
      <c r="V65" s="498">
        <f>ROUND('TEMPO - PAY'!I65*0.12,2)</f>
        <v>0</v>
      </c>
      <c r="W65" s="497">
        <v>100</v>
      </c>
      <c r="X65" s="497">
        <f>MIN((I65*0.05)-'TEMPO - DEDS'!Y42,2500)</f>
        <v>0</v>
      </c>
      <c r="Y65" s="496">
        <v>200</v>
      </c>
    </row>
    <row r="66" spans="1:25" ht="18.75" customHeight="1" x14ac:dyDescent="0.25">
      <c r="A66" s="432"/>
      <c r="B66" s="405">
        <f t="shared" si="8"/>
        <v>24</v>
      </c>
      <c r="C66" s="509">
        <f>VLOOKUP(B66,'WTAX-TEMPO'!B:N,2,0)</f>
        <v>0</v>
      </c>
      <c r="D66" s="509" t="e">
        <f>VLOOKUP(C66,'WTAX-TEMPO'!C:O,2,0)</f>
        <v>#N/A</v>
      </c>
      <c r="E66" s="508">
        <f>VLOOKUP(B66,'WTAX-TEMPO'!B:N,4,0)</f>
        <v>0</v>
      </c>
      <c r="F66" s="495"/>
      <c r="G66" s="507"/>
      <c r="H66" s="507"/>
      <c r="I66" s="497">
        <f t="shared" si="9"/>
        <v>0</v>
      </c>
      <c r="J66" s="506">
        <f>'WTAX-TEMPO'!N53</f>
        <v>0</v>
      </c>
      <c r="K66" s="505">
        <f t="shared" si="10"/>
        <v>0</v>
      </c>
      <c r="L66" s="504">
        <f>'WTAX-TEMPO'!F53</f>
        <v>0</v>
      </c>
      <c r="M66" s="497">
        <f>'TEMPO - DEDS'!R43</f>
        <v>0</v>
      </c>
      <c r="N66" s="497">
        <f>'TEMPO - DEDS'!X43</f>
        <v>0</v>
      </c>
      <c r="O66" s="497">
        <f>'TEMPO - DEDS'!Y43</f>
        <v>0</v>
      </c>
      <c r="P66" s="497">
        <f>'TEMPO - DEDS'!AE43</f>
        <v>0</v>
      </c>
      <c r="Q66" s="503">
        <f t="shared" si="11"/>
        <v>0</v>
      </c>
      <c r="R66" s="502">
        <f t="shared" si="12"/>
        <v>0</v>
      </c>
      <c r="S66" s="501">
        <f t="shared" si="13"/>
        <v>0</v>
      </c>
      <c r="T66" s="500">
        <f t="shared" si="14"/>
        <v>0</v>
      </c>
      <c r="U66" s="499">
        <f t="shared" si="15"/>
        <v>24</v>
      </c>
      <c r="V66" s="498">
        <f>ROUND('TEMPO - PAY'!I66*0.12,2)</f>
        <v>0</v>
      </c>
      <c r="W66" s="497">
        <v>100</v>
      </c>
      <c r="X66" s="497">
        <f>MIN((I66*0.05)-'TEMPO - DEDS'!Y43,2500)</f>
        <v>0</v>
      </c>
      <c r="Y66" s="496">
        <v>200</v>
      </c>
    </row>
    <row r="67" spans="1:25" ht="18.75" customHeight="1" x14ac:dyDescent="0.25">
      <c r="A67" s="432"/>
      <c r="B67" s="405">
        <f t="shared" si="8"/>
        <v>25</v>
      </c>
      <c r="C67" s="509">
        <f>VLOOKUP(B67,'WTAX-TEMPO'!B:N,2,0)</f>
        <v>0</v>
      </c>
      <c r="D67" s="509" t="e">
        <f>VLOOKUP(C67,'WTAX-TEMPO'!C:O,2,0)</f>
        <v>#N/A</v>
      </c>
      <c r="E67" s="508">
        <f>VLOOKUP(B67,'WTAX-TEMPO'!B:N,4,0)</f>
        <v>0</v>
      </c>
      <c r="F67" s="495"/>
      <c r="G67" s="507"/>
      <c r="H67" s="507"/>
      <c r="I67" s="497">
        <f t="shared" si="9"/>
        <v>0</v>
      </c>
      <c r="J67" s="506">
        <f>'WTAX-TEMPO'!N54</f>
        <v>0</v>
      </c>
      <c r="K67" s="505">
        <f t="shared" si="10"/>
        <v>0</v>
      </c>
      <c r="L67" s="504">
        <f>'WTAX-TEMPO'!F54</f>
        <v>0</v>
      </c>
      <c r="M67" s="497">
        <f>'TEMPO - DEDS'!R44</f>
        <v>0</v>
      </c>
      <c r="N67" s="497">
        <f>'TEMPO - DEDS'!X44</f>
        <v>0</v>
      </c>
      <c r="O67" s="497">
        <f>'TEMPO - DEDS'!Y44</f>
        <v>0</v>
      </c>
      <c r="P67" s="497">
        <f>'TEMPO - DEDS'!AE44</f>
        <v>0</v>
      </c>
      <c r="Q67" s="503">
        <f t="shared" si="11"/>
        <v>0</v>
      </c>
      <c r="R67" s="502">
        <f t="shared" si="12"/>
        <v>0</v>
      </c>
      <c r="S67" s="501">
        <f t="shared" si="13"/>
        <v>0</v>
      </c>
      <c r="T67" s="500">
        <f t="shared" si="14"/>
        <v>0</v>
      </c>
      <c r="U67" s="499">
        <f t="shared" si="15"/>
        <v>25</v>
      </c>
      <c r="V67" s="498">
        <f>ROUND('TEMPO - PAY'!I67*0.12,2)</f>
        <v>0</v>
      </c>
      <c r="W67" s="497">
        <v>100</v>
      </c>
      <c r="X67" s="497">
        <f>MIN((I67*0.05)-'TEMPO - DEDS'!Y44,2500)</f>
        <v>0</v>
      </c>
      <c r="Y67" s="496">
        <v>200</v>
      </c>
    </row>
    <row r="68" spans="1:25" ht="18.75" customHeight="1" x14ac:dyDescent="0.25">
      <c r="A68" s="432"/>
      <c r="B68" s="405">
        <f t="shared" si="8"/>
        <v>26</v>
      </c>
      <c r="C68" s="509">
        <f>VLOOKUP(B68,'WTAX-TEMPO'!B:N,2,0)</f>
        <v>0</v>
      </c>
      <c r="D68" s="509" t="e">
        <f>VLOOKUP(C68,'WTAX-TEMPO'!C:O,2,0)</f>
        <v>#N/A</v>
      </c>
      <c r="E68" s="508">
        <f>VLOOKUP(B68,'WTAX-TEMPO'!B:N,4,0)</f>
        <v>0</v>
      </c>
      <c r="F68" s="495"/>
      <c r="G68" s="507"/>
      <c r="H68" s="507"/>
      <c r="I68" s="497">
        <f t="shared" si="9"/>
        <v>0</v>
      </c>
      <c r="J68" s="506">
        <f>'WTAX-TEMPO'!N55</f>
        <v>0</v>
      </c>
      <c r="K68" s="505">
        <f t="shared" si="10"/>
        <v>0</v>
      </c>
      <c r="L68" s="504">
        <f>'WTAX-TEMPO'!F55</f>
        <v>0</v>
      </c>
      <c r="M68" s="497">
        <f>'TEMPO - DEDS'!R45</f>
        <v>0</v>
      </c>
      <c r="N68" s="497">
        <f>'TEMPO - DEDS'!X45</f>
        <v>0</v>
      </c>
      <c r="O68" s="497">
        <f>'TEMPO - DEDS'!Y45</f>
        <v>0</v>
      </c>
      <c r="P68" s="497">
        <f>'TEMPO - DEDS'!AE45</f>
        <v>0</v>
      </c>
      <c r="Q68" s="503">
        <f t="shared" si="11"/>
        <v>0</v>
      </c>
      <c r="R68" s="502">
        <f t="shared" si="12"/>
        <v>0</v>
      </c>
      <c r="S68" s="501">
        <f t="shared" si="13"/>
        <v>0</v>
      </c>
      <c r="T68" s="500">
        <f t="shared" si="14"/>
        <v>0</v>
      </c>
      <c r="U68" s="499">
        <f t="shared" si="15"/>
        <v>26</v>
      </c>
      <c r="V68" s="498">
        <f>ROUND('TEMPO - PAY'!I68*0.12,2)</f>
        <v>0</v>
      </c>
      <c r="W68" s="497">
        <v>100</v>
      </c>
      <c r="X68" s="497">
        <f>MIN((I68*0.05)-'TEMPO - DEDS'!Y45,2500)</f>
        <v>0</v>
      </c>
      <c r="Y68" s="496">
        <v>200</v>
      </c>
    </row>
    <row r="69" spans="1:25" ht="18.75" customHeight="1" x14ac:dyDescent="0.25">
      <c r="A69" s="432"/>
      <c r="B69" s="405">
        <f t="shared" si="8"/>
        <v>27</v>
      </c>
      <c r="C69" s="509">
        <f>VLOOKUP(B69,'WTAX-TEMPO'!B:N,2,0)</f>
        <v>0</v>
      </c>
      <c r="D69" s="509" t="e">
        <f>VLOOKUP(C69,'WTAX-TEMPO'!C:O,2,0)</f>
        <v>#N/A</v>
      </c>
      <c r="E69" s="508">
        <f>VLOOKUP(B69,'WTAX-TEMPO'!B:N,4,0)</f>
        <v>0</v>
      </c>
      <c r="F69" s="495"/>
      <c r="G69" s="507"/>
      <c r="H69" s="507"/>
      <c r="I69" s="497">
        <f t="shared" si="9"/>
        <v>0</v>
      </c>
      <c r="J69" s="506">
        <f>'WTAX-TEMPO'!N56</f>
        <v>0</v>
      </c>
      <c r="K69" s="505">
        <f t="shared" si="10"/>
        <v>0</v>
      </c>
      <c r="L69" s="504">
        <f>'WTAX-TEMPO'!F56</f>
        <v>0</v>
      </c>
      <c r="M69" s="497">
        <f>'TEMPO - DEDS'!R46</f>
        <v>0</v>
      </c>
      <c r="N69" s="497">
        <f>'TEMPO - DEDS'!X46</f>
        <v>0</v>
      </c>
      <c r="O69" s="497">
        <f>'TEMPO - DEDS'!Y46</f>
        <v>0</v>
      </c>
      <c r="P69" s="497">
        <f>'TEMPO - DEDS'!AE46</f>
        <v>0</v>
      </c>
      <c r="Q69" s="503">
        <f t="shared" si="11"/>
        <v>0</v>
      </c>
      <c r="R69" s="502">
        <f t="shared" si="12"/>
        <v>0</v>
      </c>
      <c r="S69" s="501">
        <f t="shared" si="13"/>
        <v>0</v>
      </c>
      <c r="T69" s="500">
        <f t="shared" si="14"/>
        <v>0</v>
      </c>
      <c r="U69" s="499">
        <f t="shared" si="15"/>
        <v>27</v>
      </c>
      <c r="V69" s="498">
        <f>ROUND('TEMPO - PAY'!I69*0.12,2)</f>
        <v>0</v>
      </c>
      <c r="W69" s="497">
        <v>100</v>
      </c>
      <c r="X69" s="497">
        <f>MIN((I69*0.05)-'TEMPO - DEDS'!Y46,2500)</f>
        <v>0</v>
      </c>
      <c r="Y69" s="496">
        <v>200</v>
      </c>
    </row>
    <row r="70" spans="1:25" ht="18.75" customHeight="1" x14ac:dyDescent="0.25">
      <c r="A70" s="432"/>
      <c r="B70" s="405">
        <f t="shared" si="8"/>
        <v>28</v>
      </c>
      <c r="C70" s="509">
        <f>VLOOKUP(B70,'WTAX-TEMPO'!B:N,2,0)</f>
        <v>0</v>
      </c>
      <c r="D70" s="509" t="e">
        <f>VLOOKUP(C70,'WTAX-TEMPO'!C:O,2,0)</f>
        <v>#N/A</v>
      </c>
      <c r="E70" s="508">
        <f>VLOOKUP(B70,'WTAX-TEMPO'!B:N,4,0)</f>
        <v>0</v>
      </c>
      <c r="F70" s="495"/>
      <c r="G70" s="507"/>
      <c r="H70" s="507"/>
      <c r="I70" s="497">
        <f t="shared" si="9"/>
        <v>0</v>
      </c>
      <c r="J70" s="506">
        <f>'WTAX-TEMPO'!N57</f>
        <v>0</v>
      </c>
      <c r="K70" s="505">
        <f t="shared" si="10"/>
        <v>0</v>
      </c>
      <c r="L70" s="504">
        <f>'WTAX-TEMPO'!F57</f>
        <v>0</v>
      </c>
      <c r="M70" s="497">
        <f>'TEMPO - DEDS'!R47</f>
        <v>0</v>
      </c>
      <c r="N70" s="497">
        <f>'TEMPO - DEDS'!X47</f>
        <v>0</v>
      </c>
      <c r="O70" s="497">
        <f>'TEMPO - DEDS'!Y47</f>
        <v>0</v>
      </c>
      <c r="P70" s="497">
        <f>'TEMPO - DEDS'!AE47</f>
        <v>0</v>
      </c>
      <c r="Q70" s="503">
        <f t="shared" si="11"/>
        <v>0</v>
      </c>
      <c r="R70" s="502">
        <f t="shared" si="12"/>
        <v>0</v>
      </c>
      <c r="S70" s="501">
        <f t="shared" si="13"/>
        <v>0</v>
      </c>
      <c r="T70" s="500">
        <f t="shared" si="14"/>
        <v>0</v>
      </c>
      <c r="U70" s="499">
        <f t="shared" si="15"/>
        <v>28</v>
      </c>
      <c r="V70" s="498">
        <f>ROUND('TEMPO - PAY'!I70*0.12,2)</f>
        <v>0</v>
      </c>
      <c r="W70" s="497">
        <v>100</v>
      </c>
      <c r="X70" s="497">
        <f>MIN((I70*0.05)-'TEMPO - DEDS'!Y47,2500)</f>
        <v>0</v>
      </c>
      <c r="Y70" s="496">
        <v>200</v>
      </c>
    </row>
    <row r="71" spans="1:25" ht="18.75" customHeight="1" x14ac:dyDescent="0.25">
      <c r="A71" s="432"/>
      <c r="B71" s="405">
        <f t="shared" si="8"/>
        <v>29</v>
      </c>
      <c r="C71" s="509">
        <f>VLOOKUP(B71,'WTAX-TEMPO'!B:N,2,0)</f>
        <v>0</v>
      </c>
      <c r="D71" s="509" t="e">
        <f>VLOOKUP(C71,'WTAX-TEMPO'!C:O,2,0)</f>
        <v>#N/A</v>
      </c>
      <c r="E71" s="508">
        <f>VLOOKUP(B71,'WTAX-TEMPO'!B:N,4,0)</f>
        <v>0</v>
      </c>
      <c r="F71" s="495"/>
      <c r="G71" s="507"/>
      <c r="H71" s="507"/>
      <c r="I71" s="497">
        <f t="shared" si="9"/>
        <v>0</v>
      </c>
      <c r="J71" s="506">
        <f>'WTAX-TEMPO'!N58</f>
        <v>0</v>
      </c>
      <c r="K71" s="505">
        <f t="shared" si="10"/>
        <v>0</v>
      </c>
      <c r="L71" s="504">
        <f>'WTAX-TEMPO'!F58</f>
        <v>0</v>
      </c>
      <c r="M71" s="497">
        <f>'TEMPO - DEDS'!R48</f>
        <v>0</v>
      </c>
      <c r="N71" s="497">
        <f>'TEMPO - DEDS'!X48</f>
        <v>0</v>
      </c>
      <c r="O71" s="497">
        <f>'TEMPO - DEDS'!Y48</f>
        <v>0</v>
      </c>
      <c r="P71" s="497">
        <f>'TEMPO - DEDS'!AE48</f>
        <v>0</v>
      </c>
      <c r="Q71" s="503">
        <f t="shared" si="11"/>
        <v>0</v>
      </c>
      <c r="R71" s="502">
        <f t="shared" si="12"/>
        <v>0</v>
      </c>
      <c r="S71" s="501">
        <f t="shared" si="13"/>
        <v>0</v>
      </c>
      <c r="T71" s="500">
        <f t="shared" si="14"/>
        <v>0</v>
      </c>
      <c r="U71" s="499">
        <f t="shared" si="15"/>
        <v>29</v>
      </c>
      <c r="V71" s="498">
        <f>ROUND('TEMPO - PAY'!I71*0.12,2)</f>
        <v>0</v>
      </c>
      <c r="W71" s="497">
        <v>100</v>
      </c>
      <c r="X71" s="497">
        <f>MIN((I71*0.05)-'TEMPO - DEDS'!Y48,2500)</f>
        <v>0</v>
      </c>
      <c r="Y71" s="496">
        <v>200</v>
      </c>
    </row>
    <row r="72" spans="1:25" ht="18.75" customHeight="1" x14ac:dyDescent="0.25">
      <c r="A72" s="432"/>
      <c r="B72" s="405">
        <f t="shared" si="8"/>
        <v>30</v>
      </c>
      <c r="C72" s="509">
        <f>VLOOKUP(B72,'WTAX-TEMPO'!B:N,2,0)</f>
        <v>0</v>
      </c>
      <c r="D72" s="509" t="e">
        <f>VLOOKUP(C72,'WTAX-TEMPO'!C:O,2,0)</f>
        <v>#N/A</v>
      </c>
      <c r="E72" s="508">
        <f>VLOOKUP(B72,'WTAX-TEMPO'!B:N,4,0)</f>
        <v>0</v>
      </c>
      <c r="F72" s="495"/>
      <c r="G72" s="507"/>
      <c r="H72" s="507"/>
      <c r="I72" s="497">
        <f t="shared" si="9"/>
        <v>0</v>
      </c>
      <c r="J72" s="506">
        <f>'WTAX-TEMPO'!N59</f>
        <v>0</v>
      </c>
      <c r="K72" s="505">
        <f t="shared" si="10"/>
        <v>0</v>
      </c>
      <c r="L72" s="504">
        <f>'WTAX-TEMPO'!F59</f>
        <v>0</v>
      </c>
      <c r="M72" s="497">
        <f>'TEMPO - DEDS'!R49</f>
        <v>0</v>
      </c>
      <c r="N72" s="497">
        <f>'TEMPO - DEDS'!X49</f>
        <v>0</v>
      </c>
      <c r="O72" s="497">
        <f>'TEMPO - DEDS'!Y49</f>
        <v>0</v>
      </c>
      <c r="P72" s="497">
        <f>'TEMPO - DEDS'!AE49</f>
        <v>0</v>
      </c>
      <c r="Q72" s="503">
        <f t="shared" si="11"/>
        <v>0</v>
      </c>
      <c r="R72" s="502">
        <f t="shared" si="12"/>
        <v>0</v>
      </c>
      <c r="S72" s="501">
        <f t="shared" si="13"/>
        <v>0</v>
      </c>
      <c r="T72" s="500">
        <f t="shared" si="14"/>
        <v>0</v>
      </c>
      <c r="U72" s="499">
        <f t="shared" si="15"/>
        <v>30</v>
      </c>
      <c r="V72" s="498">
        <f>ROUND('TEMPO - PAY'!I72*0.12,2)</f>
        <v>0</v>
      </c>
      <c r="W72" s="497">
        <v>100</v>
      </c>
      <c r="X72" s="497">
        <f>MIN((I72*0.05)-'TEMPO - DEDS'!Y49,2500)</f>
        <v>0</v>
      </c>
      <c r="Y72" s="496">
        <v>200</v>
      </c>
    </row>
    <row r="73" spans="1:25" ht="18.75" customHeight="1" x14ac:dyDescent="0.25">
      <c r="A73" s="432"/>
      <c r="B73" s="405">
        <f t="shared" si="8"/>
        <v>31</v>
      </c>
      <c r="C73" s="509">
        <f>VLOOKUP(B73,'WTAX-TEMPO'!B:N,2,0)</f>
        <v>0</v>
      </c>
      <c r="D73" s="509" t="e">
        <f>VLOOKUP(C73,'WTAX-TEMPO'!C:O,2,0)</f>
        <v>#N/A</v>
      </c>
      <c r="E73" s="508">
        <f>VLOOKUP(B73,'WTAX-TEMPO'!B:N,4,0)</f>
        <v>0</v>
      </c>
      <c r="F73" s="495"/>
      <c r="G73" s="507"/>
      <c r="H73" s="507"/>
      <c r="I73" s="497">
        <f t="shared" si="9"/>
        <v>0</v>
      </c>
      <c r="J73" s="506">
        <f>'WTAX-TEMPO'!N60</f>
        <v>0</v>
      </c>
      <c r="K73" s="505">
        <f t="shared" si="10"/>
        <v>0</v>
      </c>
      <c r="L73" s="504">
        <f>'WTAX-TEMPO'!F60</f>
        <v>0</v>
      </c>
      <c r="M73" s="497">
        <f>'TEMPO - DEDS'!R50</f>
        <v>0</v>
      </c>
      <c r="N73" s="497">
        <f>'TEMPO - DEDS'!X50</f>
        <v>0</v>
      </c>
      <c r="O73" s="497">
        <f>'TEMPO - DEDS'!Y50</f>
        <v>0</v>
      </c>
      <c r="P73" s="497">
        <f>'TEMPO - DEDS'!AE50</f>
        <v>0</v>
      </c>
      <c r="Q73" s="503">
        <f t="shared" si="11"/>
        <v>0</v>
      </c>
      <c r="R73" s="502">
        <f t="shared" si="12"/>
        <v>0</v>
      </c>
      <c r="S73" s="501">
        <f t="shared" si="13"/>
        <v>0</v>
      </c>
      <c r="T73" s="500">
        <f t="shared" si="14"/>
        <v>0</v>
      </c>
      <c r="U73" s="499">
        <f t="shared" si="15"/>
        <v>31</v>
      </c>
      <c r="V73" s="498">
        <f>ROUND('TEMPO - PAY'!I73*0.12,2)</f>
        <v>0</v>
      </c>
      <c r="W73" s="497">
        <v>100</v>
      </c>
      <c r="X73" s="497">
        <f>MIN((I73*0.05)-'TEMPO - DEDS'!Y50,2500)</f>
        <v>0</v>
      </c>
      <c r="Y73" s="496">
        <v>200</v>
      </c>
    </row>
    <row r="74" spans="1:25" ht="18.75" customHeight="1" x14ac:dyDescent="0.25">
      <c r="A74" s="432"/>
      <c r="B74" s="405">
        <f t="shared" si="8"/>
        <v>32</v>
      </c>
      <c r="C74" s="509">
        <f>VLOOKUP(B74,'WTAX-TEMPO'!B:N,2,0)</f>
        <v>0</v>
      </c>
      <c r="D74" s="509" t="e">
        <f>VLOOKUP(C74,'WTAX-TEMPO'!C:O,2,0)</f>
        <v>#N/A</v>
      </c>
      <c r="E74" s="508">
        <f>VLOOKUP(B74,'WTAX-TEMPO'!B:N,4,0)</f>
        <v>0</v>
      </c>
      <c r="F74" s="495"/>
      <c r="G74" s="507"/>
      <c r="H74" s="507"/>
      <c r="I74" s="497">
        <f t="shared" si="9"/>
        <v>0</v>
      </c>
      <c r="J74" s="506">
        <f>'WTAX-TEMPO'!N61</f>
        <v>0</v>
      </c>
      <c r="K74" s="505">
        <f t="shared" si="10"/>
        <v>0</v>
      </c>
      <c r="L74" s="504">
        <f>'WTAX-TEMPO'!F61</f>
        <v>0</v>
      </c>
      <c r="M74" s="497">
        <f>'TEMPO - DEDS'!R51</f>
        <v>0</v>
      </c>
      <c r="N74" s="497">
        <f>'TEMPO - DEDS'!X51</f>
        <v>0</v>
      </c>
      <c r="O74" s="497">
        <f>'TEMPO - DEDS'!Y51</f>
        <v>0</v>
      </c>
      <c r="P74" s="497">
        <f>'TEMPO - DEDS'!AE51</f>
        <v>0</v>
      </c>
      <c r="Q74" s="503">
        <f t="shared" si="11"/>
        <v>0</v>
      </c>
      <c r="R74" s="502">
        <f t="shared" si="12"/>
        <v>0</v>
      </c>
      <c r="S74" s="501">
        <f t="shared" si="13"/>
        <v>0</v>
      </c>
      <c r="T74" s="500">
        <f t="shared" si="14"/>
        <v>0</v>
      </c>
      <c r="U74" s="499">
        <f t="shared" si="15"/>
        <v>32</v>
      </c>
      <c r="V74" s="498">
        <f>ROUND('TEMPO - PAY'!I74*0.12,2)</f>
        <v>0</v>
      </c>
      <c r="W74" s="497">
        <v>100</v>
      </c>
      <c r="X74" s="497">
        <f>MIN((I74*0.05)-'TEMPO - DEDS'!Y51,2500)</f>
        <v>0</v>
      </c>
      <c r="Y74" s="496">
        <v>200</v>
      </c>
    </row>
    <row r="75" spans="1:25" ht="18.75" customHeight="1" x14ac:dyDescent="0.25">
      <c r="A75" s="432"/>
      <c r="B75" s="405">
        <f t="shared" si="8"/>
        <v>33</v>
      </c>
      <c r="C75" s="509">
        <f>VLOOKUP(B75,'WTAX-TEMPO'!B:N,2,0)</f>
        <v>0</v>
      </c>
      <c r="D75" s="509" t="e">
        <f>VLOOKUP(C75,'WTAX-TEMPO'!C:O,2,0)</f>
        <v>#N/A</v>
      </c>
      <c r="E75" s="508">
        <f>VLOOKUP(B75,'WTAX-TEMPO'!B:N,4,0)</f>
        <v>0</v>
      </c>
      <c r="F75" s="495"/>
      <c r="G75" s="507"/>
      <c r="H75" s="507"/>
      <c r="I75" s="497">
        <f t="shared" si="9"/>
        <v>0</v>
      </c>
      <c r="J75" s="506">
        <f>'WTAX-TEMPO'!N62</f>
        <v>0</v>
      </c>
      <c r="K75" s="505">
        <f t="shared" si="10"/>
        <v>0</v>
      </c>
      <c r="L75" s="504">
        <f>'WTAX-TEMPO'!F62</f>
        <v>0</v>
      </c>
      <c r="M75" s="497">
        <f>'TEMPO - DEDS'!R52</f>
        <v>0</v>
      </c>
      <c r="N75" s="497">
        <f>'TEMPO - DEDS'!X52</f>
        <v>0</v>
      </c>
      <c r="O75" s="497">
        <f>'TEMPO - DEDS'!Y52</f>
        <v>0</v>
      </c>
      <c r="P75" s="497">
        <f>'TEMPO - DEDS'!AE52</f>
        <v>0</v>
      </c>
      <c r="Q75" s="503">
        <f t="shared" si="11"/>
        <v>0</v>
      </c>
      <c r="R75" s="502">
        <f t="shared" si="12"/>
        <v>0</v>
      </c>
      <c r="S75" s="501">
        <f t="shared" si="13"/>
        <v>0</v>
      </c>
      <c r="T75" s="500">
        <f t="shared" si="14"/>
        <v>0</v>
      </c>
      <c r="U75" s="499">
        <f t="shared" si="15"/>
        <v>33</v>
      </c>
      <c r="V75" s="498">
        <f>ROUND('TEMPO - PAY'!I75*0.12,2)</f>
        <v>0</v>
      </c>
      <c r="W75" s="497">
        <v>100</v>
      </c>
      <c r="X75" s="497">
        <f>MIN((I75*0.05)-'TEMPO - DEDS'!Y52,2500)</f>
        <v>0</v>
      </c>
      <c r="Y75" s="496">
        <v>200</v>
      </c>
    </row>
    <row r="76" spans="1:25" ht="18.75" customHeight="1" x14ac:dyDescent="0.25">
      <c r="A76" s="432"/>
      <c r="B76" s="405">
        <f t="shared" si="8"/>
        <v>34</v>
      </c>
      <c r="C76" s="509">
        <f>VLOOKUP(B76,'WTAX-TEMPO'!B:N,2,0)</f>
        <v>0</v>
      </c>
      <c r="D76" s="509" t="e">
        <f>VLOOKUP(C76,'WTAX-TEMPO'!C:O,2,0)</f>
        <v>#N/A</v>
      </c>
      <c r="E76" s="508">
        <f>VLOOKUP(B76,'WTAX-TEMPO'!B:N,4,0)</f>
        <v>0</v>
      </c>
      <c r="F76" s="495"/>
      <c r="G76" s="507"/>
      <c r="H76" s="507"/>
      <c r="I76" s="497">
        <f t="shared" si="9"/>
        <v>0</v>
      </c>
      <c r="J76" s="506">
        <f>'WTAX-TEMPO'!N63</f>
        <v>0</v>
      </c>
      <c r="K76" s="505">
        <f t="shared" si="10"/>
        <v>0</v>
      </c>
      <c r="L76" s="504">
        <f>'WTAX-TEMPO'!F63</f>
        <v>0</v>
      </c>
      <c r="M76" s="497">
        <f>'TEMPO - DEDS'!R53</f>
        <v>0</v>
      </c>
      <c r="N76" s="497">
        <f>'TEMPO - DEDS'!X53</f>
        <v>0</v>
      </c>
      <c r="O76" s="497">
        <f>'TEMPO - DEDS'!Y53</f>
        <v>0</v>
      </c>
      <c r="P76" s="497">
        <f>'TEMPO - DEDS'!AE53</f>
        <v>0</v>
      </c>
      <c r="Q76" s="503">
        <f t="shared" si="11"/>
        <v>0</v>
      </c>
      <c r="R76" s="502">
        <f t="shared" si="12"/>
        <v>0</v>
      </c>
      <c r="S76" s="501">
        <f t="shared" si="13"/>
        <v>0</v>
      </c>
      <c r="T76" s="500">
        <f t="shared" si="14"/>
        <v>0</v>
      </c>
      <c r="U76" s="499">
        <f t="shared" si="15"/>
        <v>34</v>
      </c>
      <c r="V76" s="498">
        <f>ROUND('TEMPO - PAY'!I76*0.12,2)</f>
        <v>0</v>
      </c>
      <c r="W76" s="497">
        <v>100</v>
      </c>
      <c r="X76" s="497">
        <f>MIN((I76*0.05)-'TEMPO - DEDS'!Y53,2500)</f>
        <v>0</v>
      </c>
      <c r="Y76" s="496">
        <v>200</v>
      </c>
    </row>
    <row r="77" spans="1:25" ht="18.75" customHeight="1" x14ac:dyDescent="0.25">
      <c r="A77" s="432"/>
      <c r="B77" s="405">
        <f t="shared" si="8"/>
        <v>35</v>
      </c>
      <c r="C77" s="509">
        <f>VLOOKUP(B77,'WTAX-TEMPO'!B:N,2,0)</f>
        <v>0</v>
      </c>
      <c r="D77" s="509" t="e">
        <f>VLOOKUP(C77,'WTAX-TEMPO'!C:O,2,0)</f>
        <v>#N/A</v>
      </c>
      <c r="E77" s="508">
        <f>VLOOKUP(B77,'WTAX-TEMPO'!B:N,4,0)</f>
        <v>0</v>
      </c>
      <c r="F77" s="495"/>
      <c r="G77" s="507"/>
      <c r="H77" s="507"/>
      <c r="I77" s="497">
        <f t="shared" si="9"/>
        <v>0</v>
      </c>
      <c r="J77" s="506">
        <f>'WTAX-TEMPO'!N64</f>
        <v>0</v>
      </c>
      <c r="K77" s="505">
        <f t="shared" si="10"/>
        <v>0</v>
      </c>
      <c r="L77" s="504">
        <f>'WTAX-TEMPO'!F64</f>
        <v>0</v>
      </c>
      <c r="M77" s="497">
        <f>'TEMPO - DEDS'!R54</f>
        <v>0</v>
      </c>
      <c r="N77" s="497">
        <f>'TEMPO - DEDS'!X54</f>
        <v>0</v>
      </c>
      <c r="O77" s="497">
        <f>'TEMPO - DEDS'!Y54</f>
        <v>0</v>
      </c>
      <c r="P77" s="497">
        <f>'TEMPO - DEDS'!AE54</f>
        <v>0</v>
      </c>
      <c r="Q77" s="503">
        <f t="shared" si="11"/>
        <v>0</v>
      </c>
      <c r="R77" s="502">
        <f t="shared" si="12"/>
        <v>0</v>
      </c>
      <c r="S77" s="501">
        <f t="shared" si="13"/>
        <v>0</v>
      </c>
      <c r="T77" s="500">
        <f t="shared" si="14"/>
        <v>0</v>
      </c>
      <c r="U77" s="499">
        <f t="shared" si="15"/>
        <v>35</v>
      </c>
      <c r="V77" s="498">
        <f>ROUND('TEMPO - PAY'!I77*0.12,2)</f>
        <v>0</v>
      </c>
      <c r="W77" s="497">
        <v>100</v>
      </c>
      <c r="X77" s="497">
        <f>MIN((I77*0.05)-'TEMPO - DEDS'!Y54,2500)</f>
        <v>0</v>
      </c>
      <c r="Y77" s="496">
        <v>200</v>
      </c>
    </row>
    <row r="78" spans="1:25" ht="18.75" customHeight="1" x14ac:dyDescent="0.25">
      <c r="A78" s="432"/>
      <c r="B78" s="405">
        <f t="shared" si="8"/>
        <v>36</v>
      </c>
      <c r="C78" s="509">
        <f>VLOOKUP(B78,'WTAX-TEMPO'!B:N,2,0)</f>
        <v>0</v>
      </c>
      <c r="D78" s="509" t="e">
        <f>VLOOKUP(C78,'WTAX-TEMPO'!C:O,2,0)</f>
        <v>#N/A</v>
      </c>
      <c r="E78" s="508">
        <f>VLOOKUP(B78,'WTAX-TEMPO'!B:N,4,0)</f>
        <v>0</v>
      </c>
      <c r="F78" s="495"/>
      <c r="G78" s="507"/>
      <c r="H78" s="507"/>
      <c r="I78" s="497">
        <f t="shared" si="9"/>
        <v>0</v>
      </c>
      <c r="J78" s="506">
        <f>'WTAX-TEMPO'!N65</f>
        <v>0</v>
      </c>
      <c r="K78" s="505">
        <f t="shared" si="10"/>
        <v>0</v>
      </c>
      <c r="L78" s="504">
        <f>'WTAX-TEMPO'!F65</f>
        <v>0</v>
      </c>
      <c r="M78" s="497">
        <f>'TEMPO - DEDS'!R55</f>
        <v>0</v>
      </c>
      <c r="N78" s="497">
        <f>'TEMPO - DEDS'!X55</f>
        <v>0</v>
      </c>
      <c r="O78" s="497">
        <f>'TEMPO - DEDS'!Y55</f>
        <v>0</v>
      </c>
      <c r="P78" s="497">
        <f>'TEMPO - DEDS'!AE55</f>
        <v>0</v>
      </c>
      <c r="Q78" s="503">
        <f t="shared" si="11"/>
        <v>0</v>
      </c>
      <c r="R78" s="502">
        <f t="shared" si="12"/>
        <v>0</v>
      </c>
      <c r="S78" s="501">
        <f t="shared" si="13"/>
        <v>0</v>
      </c>
      <c r="T78" s="500">
        <f t="shared" si="14"/>
        <v>0</v>
      </c>
      <c r="U78" s="499">
        <f t="shared" si="15"/>
        <v>36</v>
      </c>
      <c r="V78" s="498">
        <f>ROUND('TEMPO - PAY'!I78*0.12,2)</f>
        <v>0</v>
      </c>
      <c r="W78" s="497">
        <v>100</v>
      </c>
      <c r="X78" s="497">
        <f>MIN((I78*0.05)-'TEMPO - DEDS'!Y55,2500)</f>
        <v>0</v>
      </c>
      <c r="Y78" s="496">
        <v>200</v>
      </c>
    </row>
    <row r="79" spans="1:25" ht="18.75" customHeight="1" x14ac:dyDescent="0.25">
      <c r="A79" s="432"/>
      <c r="B79" s="405">
        <f t="shared" si="8"/>
        <v>37</v>
      </c>
      <c r="C79" s="509">
        <f>VLOOKUP(B79,'WTAX-TEMPO'!B:N,2,0)</f>
        <v>0</v>
      </c>
      <c r="D79" s="509" t="e">
        <f>VLOOKUP(C79,'WTAX-TEMPO'!C:O,2,0)</f>
        <v>#N/A</v>
      </c>
      <c r="E79" s="508">
        <f>VLOOKUP(B79,'WTAX-TEMPO'!B:N,4,0)</f>
        <v>0</v>
      </c>
      <c r="F79" s="495"/>
      <c r="G79" s="507"/>
      <c r="H79" s="507"/>
      <c r="I79" s="497">
        <f t="shared" si="9"/>
        <v>0</v>
      </c>
      <c r="J79" s="506">
        <f>'WTAX-TEMPO'!N66</f>
        <v>0</v>
      </c>
      <c r="K79" s="505">
        <f t="shared" si="10"/>
        <v>0</v>
      </c>
      <c r="L79" s="504">
        <f>'WTAX-TEMPO'!F66</f>
        <v>0</v>
      </c>
      <c r="M79" s="497">
        <f>'TEMPO - DEDS'!R56</f>
        <v>0</v>
      </c>
      <c r="N79" s="497">
        <f>'TEMPO - DEDS'!X56</f>
        <v>0</v>
      </c>
      <c r="O79" s="497">
        <f>'TEMPO - DEDS'!Y56</f>
        <v>0</v>
      </c>
      <c r="P79" s="497">
        <f>'TEMPO - DEDS'!AE56</f>
        <v>0</v>
      </c>
      <c r="Q79" s="503">
        <f t="shared" si="11"/>
        <v>0</v>
      </c>
      <c r="R79" s="502">
        <f t="shared" si="12"/>
        <v>0</v>
      </c>
      <c r="S79" s="501">
        <f t="shared" si="13"/>
        <v>0</v>
      </c>
      <c r="T79" s="500">
        <f t="shared" si="14"/>
        <v>0</v>
      </c>
      <c r="U79" s="499">
        <f t="shared" si="15"/>
        <v>37</v>
      </c>
      <c r="V79" s="498">
        <f>ROUND('TEMPO - PAY'!I79*0.12,2)</f>
        <v>0</v>
      </c>
      <c r="W79" s="497">
        <v>100</v>
      </c>
      <c r="X79" s="497">
        <f>MIN((I79*0.05)-'TEMPO - DEDS'!Y56,2500)</f>
        <v>0</v>
      </c>
      <c r="Y79" s="496">
        <v>200</v>
      </c>
    </row>
    <row r="80" spans="1:25" ht="18.75" customHeight="1" x14ac:dyDescent="0.25">
      <c r="A80" s="432"/>
      <c r="B80" s="405">
        <f t="shared" si="8"/>
        <v>38</v>
      </c>
      <c r="C80" s="509">
        <f>VLOOKUP(B80,'WTAX-TEMPO'!B:N,2,0)</f>
        <v>0</v>
      </c>
      <c r="D80" s="509" t="e">
        <f>VLOOKUP(C80,'WTAX-TEMPO'!C:O,2,0)</f>
        <v>#N/A</v>
      </c>
      <c r="E80" s="508">
        <f>VLOOKUP(B80,'WTAX-TEMPO'!B:N,4,0)</f>
        <v>0</v>
      </c>
      <c r="F80" s="495"/>
      <c r="G80" s="507"/>
      <c r="H80" s="507"/>
      <c r="I80" s="497">
        <f t="shared" si="9"/>
        <v>0</v>
      </c>
      <c r="J80" s="506">
        <f>'WTAX-TEMPO'!N67</f>
        <v>0</v>
      </c>
      <c r="K80" s="505">
        <f t="shared" si="10"/>
        <v>0</v>
      </c>
      <c r="L80" s="504">
        <f>'WTAX-TEMPO'!F67</f>
        <v>0</v>
      </c>
      <c r="M80" s="497">
        <f>'TEMPO - DEDS'!R57</f>
        <v>0</v>
      </c>
      <c r="N80" s="497">
        <f>'TEMPO - DEDS'!X57</f>
        <v>0</v>
      </c>
      <c r="O80" s="497">
        <f>'TEMPO - DEDS'!Y57</f>
        <v>0</v>
      </c>
      <c r="P80" s="497">
        <f>'TEMPO - DEDS'!AE57</f>
        <v>0</v>
      </c>
      <c r="Q80" s="503">
        <f t="shared" si="11"/>
        <v>0</v>
      </c>
      <c r="R80" s="502">
        <f t="shared" si="12"/>
        <v>0</v>
      </c>
      <c r="S80" s="501">
        <f t="shared" si="13"/>
        <v>0</v>
      </c>
      <c r="T80" s="500">
        <f t="shared" si="14"/>
        <v>0</v>
      </c>
      <c r="U80" s="499">
        <f t="shared" si="15"/>
        <v>38</v>
      </c>
      <c r="V80" s="498">
        <f>ROUND('TEMPO - PAY'!I80*0.12,2)</f>
        <v>0</v>
      </c>
      <c r="W80" s="497">
        <v>100</v>
      </c>
      <c r="X80" s="497">
        <f>MIN((I80*0.05)-'TEMPO - DEDS'!Y57,2500)</f>
        <v>0</v>
      </c>
      <c r="Y80" s="496">
        <v>200</v>
      </c>
    </row>
    <row r="81" spans="1:26" ht="18.75" customHeight="1" x14ac:dyDescent="0.25">
      <c r="A81" s="432"/>
      <c r="B81" s="405">
        <f t="shared" si="8"/>
        <v>39</v>
      </c>
      <c r="C81" s="509">
        <f>VLOOKUP(B81,'WTAX-TEMPO'!B:N,2,0)</f>
        <v>0</v>
      </c>
      <c r="D81" s="509" t="e">
        <f>VLOOKUP(C81,'WTAX-TEMPO'!C:O,2,0)</f>
        <v>#N/A</v>
      </c>
      <c r="E81" s="508">
        <f>VLOOKUP(B81,'WTAX-TEMPO'!B:N,4,0)</f>
        <v>0</v>
      </c>
      <c r="F81" s="495"/>
      <c r="G81" s="507"/>
      <c r="H81" s="507"/>
      <c r="I81" s="497">
        <f t="shared" si="9"/>
        <v>0</v>
      </c>
      <c r="J81" s="506">
        <f>'WTAX-TEMPO'!N68</f>
        <v>0</v>
      </c>
      <c r="K81" s="505">
        <f t="shared" si="10"/>
        <v>0</v>
      </c>
      <c r="L81" s="504">
        <f>'WTAX-TEMPO'!F68</f>
        <v>0</v>
      </c>
      <c r="M81" s="497">
        <f>'TEMPO - DEDS'!R58</f>
        <v>0</v>
      </c>
      <c r="N81" s="497">
        <f>'TEMPO - DEDS'!X58</f>
        <v>0</v>
      </c>
      <c r="O81" s="497">
        <f>'TEMPO - DEDS'!Y58</f>
        <v>0</v>
      </c>
      <c r="P81" s="497">
        <f>'TEMPO - DEDS'!AE58</f>
        <v>0</v>
      </c>
      <c r="Q81" s="503">
        <f t="shared" si="11"/>
        <v>0</v>
      </c>
      <c r="R81" s="502">
        <f t="shared" si="12"/>
        <v>0</v>
      </c>
      <c r="S81" s="501">
        <f t="shared" si="13"/>
        <v>0</v>
      </c>
      <c r="T81" s="500">
        <f t="shared" si="14"/>
        <v>0</v>
      </c>
      <c r="U81" s="499">
        <f t="shared" si="15"/>
        <v>39</v>
      </c>
      <c r="V81" s="498">
        <f>ROUND('TEMPO - PAY'!I81*0.12,2)</f>
        <v>0</v>
      </c>
      <c r="W81" s="497">
        <v>100</v>
      </c>
      <c r="X81" s="497">
        <f>MIN((I81*0.05)-'TEMPO - DEDS'!Y58,2500)</f>
        <v>0</v>
      </c>
      <c r="Y81" s="496">
        <v>200</v>
      </c>
    </row>
    <row r="82" spans="1:26" ht="18.75" customHeight="1" x14ac:dyDescent="0.25">
      <c r="A82" s="432"/>
      <c r="B82" s="405">
        <f t="shared" si="8"/>
        <v>40</v>
      </c>
      <c r="C82" s="509">
        <f>VLOOKUP(B82,'WTAX-TEMPO'!B:N,2,0)</f>
        <v>0</v>
      </c>
      <c r="D82" s="509" t="e">
        <f>VLOOKUP(C82,'WTAX-TEMPO'!C:O,2,0)</f>
        <v>#N/A</v>
      </c>
      <c r="E82" s="508">
        <f>VLOOKUP(B82,'WTAX-TEMPO'!B:N,4,0)</f>
        <v>0</v>
      </c>
      <c r="F82" s="495"/>
      <c r="G82" s="507"/>
      <c r="H82" s="507"/>
      <c r="I82" s="497">
        <f t="shared" si="9"/>
        <v>0</v>
      </c>
      <c r="J82" s="506">
        <f>'WTAX-TEMPO'!N69</f>
        <v>0</v>
      </c>
      <c r="K82" s="505">
        <f t="shared" si="10"/>
        <v>0</v>
      </c>
      <c r="L82" s="504">
        <f>'WTAX-TEMPO'!F69</f>
        <v>0</v>
      </c>
      <c r="M82" s="497">
        <f>'TEMPO - DEDS'!R59</f>
        <v>0</v>
      </c>
      <c r="N82" s="497">
        <f>'TEMPO - DEDS'!X59</f>
        <v>0</v>
      </c>
      <c r="O82" s="497">
        <f>'TEMPO - DEDS'!Y59</f>
        <v>0</v>
      </c>
      <c r="P82" s="497">
        <f>'TEMPO - DEDS'!AE59</f>
        <v>0</v>
      </c>
      <c r="Q82" s="503">
        <f t="shared" si="11"/>
        <v>0</v>
      </c>
      <c r="R82" s="502">
        <f t="shared" si="12"/>
        <v>0</v>
      </c>
      <c r="S82" s="501">
        <f t="shared" si="13"/>
        <v>0</v>
      </c>
      <c r="T82" s="500">
        <f t="shared" si="14"/>
        <v>0</v>
      </c>
      <c r="U82" s="499">
        <f t="shared" si="15"/>
        <v>40</v>
      </c>
      <c r="V82" s="498">
        <f>ROUND('TEMPO - PAY'!I82*0.12,2)</f>
        <v>0</v>
      </c>
      <c r="W82" s="497">
        <v>100</v>
      </c>
      <c r="X82" s="497">
        <f>MIN((I82*0.05)-'TEMPO - DEDS'!Y59,2500)</f>
        <v>0</v>
      </c>
      <c r="Y82" s="496">
        <v>200</v>
      </c>
    </row>
    <row r="83" spans="1:26" ht="18.75" customHeight="1" x14ac:dyDescent="0.25">
      <c r="A83" s="432"/>
      <c r="B83" s="405">
        <f t="shared" si="8"/>
        <v>41</v>
      </c>
      <c r="C83" s="509">
        <f>VLOOKUP(B83,'WTAX-TEMPO'!B:N,2,0)</f>
        <v>0</v>
      </c>
      <c r="D83" s="509" t="e">
        <f>VLOOKUP(C83,'WTAX-TEMPO'!C:O,2,0)</f>
        <v>#N/A</v>
      </c>
      <c r="E83" s="508">
        <f>VLOOKUP(B83,'WTAX-TEMPO'!B:N,4,0)</f>
        <v>0</v>
      </c>
      <c r="F83" s="495"/>
      <c r="G83" s="507"/>
      <c r="H83" s="507"/>
      <c r="I83" s="497">
        <f t="shared" si="9"/>
        <v>0</v>
      </c>
      <c r="J83" s="506">
        <f>'WTAX-TEMPO'!N70</f>
        <v>0</v>
      </c>
      <c r="K83" s="505">
        <f t="shared" si="10"/>
        <v>0</v>
      </c>
      <c r="L83" s="504">
        <f>'WTAX-TEMPO'!F70</f>
        <v>0</v>
      </c>
      <c r="M83" s="497">
        <f>'TEMPO - DEDS'!R60</f>
        <v>0</v>
      </c>
      <c r="N83" s="497">
        <f>'TEMPO - DEDS'!X60</f>
        <v>0</v>
      </c>
      <c r="O83" s="497">
        <f>'TEMPO - DEDS'!Y60</f>
        <v>0</v>
      </c>
      <c r="P83" s="497">
        <f>'TEMPO - DEDS'!AE60</f>
        <v>0</v>
      </c>
      <c r="Q83" s="503">
        <f t="shared" si="11"/>
        <v>0</v>
      </c>
      <c r="R83" s="502">
        <f t="shared" si="12"/>
        <v>0</v>
      </c>
      <c r="S83" s="501">
        <f t="shared" si="13"/>
        <v>0</v>
      </c>
      <c r="T83" s="500">
        <f t="shared" si="14"/>
        <v>0</v>
      </c>
      <c r="U83" s="499">
        <f t="shared" si="15"/>
        <v>41</v>
      </c>
      <c r="V83" s="498">
        <f>ROUND('TEMPO - PAY'!I83*0.12,2)</f>
        <v>0</v>
      </c>
      <c r="W83" s="497">
        <v>100</v>
      </c>
      <c r="X83" s="497">
        <f>MIN((I83*0.05)-'TEMPO - DEDS'!Y60,2500)</f>
        <v>0</v>
      </c>
      <c r="Y83" s="496">
        <v>200</v>
      </c>
    </row>
    <row r="84" spans="1:26" ht="18.75" customHeight="1" x14ac:dyDescent="0.25">
      <c r="A84" s="432"/>
      <c r="B84" s="405">
        <f t="shared" si="8"/>
        <v>42</v>
      </c>
      <c r="C84" s="509">
        <f>VLOOKUP(B84,'WTAX-TEMPO'!B:N,2,0)</f>
        <v>0</v>
      </c>
      <c r="D84" s="509" t="e">
        <f>VLOOKUP(C84,'WTAX-TEMPO'!C:O,2,0)</f>
        <v>#N/A</v>
      </c>
      <c r="E84" s="508">
        <f>VLOOKUP(B84,'WTAX-TEMPO'!B:N,4,0)</f>
        <v>0</v>
      </c>
      <c r="F84" s="495"/>
      <c r="G84" s="507"/>
      <c r="H84" s="507"/>
      <c r="I84" s="497">
        <f t="shared" si="9"/>
        <v>0</v>
      </c>
      <c r="J84" s="506">
        <f>'WTAX-TEMPO'!N71</f>
        <v>0</v>
      </c>
      <c r="K84" s="505">
        <f t="shared" si="10"/>
        <v>0</v>
      </c>
      <c r="L84" s="504">
        <f>'WTAX-TEMPO'!F71</f>
        <v>0</v>
      </c>
      <c r="M84" s="497">
        <f>'TEMPO - DEDS'!R61</f>
        <v>0</v>
      </c>
      <c r="N84" s="497">
        <f>'TEMPO - DEDS'!X61</f>
        <v>0</v>
      </c>
      <c r="O84" s="497">
        <f>'TEMPO - DEDS'!Y61</f>
        <v>0</v>
      </c>
      <c r="P84" s="497">
        <f>'TEMPO - DEDS'!AE61</f>
        <v>0</v>
      </c>
      <c r="Q84" s="503">
        <f t="shared" si="11"/>
        <v>0</v>
      </c>
      <c r="R84" s="502">
        <f t="shared" si="12"/>
        <v>0</v>
      </c>
      <c r="S84" s="501">
        <f t="shared" si="13"/>
        <v>0</v>
      </c>
      <c r="T84" s="500">
        <f t="shared" si="14"/>
        <v>0</v>
      </c>
      <c r="U84" s="499">
        <f t="shared" si="15"/>
        <v>42</v>
      </c>
      <c r="V84" s="498">
        <f>ROUND('TEMPO - PAY'!I84*0.12,2)</f>
        <v>0</v>
      </c>
      <c r="W84" s="497">
        <v>100</v>
      </c>
      <c r="X84" s="497">
        <f>MIN((I84*0.05)-'TEMPO - DEDS'!Y61,2500)</f>
        <v>0</v>
      </c>
      <c r="Y84" s="496">
        <v>200</v>
      </c>
    </row>
    <row r="85" spans="1:26" ht="18.75" customHeight="1" x14ac:dyDescent="0.25">
      <c r="A85" s="432"/>
      <c r="B85" s="405">
        <f>+B62+1</f>
        <v>43</v>
      </c>
      <c r="C85" s="509">
        <f>VLOOKUP(B85,'WTAX-TEMPO'!B:N,2,0)</f>
        <v>0</v>
      </c>
      <c r="D85" s="509" t="e">
        <f>VLOOKUP(C85,'WTAX-TEMPO'!C:O,2,0)</f>
        <v>#N/A</v>
      </c>
      <c r="E85" s="508">
        <f>VLOOKUP(B85,'WTAX-TEMPO'!B:N,4,0)</f>
        <v>0</v>
      </c>
      <c r="F85" s="495"/>
      <c r="G85" s="507"/>
      <c r="H85" s="507"/>
      <c r="I85" s="497">
        <f t="shared" si="0"/>
        <v>0</v>
      </c>
      <c r="J85" s="506">
        <f>'WTAX-TEMPO'!N72</f>
        <v>0</v>
      </c>
      <c r="K85" s="505">
        <f t="shared" si="1"/>
        <v>0</v>
      </c>
      <c r="L85" s="504">
        <f>'WTAX-TEMPO'!F72</f>
        <v>0</v>
      </c>
      <c r="M85" s="497">
        <f>'TEMPO - DEDS'!R84</f>
        <v>0</v>
      </c>
      <c r="N85" s="497">
        <f>'TEMPO - DEDS'!X84</f>
        <v>0</v>
      </c>
      <c r="O85" s="497">
        <f>'TEMPO - DEDS'!Y84</f>
        <v>0</v>
      </c>
      <c r="P85" s="497">
        <f>'TEMPO - DEDS'!AE84</f>
        <v>0</v>
      </c>
      <c r="Q85" s="503">
        <f t="shared" si="2"/>
        <v>0</v>
      </c>
      <c r="R85" s="502">
        <f t="shared" si="3"/>
        <v>0</v>
      </c>
      <c r="S85" s="501">
        <f t="shared" si="4"/>
        <v>0</v>
      </c>
      <c r="T85" s="500">
        <f t="shared" si="5"/>
        <v>0</v>
      </c>
      <c r="U85" s="499">
        <f t="shared" si="6"/>
        <v>43</v>
      </c>
      <c r="V85" s="498">
        <f>ROUND('TEMPO - PAY'!I85*0.12,2)</f>
        <v>0</v>
      </c>
      <c r="W85" s="497">
        <v>100</v>
      </c>
      <c r="X85" s="497">
        <f>MIN((I85*0.05)-'TEMPO - DEDS'!Y84,2500)</f>
        <v>0</v>
      </c>
      <c r="Y85" s="496">
        <v>200</v>
      </c>
    </row>
    <row r="86" spans="1:26" ht="18.75" customHeight="1" x14ac:dyDescent="0.25">
      <c r="A86" s="432"/>
      <c r="B86" s="476"/>
      <c r="C86" s="485"/>
      <c r="D86" s="485"/>
      <c r="E86" s="476"/>
      <c r="F86" s="495"/>
      <c r="G86" s="494"/>
      <c r="H86" s="494"/>
      <c r="I86" s="487"/>
      <c r="J86" s="493"/>
      <c r="K86" s="492"/>
      <c r="L86" s="489"/>
      <c r="M86" s="487"/>
      <c r="N86" s="487"/>
      <c r="O86" s="487"/>
      <c r="P86" s="487"/>
      <c r="Q86" s="491"/>
      <c r="R86" s="490"/>
      <c r="S86" s="489"/>
      <c r="T86" s="486"/>
      <c r="U86" s="476"/>
      <c r="V86" s="488"/>
      <c r="W86" s="487"/>
      <c r="X86" s="487"/>
      <c r="Y86" s="486"/>
    </row>
    <row r="87" spans="1:26" ht="18.75" customHeight="1" thickBot="1" x14ac:dyDescent="0.3">
      <c r="A87" s="432"/>
      <c r="B87" s="485"/>
      <c r="C87" s="485"/>
      <c r="D87" s="485"/>
      <c r="E87" s="476"/>
      <c r="F87" s="484">
        <f>SUM(F21:F86)</f>
        <v>0</v>
      </c>
      <c r="G87" s="483"/>
      <c r="H87" s="483">
        <f t="shared" ref="H87:T87" si="16">SUM(H21:H86)</f>
        <v>0</v>
      </c>
      <c r="I87" s="482">
        <f t="shared" si="16"/>
        <v>0</v>
      </c>
      <c r="J87" s="481">
        <f t="shared" si="16"/>
        <v>0</v>
      </c>
      <c r="K87" s="480">
        <f t="shared" si="16"/>
        <v>0</v>
      </c>
      <c r="L87" s="477">
        <f t="shared" si="16"/>
        <v>0</v>
      </c>
      <c r="M87" s="474">
        <f t="shared" si="16"/>
        <v>0</v>
      </c>
      <c r="N87" s="474">
        <f t="shared" si="16"/>
        <v>0</v>
      </c>
      <c r="O87" s="474">
        <f t="shared" si="16"/>
        <v>0</v>
      </c>
      <c r="P87" s="474">
        <f t="shared" si="16"/>
        <v>0</v>
      </c>
      <c r="Q87" s="479">
        <f t="shared" si="16"/>
        <v>0</v>
      </c>
      <c r="R87" s="478">
        <f t="shared" si="16"/>
        <v>0</v>
      </c>
      <c r="S87" s="477">
        <f t="shared" si="16"/>
        <v>0</v>
      </c>
      <c r="T87" s="473">
        <f t="shared" si="16"/>
        <v>0</v>
      </c>
      <c r="U87" s="476"/>
      <c r="V87" s="475">
        <f>SUM(V21:V86)</f>
        <v>0</v>
      </c>
      <c r="W87" s="474">
        <f>SUM(W21:W86)</f>
        <v>6500</v>
      </c>
      <c r="X87" s="474">
        <f>SUM(X21:X86)</f>
        <v>0</v>
      </c>
      <c r="Y87" s="473">
        <f>SUM(Y21:Y86)</f>
        <v>13000</v>
      </c>
    </row>
    <row r="88" spans="1:26" ht="21" customHeight="1" thickBot="1" x14ac:dyDescent="0.3">
      <c r="A88" s="432"/>
      <c r="B88" s="138" t="s">
        <v>21</v>
      </c>
      <c r="C88" s="983" t="s">
        <v>104</v>
      </c>
      <c r="D88" s="984"/>
      <c r="E88" s="984"/>
      <c r="F88" s="984"/>
      <c r="G88" s="984"/>
      <c r="H88" s="454"/>
      <c r="I88" s="454"/>
      <c r="J88" s="454"/>
      <c r="K88" s="470"/>
      <c r="L88" s="470"/>
      <c r="M88" s="470"/>
      <c r="N88" s="472"/>
      <c r="O88" s="138" t="s">
        <v>23</v>
      </c>
      <c r="P88" s="471" t="s">
        <v>89</v>
      </c>
      <c r="Q88" s="470"/>
      <c r="R88" s="470"/>
      <c r="S88" s="996"/>
      <c r="T88" s="996"/>
      <c r="U88" s="996"/>
      <c r="V88" s="996"/>
      <c r="W88" s="996"/>
      <c r="X88" s="996"/>
      <c r="Y88" s="997"/>
    </row>
    <row r="89" spans="1:26" ht="30.75" customHeight="1" x14ac:dyDescent="0.25">
      <c r="A89" s="432"/>
      <c r="B89" s="447" t="s">
        <v>22</v>
      </c>
      <c r="D89" s="451"/>
      <c r="E89" s="452"/>
      <c r="F89" s="451"/>
      <c r="G89" s="451"/>
      <c r="H89" s="451"/>
      <c r="I89" s="469"/>
      <c r="J89" s="469"/>
      <c r="K89" s="469"/>
      <c r="L89" s="469"/>
      <c r="M89" s="469"/>
      <c r="N89" s="468"/>
      <c r="O89" s="992" t="e" cm="1">
        <f t="array" aca="1" ref="O89" ca="1">PesosInWords2Caps(W89)</f>
        <v>#NAME?</v>
      </c>
      <c r="P89" s="993"/>
      <c r="Q89" s="993"/>
      <c r="R89" s="993"/>
      <c r="S89" s="993"/>
      <c r="T89" s="993"/>
      <c r="U89" s="993"/>
      <c r="V89" s="993"/>
      <c r="W89" s="990">
        <f>S87</f>
        <v>0</v>
      </c>
      <c r="X89" s="990"/>
      <c r="Y89" s="991"/>
    </row>
    <row r="90" spans="1:26" ht="21.75" customHeight="1" x14ac:dyDescent="0.25">
      <c r="A90" s="432"/>
      <c r="B90" s="447"/>
      <c r="C90" s="451"/>
      <c r="D90" s="451"/>
      <c r="E90" s="452"/>
      <c r="F90" s="451"/>
      <c r="G90" s="451"/>
      <c r="H90" s="451"/>
      <c r="I90" s="451"/>
      <c r="J90" s="451"/>
      <c r="K90" s="451"/>
      <c r="L90" s="451"/>
      <c r="M90" s="451"/>
      <c r="N90" s="450"/>
      <c r="O90" s="449"/>
      <c r="P90" s="451"/>
      <c r="Q90" s="451"/>
      <c r="R90" s="451"/>
      <c r="Y90" s="443"/>
    </row>
    <row r="91" spans="1:26" ht="21.75" customHeight="1" x14ac:dyDescent="0.25">
      <c r="A91" s="432"/>
      <c r="B91" s="447"/>
      <c r="N91" s="467"/>
      <c r="O91" s="448"/>
      <c r="P91" s="452"/>
      <c r="Y91" s="443"/>
    </row>
    <row r="92" spans="1:26" ht="16.5" customHeight="1" x14ac:dyDescent="0.25">
      <c r="A92" s="432"/>
      <c r="B92" s="447"/>
      <c r="C92" s="678" t="s">
        <v>47</v>
      </c>
      <c r="D92" s="678"/>
      <c r="E92" s="466"/>
      <c r="F92" s="464">
        <f ca="1">NOW()</f>
        <v>46275.505203009256</v>
      </c>
      <c r="G92" s="465"/>
      <c r="H92" s="678" t="s">
        <v>95</v>
      </c>
      <c r="I92" s="678"/>
      <c r="J92" s="678"/>
      <c r="K92" s="678"/>
      <c r="L92" s="451"/>
      <c r="M92" s="464">
        <f ca="1">NOW()</f>
        <v>46275.505203009256</v>
      </c>
      <c r="N92" s="445"/>
      <c r="O92" s="444"/>
      <c r="P92" s="460"/>
      <c r="Q92" s="678" t="s">
        <v>97</v>
      </c>
      <c r="R92" s="678"/>
      <c r="S92" s="678"/>
      <c r="V92" s="463"/>
      <c r="W92" s="462"/>
      <c r="X92" s="462"/>
      <c r="Y92" s="443"/>
    </row>
    <row r="93" spans="1:26" ht="15.75" x14ac:dyDescent="0.25">
      <c r="A93" s="432"/>
      <c r="B93" s="447"/>
      <c r="C93" s="669" t="s">
        <v>93</v>
      </c>
      <c r="D93" s="669"/>
      <c r="F93" s="459" t="s">
        <v>29</v>
      </c>
      <c r="H93" s="669" t="s">
        <v>94</v>
      </c>
      <c r="I93" s="669"/>
      <c r="J93" s="669"/>
      <c r="K93" s="669"/>
      <c r="M93" s="459" t="s">
        <v>29</v>
      </c>
      <c r="N93" s="461"/>
      <c r="O93" s="444"/>
      <c r="P93" s="460"/>
      <c r="Q93" s="669" t="s">
        <v>96</v>
      </c>
      <c r="R93" s="669"/>
      <c r="S93" s="669"/>
      <c r="V93" s="459" t="s">
        <v>29</v>
      </c>
      <c r="Y93" s="443"/>
    </row>
    <row r="94" spans="1:26" ht="16.5" thickBot="1" x14ac:dyDescent="0.3">
      <c r="A94" s="432"/>
      <c r="B94" s="396"/>
      <c r="C94" s="457"/>
      <c r="D94" s="457"/>
      <c r="E94" s="458"/>
      <c r="F94" s="457"/>
      <c r="G94" s="457"/>
      <c r="H94" s="457"/>
      <c r="I94" s="457"/>
      <c r="J94" s="457"/>
      <c r="K94" s="394"/>
      <c r="L94" s="394"/>
      <c r="M94" s="394"/>
      <c r="N94" s="439"/>
      <c r="O94" s="438"/>
      <c r="P94" s="456"/>
      <c r="Q94" s="437"/>
      <c r="R94" s="437"/>
      <c r="S94" s="437"/>
      <c r="T94" s="394"/>
      <c r="U94" s="455"/>
      <c r="V94" s="394"/>
      <c r="W94" s="394"/>
      <c r="X94" s="394"/>
      <c r="Y94" s="435"/>
      <c r="Z94" s="975"/>
    </row>
    <row r="95" spans="1:26" ht="21" customHeight="1" thickBot="1" x14ac:dyDescent="0.3">
      <c r="A95" s="432"/>
      <c r="B95" s="138" t="s">
        <v>24</v>
      </c>
      <c r="C95" s="969" t="s">
        <v>105</v>
      </c>
      <c r="D95" s="969" t="s">
        <v>100</v>
      </c>
      <c r="E95" s="969"/>
      <c r="F95" s="969"/>
      <c r="G95" s="969"/>
      <c r="H95" s="969"/>
      <c r="I95" s="969"/>
      <c r="J95" s="969"/>
      <c r="K95" s="969"/>
      <c r="L95" s="965">
        <f>S87</f>
        <v>0</v>
      </c>
      <c r="M95" s="965"/>
      <c r="N95" s="966"/>
      <c r="O95" s="138" t="s">
        <v>25</v>
      </c>
      <c r="P95" s="971" t="s">
        <v>35</v>
      </c>
      <c r="Q95" s="971"/>
      <c r="R95" s="971"/>
      <c r="S95" s="971"/>
      <c r="T95" s="972"/>
      <c r="U95" s="138" t="s">
        <v>27</v>
      </c>
      <c r="V95" s="454"/>
      <c r="W95" s="454"/>
      <c r="X95" s="454"/>
      <c r="Y95" s="453"/>
      <c r="Z95" s="976"/>
    </row>
    <row r="96" spans="1:26" ht="30.75" customHeight="1" x14ac:dyDescent="0.25">
      <c r="A96" s="432"/>
      <c r="B96" s="447" t="s">
        <v>26</v>
      </c>
      <c r="C96" s="970"/>
      <c r="D96" s="970"/>
      <c r="E96" s="970"/>
      <c r="F96" s="970"/>
      <c r="G96" s="970"/>
      <c r="H96" s="970"/>
      <c r="I96" s="970"/>
      <c r="J96" s="970"/>
      <c r="K96" s="970"/>
      <c r="L96" s="967"/>
      <c r="M96" s="967"/>
      <c r="N96" s="968"/>
      <c r="O96" s="449"/>
      <c r="P96" s="973"/>
      <c r="Q96" s="973"/>
      <c r="R96" s="973"/>
      <c r="S96" s="973"/>
      <c r="T96" s="974"/>
      <c r="U96" s="448"/>
      <c r="V96" s="441" t="s">
        <v>90</v>
      </c>
      <c r="W96" s="820" t="str">
        <f>'GEN.AD - PAY'!$W$172</f>
        <v>01-101101-2026-01-0003</v>
      </c>
      <c r="X96" s="820"/>
      <c r="Y96" s="822"/>
      <c r="Z96" s="976"/>
    </row>
    <row r="97" spans="1:26" ht="24.95" customHeight="1" x14ac:dyDescent="0.25">
      <c r="A97" s="432"/>
      <c r="B97" s="447"/>
      <c r="C97" s="451" t="s">
        <v>28</v>
      </c>
      <c r="D97" s="451"/>
      <c r="E97" s="452"/>
      <c r="F97" s="451"/>
      <c r="G97" s="451"/>
      <c r="H97" s="451"/>
      <c r="I97" s="451"/>
      <c r="J97" s="451"/>
      <c r="K97" s="451"/>
      <c r="L97" s="451"/>
      <c r="M97" s="451"/>
      <c r="N97" s="450"/>
      <c r="O97" s="449"/>
      <c r="P97" s="451"/>
      <c r="T97" s="443"/>
      <c r="U97" s="442"/>
      <c r="V97" s="441" t="s">
        <v>91</v>
      </c>
      <c r="W97" s="918">
        <f>'GEN.AD - PAY'!$W$173</f>
        <v>46038</v>
      </c>
      <c r="X97" s="918"/>
      <c r="Y97" s="919"/>
      <c r="Z97" s="976"/>
    </row>
    <row r="98" spans="1:26" ht="24.95" customHeight="1" x14ac:dyDescent="0.25">
      <c r="A98" s="432"/>
      <c r="B98" s="447"/>
      <c r="E98" s="678" t="s">
        <v>102</v>
      </c>
      <c r="F98" s="678"/>
      <c r="G98" s="678"/>
      <c r="H98" s="678"/>
      <c r="I98" s="678"/>
      <c r="K98" s="964"/>
      <c r="L98" s="964"/>
      <c r="M98" s="451"/>
      <c r="N98" s="450"/>
      <c r="O98" s="449"/>
      <c r="P98" s="678" t="s">
        <v>99</v>
      </c>
      <c r="Q98" s="678"/>
      <c r="R98" s="678"/>
      <c r="S98" s="678"/>
      <c r="T98" s="443"/>
      <c r="U98" s="448"/>
      <c r="V98" s="441" t="s">
        <v>92</v>
      </c>
      <c r="W98" s="820" t="str">
        <f>'GEN.AD - PAY'!$W$174</f>
        <v>01-2026-01-0019</v>
      </c>
      <c r="X98" s="820"/>
      <c r="Y98" s="822"/>
      <c r="Z98" s="976"/>
    </row>
    <row r="99" spans="1:26" ht="24.95" customHeight="1" x14ac:dyDescent="0.25">
      <c r="A99" s="432"/>
      <c r="B99" s="447"/>
      <c r="E99" s="1001" t="s">
        <v>101</v>
      </c>
      <c r="F99" s="1001"/>
      <c r="G99" s="1001"/>
      <c r="H99" s="1001"/>
      <c r="I99" s="1001"/>
      <c r="K99" s="1006" t="s">
        <v>29</v>
      </c>
      <c r="L99" s="1006"/>
      <c r="M99" s="446"/>
      <c r="N99" s="445"/>
      <c r="O99" s="444"/>
      <c r="P99" s="669" t="s">
        <v>98</v>
      </c>
      <c r="Q99" s="669"/>
      <c r="R99" s="669"/>
      <c r="S99" s="669"/>
      <c r="T99" s="443"/>
      <c r="U99" s="442"/>
      <c r="V99" s="441" t="s">
        <v>91</v>
      </c>
      <c r="W99" s="918">
        <f>'GEN.AD - PAY'!$W$175</f>
        <v>46038</v>
      </c>
      <c r="X99" s="918"/>
      <c r="Y99" s="919"/>
      <c r="Z99" s="440"/>
    </row>
    <row r="100" spans="1:26" ht="16.5" thickBot="1" x14ac:dyDescent="0.3">
      <c r="A100" s="432"/>
      <c r="B100" s="396"/>
      <c r="C100" s="394"/>
      <c r="D100" s="394"/>
      <c r="E100" s="1000"/>
      <c r="F100" s="1000"/>
      <c r="G100" s="1000"/>
      <c r="H100" s="1000"/>
      <c r="I100" s="394"/>
      <c r="J100" s="394"/>
      <c r="K100" s="437"/>
      <c r="L100" s="437"/>
      <c r="M100" s="437"/>
      <c r="N100" s="439"/>
      <c r="O100" s="438"/>
      <c r="P100" s="437"/>
      <c r="Q100" s="437"/>
      <c r="R100" s="437"/>
      <c r="S100" s="437"/>
      <c r="T100" s="435"/>
      <c r="U100" s="436"/>
      <c r="V100" s="394"/>
      <c r="W100" s="394"/>
      <c r="X100" s="394"/>
      <c r="Y100" s="435"/>
    </row>
    <row r="102" spans="1:26" x14ac:dyDescent="0.25">
      <c r="C102" s="433"/>
      <c r="F102" s="434"/>
    </row>
    <row r="103" spans="1:26" x14ac:dyDescent="0.25">
      <c r="C103" s="433"/>
      <c r="F103" s="388"/>
    </row>
    <row r="104" spans="1:26" x14ac:dyDescent="0.25">
      <c r="C104" s="433"/>
    </row>
    <row r="105" spans="1:26" x14ac:dyDescent="0.25">
      <c r="C105" s="433"/>
    </row>
    <row r="106" spans="1:26" x14ac:dyDescent="0.25">
      <c r="C106" s="433"/>
    </row>
    <row r="119" spans="1:25" ht="18.75" customHeight="1" x14ac:dyDescent="0.25">
      <c r="A119" s="432"/>
      <c r="B119" s="382"/>
      <c r="C119" s="387"/>
      <c r="D119" s="387"/>
      <c r="E119" s="386"/>
      <c r="F119" s="430"/>
      <c r="G119" s="430"/>
      <c r="H119" s="430"/>
      <c r="I119" s="430"/>
      <c r="J119" s="430"/>
      <c r="K119" s="430"/>
      <c r="L119" s="430"/>
      <c r="M119" s="430"/>
      <c r="N119" s="430"/>
      <c r="O119" s="430"/>
      <c r="P119" s="430"/>
      <c r="Q119" s="430"/>
      <c r="R119" s="430"/>
      <c r="S119" s="431"/>
      <c r="T119" s="431"/>
      <c r="V119" s="430"/>
      <c r="W119" s="430"/>
      <c r="X119" s="430"/>
      <c r="Y119" s="430"/>
    </row>
  </sheetData>
  <mergeCells count="66">
    <mergeCell ref="E100:H100"/>
    <mergeCell ref="P99:S99"/>
    <mergeCell ref="E99:I99"/>
    <mergeCell ref="B9:Y9"/>
    <mergeCell ref="B8:Y8"/>
    <mergeCell ref="B17:B19"/>
    <mergeCell ref="X18:X19"/>
    <mergeCell ref="Y18:Y19"/>
    <mergeCell ref="G18:G19"/>
    <mergeCell ref="K99:L99"/>
    <mergeCell ref="W99:Y99"/>
    <mergeCell ref="E98:I98"/>
    <mergeCell ref="Q92:S92"/>
    <mergeCell ref="W13:Y13"/>
    <mergeCell ref="L17:Q17"/>
    <mergeCell ref="P18:P19"/>
    <mergeCell ref="X2:Y2"/>
    <mergeCell ref="B13:C13"/>
    <mergeCell ref="D12:D14"/>
    <mergeCell ref="W89:Y89"/>
    <mergeCell ref="J18:J19"/>
    <mergeCell ref="O89:V89"/>
    <mergeCell ref="B15:Y15"/>
    <mergeCell ref="L18:L19"/>
    <mergeCell ref="M18:M19"/>
    <mergeCell ref="S88:Y88"/>
    <mergeCell ref="O18:O19"/>
    <mergeCell ref="H18:H19"/>
    <mergeCell ref="I18:I19"/>
    <mergeCell ref="F17:K17"/>
    <mergeCell ref="B11:Y11"/>
    <mergeCell ref="B3:Y3"/>
    <mergeCell ref="B4:Y4"/>
    <mergeCell ref="B5:Y5"/>
    <mergeCell ref="B6:Y6"/>
    <mergeCell ref="B10:Y10"/>
    <mergeCell ref="Z94:Z98"/>
    <mergeCell ref="C17:C19"/>
    <mergeCell ref="D17:D19"/>
    <mergeCell ref="E17:E19"/>
    <mergeCell ref="F18:F19"/>
    <mergeCell ref="Q18:Q19"/>
    <mergeCell ref="K18:K19"/>
    <mergeCell ref="V18:V19"/>
    <mergeCell ref="W18:W19"/>
    <mergeCell ref="C88:G88"/>
    <mergeCell ref="N18:N19"/>
    <mergeCell ref="S17:S19"/>
    <mergeCell ref="T17:T19"/>
    <mergeCell ref="R17:R19"/>
    <mergeCell ref="U17:U19"/>
    <mergeCell ref="V17:Y17"/>
    <mergeCell ref="D95:K96"/>
    <mergeCell ref="C92:D92"/>
    <mergeCell ref="H92:K92"/>
    <mergeCell ref="K98:L98"/>
    <mergeCell ref="W96:Y96"/>
    <mergeCell ref="W97:Y97"/>
    <mergeCell ref="W98:Y98"/>
    <mergeCell ref="C93:D93"/>
    <mergeCell ref="H93:K93"/>
    <mergeCell ref="L95:N96"/>
    <mergeCell ref="C95:C96"/>
    <mergeCell ref="P95:T96"/>
    <mergeCell ref="P98:S98"/>
    <mergeCell ref="Q93:S93"/>
  </mergeCells>
  <conditionalFormatting sqref="S21:T43 S119:T119 S45:T85">
    <cfRule type="cellIs" dxfId="2" priority="2" stopIfTrue="1" operator="equal">
      <formula>2500</formula>
    </cfRule>
  </conditionalFormatting>
  <conditionalFormatting sqref="S44:T44">
    <cfRule type="cellIs" dxfId="1" priority="1" stopIfTrue="1" operator="equal">
      <formula>2500</formula>
    </cfRule>
  </conditionalFormatting>
  <printOptions horizontalCentered="1"/>
  <pageMargins left="0.39370078740157483" right="0.39370078740157483" top="0.39370078740157483" bottom="0.78740157480314965" header="0" footer="0.39370078740157483"/>
  <pageSetup paperSize="14" scale="51" fitToHeight="0" orientation="landscape" r:id="rId1"/>
  <headerFooter alignWithMargins="0">
    <oddHeader>&amp;R
&amp;16Sheet &amp;"Times New Roman,Bold"&amp;U&amp;P&amp;"Times New Roman,Regular"&amp;U of &amp;"Times New Roman,Bold"&amp;U&amp;N&amp;"Times New Roman,Regular"&amp;U Sheets</oddHeader>
  </headerFooter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968DD9-E299-445A-81E8-E7022C86AEE7}">
  <sheetPr codeName="Sheet38">
    <tabColor rgb="FF00B050"/>
    <pageSetUpPr fitToPage="1"/>
  </sheetPr>
  <dimension ref="A1:AG92"/>
  <sheetViews>
    <sheetView showWhiteSpace="0" topLeftCell="B16" zoomScaleNormal="100" zoomScaleSheetLayoutView="100" workbookViewId="0">
      <pane xSplit="6" ySplit="3" topLeftCell="H52" activePane="bottomRight" state="frozen"/>
      <selection activeCell="B58" sqref="B54:Y58"/>
      <selection pane="topRight" activeCell="B58" sqref="B54:Y58"/>
      <selection pane="bottomLeft" activeCell="B58" sqref="B54:Y58"/>
      <selection pane="bottomRight" activeCell="B58" sqref="B54:Y58"/>
    </sheetView>
  </sheetViews>
  <sheetFormatPr defaultRowHeight="30.75" x14ac:dyDescent="0.25"/>
  <cols>
    <col min="1" max="1" width="9.375" style="429" customWidth="1"/>
    <col min="2" max="2" width="6.75" style="379" customWidth="1"/>
    <col min="3" max="3" width="24.625" style="379" customWidth="1"/>
    <col min="4" max="4" width="12.875" style="379" customWidth="1"/>
    <col min="5" max="5" width="9.625" style="382" customWidth="1"/>
    <col min="6" max="6" width="10.875" style="379" customWidth="1"/>
    <col min="7" max="7" width="12" style="379" customWidth="1"/>
    <col min="8" max="12" width="10.625" style="379" customWidth="1"/>
    <col min="13" max="13" width="12.25" style="379" customWidth="1"/>
    <col min="14" max="17" width="10.625" style="379" customWidth="1"/>
    <col min="18" max="18" width="11.75" style="379" customWidth="1"/>
    <col min="19" max="19" width="11.25" style="379" customWidth="1"/>
    <col min="20" max="20" width="10.625" style="379" customWidth="1"/>
    <col min="21" max="21" width="10.75" style="379" customWidth="1"/>
    <col min="22" max="23" width="9.875" style="379" customWidth="1"/>
    <col min="24" max="24" width="11.125" style="379" customWidth="1"/>
    <col min="25" max="25" width="10.875" style="379" customWidth="1"/>
    <col min="26" max="26" width="12.375" style="379" customWidth="1"/>
    <col min="27" max="27" width="10.625" style="379" customWidth="1"/>
    <col min="28" max="28" width="11.25" style="379" customWidth="1"/>
    <col min="29" max="30" width="9.875" style="379" customWidth="1"/>
    <col min="31" max="31" width="11.5" style="379" customWidth="1"/>
    <col min="32" max="32" width="13.875" style="379" customWidth="1"/>
    <col min="33" max="33" width="10.375" style="379" bestFit="1" customWidth="1"/>
    <col min="34" max="16384" width="9" style="379"/>
  </cols>
  <sheetData>
    <row r="1" spans="1:33" ht="23.25" customHeight="1" x14ac:dyDescent="0.25">
      <c r="A1" s="432">
        <v>94</v>
      </c>
      <c r="F1" s="542"/>
      <c r="X1" s="542"/>
      <c r="Y1" s="542"/>
      <c r="AE1" s="542"/>
      <c r="AF1" s="101"/>
    </row>
    <row r="2" spans="1:33" ht="23.25" x14ac:dyDescent="0.25">
      <c r="A2" s="432"/>
      <c r="F2" s="542"/>
      <c r="X2" s="542"/>
      <c r="Y2" s="542"/>
      <c r="AE2" s="701" t="s">
        <v>40</v>
      </c>
      <c r="AF2" s="701"/>
    </row>
    <row r="3" spans="1:33" ht="15.75" customHeight="1" x14ac:dyDescent="0.25">
      <c r="A3" s="432"/>
      <c r="B3" s="702" t="s">
        <v>42</v>
      </c>
      <c r="C3" s="702"/>
      <c r="D3" s="702"/>
      <c r="E3" s="702"/>
      <c r="F3" s="702"/>
      <c r="G3" s="702"/>
      <c r="H3" s="702"/>
      <c r="I3" s="702"/>
      <c r="J3" s="702"/>
      <c r="K3" s="702"/>
      <c r="L3" s="702"/>
      <c r="M3" s="702"/>
      <c r="N3" s="702"/>
      <c r="O3" s="702"/>
      <c r="P3" s="702"/>
      <c r="Q3" s="702"/>
      <c r="R3" s="702"/>
      <c r="S3" s="702"/>
      <c r="T3" s="702"/>
      <c r="U3" s="702"/>
      <c r="V3" s="702"/>
      <c r="W3" s="702"/>
      <c r="X3" s="702"/>
      <c r="Y3" s="702"/>
      <c r="Z3" s="702"/>
      <c r="AA3" s="702"/>
      <c r="AB3" s="702"/>
      <c r="AC3" s="702"/>
      <c r="AD3" s="702"/>
      <c r="AE3" s="702"/>
      <c r="AF3" s="702"/>
    </row>
    <row r="4" spans="1:33" ht="15.75" customHeight="1" x14ac:dyDescent="0.25">
      <c r="A4" s="432"/>
      <c r="B4" s="703" t="s">
        <v>43</v>
      </c>
      <c r="C4" s="703"/>
      <c r="D4" s="703"/>
      <c r="E4" s="703"/>
      <c r="F4" s="703"/>
      <c r="G4" s="703"/>
      <c r="H4" s="703"/>
      <c r="I4" s="703"/>
      <c r="J4" s="703"/>
      <c r="K4" s="703"/>
      <c r="L4" s="703"/>
      <c r="M4" s="703"/>
      <c r="N4" s="703"/>
      <c r="O4" s="703"/>
      <c r="P4" s="703"/>
      <c r="Q4" s="703"/>
      <c r="R4" s="703"/>
      <c r="S4" s="703"/>
      <c r="T4" s="703"/>
      <c r="U4" s="703"/>
      <c r="V4" s="703"/>
      <c r="W4" s="703"/>
      <c r="X4" s="703"/>
      <c r="Y4" s="703"/>
      <c r="Z4" s="703"/>
      <c r="AA4" s="703"/>
      <c r="AB4" s="703"/>
      <c r="AC4" s="703"/>
      <c r="AD4" s="703"/>
      <c r="AE4" s="703"/>
      <c r="AF4" s="703"/>
    </row>
    <row r="5" spans="1:33" ht="15.75" customHeight="1" x14ac:dyDescent="0.25">
      <c r="A5" s="432"/>
      <c r="B5" s="703" t="s">
        <v>44</v>
      </c>
      <c r="C5" s="703"/>
      <c r="D5" s="703"/>
      <c r="E5" s="703"/>
      <c r="F5" s="703"/>
      <c r="G5" s="703"/>
      <c r="H5" s="703"/>
      <c r="I5" s="703"/>
      <c r="J5" s="703"/>
      <c r="K5" s="703"/>
      <c r="L5" s="703"/>
      <c r="M5" s="703"/>
      <c r="N5" s="703"/>
      <c r="O5" s="703"/>
      <c r="P5" s="703"/>
      <c r="Q5" s="703"/>
      <c r="R5" s="703"/>
      <c r="S5" s="703"/>
      <c r="T5" s="703"/>
      <c r="U5" s="703"/>
      <c r="V5" s="703"/>
      <c r="W5" s="703"/>
      <c r="X5" s="703"/>
      <c r="Y5" s="703"/>
      <c r="Z5" s="703"/>
      <c r="AA5" s="703"/>
      <c r="AB5" s="703"/>
      <c r="AC5" s="703"/>
      <c r="AD5" s="703"/>
      <c r="AE5" s="703"/>
      <c r="AF5" s="703"/>
    </row>
    <row r="6" spans="1:33" ht="15.75" customHeight="1" x14ac:dyDescent="0.25">
      <c r="A6" s="432"/>
      <c r="B6" s="702" t="s">
        <v>45</v>
      </c>
      <c r="C6" s="702"/>
      <c r="D6" s="702"/>
      <c r="E6" s="702"/>
      <c r="F6" s="702"/>
      <c r="G6" s="702"/>
      <c r="H6" s="702"/>
      <c r="I6" s="702"/>
      <c r="J6" s="702"/>
      <c r="K6" s="702"/>
      <c r="L6" s="702"/>
      <c r="M6" s="702"/>
      <c r="N6" s="702"/>
      <c r="O6" s="702"/>
      <c r="P6" s="702"/>
      <c r="Q6" s="702"/>
      <c r="R6" s="702"/>
      <c r="S6" s="702"/>
      <c r="T6" s="702"/>
      <c r="U6" s="702"/>
      <c r="V6" s="702"/>
      <c r="W6" s="702"/>
      <c r="X6" s="702"/>
      <c r="Y6" s="702"/>
      <c r="Z6" s="702"/>
      <c r="AA6" s="702"/>
      <c r="AB6" s="702"/>
      <c r="AC6" s="702"/>
      <c r="AD6" s="702"/>
      <c r="AE6" s="702"/>
      <c r="AF6" s="702"/>
    </row>
    <row r="7" spans="1:33" ht="15.75" customHeight="1" x14ac:dyDescent="0.25">
      <c r="A7" s="432"/>
      <c r="F7" s="102"/>
      <c r="X7" s="102"/>
      <c r="Y7" s="102"/>
      <c r="AE7" s="102"/>
      <c r="AF7" s="102"/>
    </row>
    <row r="8" spans="1:33" ht="22.5" x14ac:dyDescent="0.25">
      <c r="A8" s="432"/>
      <c r="B8" s="697" t="s">
        <v>64</v>
      </c>
      <c r="C8" s="697"/>
      <c r="D8" s="697"/>
      <c r="E8" s="697"/>
      <c r="F8" s="697"/>
      <c r="G8" s="697"/>
      <c r="H8" s="697"/>
      <c r="I8" s="697"/>
      <c r="J8" s="697"/>
      <c r="K8" s="697"/>
      <c r="L8" s="697"/>
      <c r="M8" s="697"/>
      <c r="N8" s="697"/>
      <c r="O8" s="697"/>
      <c r="P8" s="697"/>
      <c r="Q8" s="697"/>
      <c r="R8" s="697"/>
      <c r="S8" s="697"/>
      <c r="T8" s="697"/>
      <c r="U8" s="697"/>
      <c r="V8" s="697"/>
      <c r="W8" s="697"/>
      <c r="X8" s="697"/>
      <c r="Y8" s="697"/>
      <c r="Z8" s="697"/>
      <c r="AA8" s="697"/>
      <c r="AB8" s="697"/>
      <c r="AC8" s="697"/>
      <c r="AD8" s="697"/>
      <c r="AE8" s="697"/>
      <c r="AF8" s="697"/>
    </row>
    <row r="9" spans="1:33" ht="20.25" x14ac:dyDescent="0.25">
      <c r="A9" s="432"/>
      <c r="B9" s="698" t="str">
        <f>'TEMPO - PAY'!B9</f>
        <v>TEMPORARY EMPLOYEES</v>
      </c>
      <c r="C9" s="698"/>
      <c r="D9" s="698"/>
      <c r="E9" s="698"/>
      <c r="F9" s="698"/>
      <c r="G9" s="698"/>
      <c r="H9" s="698"/>
      <c r="I9" s="698"/>
      <c r="J9" s="698"/>
      <c r="K9" s="698"/>
      <c r="L9" s="698"/>
      <c r="M9" s="698"/>
      <c r="N9" s="698"/>
      <c r="O9" s="698"/>
      <c r="P9" s="698"/>
      <c r="Q9" s="698"/>
      <c r="R9" s="698"/>
      <c r="S9" s="698"/>
      <c r="T9" s="698"/>
      <c r="U9" s="698"/>
      <c r="V9" s="698"/>
      <c r="W9" s="698"/>
      <c r="X9" s="698"/>
      <c r="Y9" s="698"/>
      <c r="Z9" s="698"/>
      <c r="AA9" s="698"/>
      <c r="AB9" s="698"/>
      <c r="AC9" s="698"/>
      <c r="AD9" s="698"/>
      <c r="AE9" s="698"/>
      <c r="AF9" s="698"/>
    </row>
    <row r="10" spans="1:33" ht="20.25" x14ac:dyDescent="0.25">
      <c r="A10" s="432"/>
      <c r="B10" s="699" t="str">
        <f>'TEMPO - PAY'!B10</f>
        <v>For the period JANUARY 1-31, 2026</v>
      </c>
      <c r="C10" s="699"/>
      <c r="D10" s="699"/>
      <c r="E10" s="699"/>
      <c r="F10" s="699"/>
      <c r="G10" s="699"/>
      <c r="H10" s="699"/>
      <c r="I10" s="699"/>
      <c r="J10" s="699"/>
      <c r="K10" s="699"/>
      <c r="L10" s="699"/>
      <c r="M10" s="699"/>
      <c r="N10" s="699"/>
      <c r="O10" s="699"/>
      <c r="P10" s="699"/>
      <c r="Q10" s="699"/>
      <c r="R10" s="699"/>
      <c r="S10" s="699"/>
      <c r="T10" s="699"/>
      <c r="U10" s="699"/>
      <c r="V10" s="699"/>
      <c r="W10" s="699"/>
      <c r="X10" s="699"/>
      <c r="Y10" s="699"/>
      <c r="Z10" s="699"/>
      <c r="AA10" s="699"/>
      <c r="AB10" s="699"/>
      <c r="AC10" s="699"/>
      <c r="AD10" s="699"/>
      <c r="AE10" s="699"/>
      <c r="AF10" s="699"/>
    </row>
    <row r="11" spans="1:33" ht="15.75" x14ac:dyDescent="0.25">
      <c r="A11" s="432"/>
      <c r="C11" s="382"/>
      <c r="D11" s="700" t="str">
        <f>+'TEMPO - PAY'!D12</f>
        <v>01</v>
      </c>
      <c r="F11" s="382"/>
      <c r="G11" s="382"/>
      <c r="H11" s="382"/>
      <c r="I11" s="382"/>
      <c r="J11" s="382"/>
      <c r="K11" s="382"/>
      <c r="L11" s="382"/>
      <c r="M11" s="382"/>
      <c r="N11" s="382"/>
      <c r="O11" s="382"/>
      <c r="P11" s="382"/>
      <c r="Q11" s="382"/>
      <c r="R11" s="382"/>
      <c r="S11" s="382"/>
      <c r="T11" s="382"/>
      <c r="U11" s="382"/>
      <c r="V11" s="382"/>
      <c r="W11" s="382"/>
      <c r="X11" s="382"/>
      <c r="Y11" s="382"/>
      <c r="Z11" s="382"/>
      <c r="AA11" s="382"/>
      <c r="AB11" s="382"/>
      <c r="AC11" s="382"/>
      <c r="AD11" s="382"/>
      <c r="AE11" s="382"/>
      <c r="AF11" s="382"/>
    </row>
    <row r="12" spans="1:33" s="451" customFormat="1" ht="24.95" customHeight="1" x14ac:dyDescent="0.25">
      <c r="A12" s="432"/>
      <c r="B12" s="704" t="s">
        <v>88</v>
      </c>
      <c r="C12" s="704"/>
      <c r="D12" s="698"/>
      <c r="E12" s="540"/>
      <c r="F12" s="539"/>
      <c r="G12" s="539"/>
      <c r="H12" s="539"/>
      <c r="I12" s="539"/>
      <c r="J12" s="539"/>
      <c r="K12" s="539"/>
      <c r="L12" s="539"/>
      <c r="M12" s="539"/>
      <c r="N12" s="539"/>
      <c r="O12" s="539"/>
      <c r="P12" s="539"/>
      <c r="Q12" s="539"/>
      <c r="R12" s="379"/>
      <c r="S12" s="379"/>
      <c r="T12" s="379"/>
      <c r="U12" s="379"/>
      <c r="AA12" s="563"/>
      <c r="AB12" s="539" t="s">
        <v>103</v>
      </c>
      <c r="AC12" s="539"/>
      <c r="AD12" s="705" t="str">
        <f>'TEMPO - PAY'!W13</f>
        <v>2026-01-025</v>
      </c>
      <c r="AE12" s="705"/>
      <c r="AF12" s="705"/>
    </row>
    <row r="13" spans="1:33" s="451" customFormat="1" ht="24.95" customHeight="1" x14ac:dyDescent="0.25">
      <c r="A13" s="432"/>
      <c r="B13" s="379"/>
      <c r="C13" s="379"/>
      <c r="D13" s="698"/>
      <c r="E13" s="382"/>
      <c r="F13" s="379"/>
      <c r="G13" s="379"/>
      <c r="H13" s="379"/>
      <c r="I13" s="379"/>
      <c r="J13" s="379"/>
      <c r="K13" s="379"/>
      <c r="L13" s="379"/>
      <c r="M13" s="379"/>
      <c r="N13" s="379"/>
      <c r="O13" s="379"/>
      <c r="P13" s="379"/>
      <c r="Q13" s="379"/>
      <c r="R13" s="379"/>
      <c r="S13" s="379"/>
      <c r="T13" s="379"/>
      <c r="U13" s="379"/>
      <c r="AB13" s="539"/>
      <c r="AC13" s="539"/>
      <c r="AD13" s="379"/>
      <c r="AE13" s="379"/>
      <c r="AF13" s="379"/>
    </row>
    <row r="14" spans="1:33" s="451" customFormat="1" ht="15.75" customHeight="1" x14ac:dyDescent="0.25">
      <c r="A14" s="432"/>
      <c r="B14" s="685"/>
      <c r="C14" s="685"/>
      <c r="D14" s="685"/>
      <c r="E14" s="685"/>
      <c r="F14" s="685"/>
      <c r="G14" s="685"/>
      <c r="H14" s="685"/>
      <c r="I14" s="685"/>
      <c r="J14" s="685"/>
      <c r="K14" s="685"/>
      <c r="L14" s="685"/>
      <c r="M14" s="685"/>
      <c r="N14" s="685"/>
      <c r="O14" s="685"/>
      <c r="P14" s="685"/>
      <c r="Q14" s="685"/>
      <c r="R14" s="685"/>
      <c r="S14" s="685"/>
      <c r="T14" s="685"/>
      <c r="U14" s="685"/>
      <c r="V14" s="685"/>
      <c r="W14" s="685"/>
      <c r="X14" s="685"/>
      <c r="Y14" s="685"/>
      <c r="Z14" s="685"/>
    </row>
    <row r="15" spans="1:33" ht="9" customHeight="1" thickBot="1" x14ac:dyDescent="0.3">
      <c r="A15" s="432"/>
      <c r="C15" s="394"/>
      <c r="D15" s="394"/>
      <c r="E15" s="455"/>
      <c r="F15" s="394"/>
      <c r="G15" s="394"/>
      <c r="H15" s="394"/>
      <c r="I15" s="394"/>
      <c r="J15" s="394"/>
      <c r="K15" s="394"/>
      <c r="L15" s="394"/>
      <c r="M15" s="394"/>
      <c r="N15" s="394"/>
      <c r="O15" s="394"/>
      <c r="P15" s="394"/>
      <c r="Q15" s="394"/>
      <c r="R15" s="394"/>
      <c r="X15" s="394"/>
      <c r="Y15" s="394"/>
      <c r="AE15" s="394"/>
      <c r="AF15" s="394"/>
    </row>
    <row r="16" spans="1:33" ht="16.5" customHeight="1" thickBot="1" x14ac:dyDescent="0.3">
      <c r="A16" s="432"/>
      <c r="B16" s="686" t="s">
        <v>6</v>
      </c>
      <c r="C16" s="695" t="s">
        <v>1</v>
      </c>
      <c r="D16" s="695" t="s">
        <v>2</v>
      </c>
      <c r="E16" s="686" t="s">
        <v>14</v>
      </c>
      <c r="F16" s="682" t="s">
        <v>54</v>
      </c>
      <c r="G16" s="679" t="s">
        <v>66</v>
      </c>
      <c r="H16" s="680"/>
      <c r="I16" s="680"/>
      <c r="J16" s="680"/>
      <c r="K16" s="680"/>
      <c r="L16" s="680"/>
      <c r="M16" s="680"/>
      <c r="N16" s="680"/>
      <c r="O16" s="680"/>
      <c r="P16" s="680"/>
      <c r="Q16" s="680"/>
      <c r="R16" s="681"/>
      <c r="S16" s="679" t="s">
        <v>63</v>
      </c>
      <c r="T16" s="680"/>
      <c r="U16" s="680"/>
      <c r="V16" s="680"/>
      <c r="W16" s="680"/>
      <c r="X16" s="681"/>
      <c r="Y16" s="682" t="s">
        <v>57</v>
      </c>
      <c r="Z16" s="679" t="s">
        <v>80</v>
      </c>
      <c r="AA16" s="680"/>
      <c r="AB16" s="680"/>
      <c r="AC16" s="680"/>
      <c r="AD16" s="680"/>
      <c r="AE16" s="681"/>
      <c r="AF16" s="686" t="s">
        <v>87</v>
      </c>
      <c r="AG16" s="538"/>
    </row>
    <row r="17" spans="1:33" ht="19.5" customHeight="1" x14ac:dyDescent="0.25">
      <c r="A17" s="432"/>
      <c r="B17" s="687"/>
      <c r="C17" s="696"/>
      <c r="D17" s="696"/>
      <c r="E17" s="687"/>
      <c r="F17" s="683"/>
      <c r="G17" s="689" t="s">
        <v>65</v>
      </c>
      <c r="H17" s="661" t="s">
        <v>110</v>
      </c>
      <c r="I17" s="691" t="s">
        <v>67</v>
      </c>
      <c r="J17" s="659" t="s">
        <v>68</v>
      </c>
      <c r="K17" s="657" t="s">
        <v>69</v>
      </c>
      <c r="L17" s="657" t="s">
        <v>70</v>
      </c>
      <c r="M17" s="657" t="s">
        <v>71</v>
      </c>
      <c r="N17" s="657" t="s">
        <v>72</v>
      </c>
      <c r="O17" s="661" t="s">
        <v>73</v>
      </c>
      <c r="P17" s="661" t="s">
        <v>111</v>
      </c>
      <c r="Q17" s="661" t="s">
        <v>78</v>
      </c>
      <c r="R17" s="663" t="s">
        <v>74</v>
      </c>
      <c r="S17" s="665" t="s">
        <v>75</v>
      </c>
      <c r="T17" s="667" t="s">
        <v>76</v>
      </c>
      <c r="U17" s="657" t="s">
        <v>71</v>
      </c>
      <c r="V17" s="657" t="s">
        <v>77</v>
      </c>
      <c r="W17" s="670" t="s">
        <v>78</v>
      </c>
      <c r="X17" s="672" t="s">
        <v>79</v>
      </c>
      <c r="Y17" s="683"/>
      <c r="Z17" s="674" t="s">
        <v>81</v>
      </c>
      <c r="AA17" s="676" t="s">
        <v>82</v>
      </c>
      <c r="AB17" s="657" t="s">
        <v>83</v>
      </c>
      <c r="AC17" s="659" t="s">
        <v>84</v>
      </c>
      <c r="AD17" s="670" t="s">
        <v>86</v>
      </c>
      <c r="AE17" s="693" t="s">
        <v>85</v>
      </c>
      <c r="AF17" s="687"/>
      <c r="AG17" s="538"/>
    </row>
    <row r="18" spans="1:33" ht="26.25" customHeight="1" thickBot="1" x14ac:dyDescent="0.3">
      <c r="A18" s="432"/>
      <c r="B18" s="687"/>
      <c r="C18" s="696"/>
      <c r="D18" s="696"/>
      <c r="E18" s="687"/>
      <c r="F18" s="684"/>
      <c r="G18" s="690"/>
      <c r="H18" s="662"/>
      <c r="I18" s="692"/>
      <c r="J18" s="660"/>
      <c r="K18" s="658"/>
      <c r="L18" s="658"/>
      <c r="M18" s="658"/>
      <c r="N18" s="658"/>
      <c r="O18" s="662"/>
      <c r="P18" s="662"/>
      <c r="Q18" s="662"/>
      <c r="R18" s="664"/>
      <c r="S18" s="666"/>
      <c r="T18" s="668"/>
      <c r="U18" s="658"/>
      <c r="V18" s="658"/>
      <c r="W18" s="671"/>
      <c r="X18" s="673"/>
      <c r="Y18" s="684"/>
      <c r="Z18" s="675"/>
      <c r="AA18" s="677"/>
      <c r="AB18" s="658"/>
      <c r="AC18" s="660"/>
      <c r="AD18" s="671"/>
      <c r="AE18" s="694"/>
      <c r="AF18" s="688"/>
      <c r="AG18" s="538"/>
    </row>
    <row r="19" spans="1:33" ht="18.75" customHeight="1" x14ac:dyDescent="0.25">
      <c r="A19" s="432"/>
      <c r="B19" s="423"/>
      <c r="C19" s="423"/>
      <c r="D19" s="423"/>
      <c r="E19" s="530"/>
      <c r="F19" s="423"/>
      <c r="G19" s="529"/>
      <c r="H19" s="559"/>
      <c r="I19" s="559"/>
      <c r="J19" s="559"/>
      <c r="K19" s="559"/>
      <c r="L19" s="559"/>
      <c r="M19" s="559"/>
      <c r="N19" s="559"/>
      <c r="O19" s="559"/>
      <c r="P19" s="559"/>
      <c r="Q19" s="559"/>
      <c r="R19" s="527"/>
      <c r="S19" s="561"/>
      <c r="T19" s="560"/>
      <c r="U19" s="559"/>
      <c r="V19" s="559"/>
      <c r="W19" s="559"/>
      <c r="X19" s="562"/>
      <c r="Y19" s="423"/>
      <c r="Z19" s="561"/>
      <c r="AA19" s="560"/>
      <c r="AB19" s="559"/>
      <c r="AC19" s="559"/>
      <c r="AD19" s="559"/>
      <c r="AE19" s="558"/>
      <c r="AF19" s="527"/>
    </row>
    <row r="20" spans="1:33" ht="18.75" customHeight="1" x14ac:dyDescent="0.25">
      <c r="A20" s="432"/>
      <c r="B20" s="556">
        <v>1</v>
      </c>
      <c r="C20" s="509">
        <f>'TEMPO - PAY'!C21</f>
        <v>0</v>
      </c>
      <c r="D20" s="509" t="e">
        <f>'TEMPO - PAY'!D21</f>
        <v>#N/A</v>
      </c>
      <c r="E20" s="508">
        <f>'TEMPO - PAY'!E21</f>
        <v>0</v>
      </c>
      <c r="F20" s="502">
        <f>'TEMPO - PAY'!L21</f>
        <v>0</v>
      </c>
      <c r="G20" s="498">
        <f>ROUND('TEMPO - PAY'!I21*0.09,2)</f>
        <v>0</v>
      </c>
      <c r="H20" s="507"/>
      <c r="I20" s="507"/>
      <c r="J20" s="507"/>
      <c r="K20" s="507"/>
      <c r="L20" s="507"/>
      <c r="M20" s="507"/>
      <c r="N20" s="507"/>
      <c r="O20" s="507"/>
      <c r="P20" s="507"/>
      <c r="Q20" s="507"/>
      <c r="R20" s="557">
        <f t="shared" ref="R20:R84" si="0">SUM(G20:Q20)</f>
        <v>0</v>
      </c>
      <c r="S20" s="525"/>
      <c r="T20" s="526"/>
      <c r="U20" s="507"/>
      <c r="V20" s="507"/>
      <c r="W20" s="507"/>
      <c r="X20" s="503">
        <f t="shared" ref="X20:X84" si="1">SUM(S20:W20)</f>
        <v>0</v>
      </c>
      <c r="Y20" s="502">
        <f>MIN(ROUNDDOWN('TEMPO - PAY'!I21*0.05/2,2),2500)</f>
        <v>0</v>
      </c>
      <c r="Z20" s="525"/>
      <c r="AA20" s="526"/>
      <c r="AB20" s="507"/>
      <c r="AC20" s="507"/>
      <c r="AD20" s="507"/>
      <c r="AE20" s="496">
        <f t="shared" ref="AE20:AE84" si="2">SUM(Z20:AD20)</f>
        <v>0</v>
      </c>
      <c r="AF20" s="553">
        <f t="shared" ref="AF20:AF85" si="3">SUM(F20,R20,X20,Y20,AE20)</f>
        <v>0</v>
      </c>
    </row>
    <row r="21" spans="1:33" ht="18.75" customHeight="1" x14ac:dyDescent="0.25">
      <c r="A21" s="432"/>
      <c r="B21" s="556">
        <f t="shared" ref="B21:B61" si="4">+B20+1</f>
        <v>2</v>
      </c>
      <c r="C21" s="509">
        <f>'TEMPO - PAY'!C22</f>
        <v>0</v>
      </c>
      <c r="D21" s="509" t="e">
        <f>'TEMPO - PAY'!D22</f>
        <v>#N/A</v>
      </c>
      <c r="E21" s="508">
        <f>'TEMPO - PAY'!E22</f>
        <v>0</v>
      </c>
      <c r="F21" s="502">
        <f>'TEMPO - PAY'!L22</f>
        <v>0</v>
      </c>
      <c r="G21" s="498">
        <f>ROUND('TEMPO - PAY'!I22*0.09,2)</f>
        <v>0</v>
      </c>
      <c r="H21" s="507"/>
      <c r="I21" s="507"/>
      <c r="J21" s="507"/>
      <c r="K21" s="507"/>
      <c r="L21" s="507"/>
      <c r="M21" s="507"/>
      <c r="N21" s="507"/>
      <c r="O21" s="507"/>
      <c r="P21" s="507"/>
      <c r="Q21" s="507"/>
      <c r="R21" s="557">
        <f t="shared" si="0"/>
        <v>0</v>
      </c>
      <c r="S21" s="525"/>
      <c r="T21" s="526"/>
      <c r="U21" s="507"/>
      <c r="V21" s="507"/>
      <c r="W21" s="507"/>
      <c r="X21" s="503">
        <f t="shared" si="1"/>
        <v>0</v>
      </c>
      <c r="Y21" s="502">
        <f>MIN(ROUNDDOWN('TEMPO - PAY'!I22*0.05/2,2),2500)</f>
        <v>0</v>
      </c>
      <c r="Z21" s="525"/>
      <c r="AA21" s="526"/>
      <c r="AB21" s="507"/>
      <c r="AC21" s="507"/>
      <c r="AD21" s="507"/>
      <c r="AE21" s="496">
        <f t="shared" si="2"/>
        <v>0</v>
      </c>
      <c r="AF21" s="553">
        <f t="shared" si="3"/>
        <v>0</v>
      </c>
    </row>
    <row r="22" spans="1:33" ht="18.75" customHeight="1" x14ac:dyDescent="0.25">
      <c r="A22" s="432"/>
      <c r="B22" s="556">
        <f t="shared" si="4"/>
        <v>3</v>
      </c>
      <c r="C22" s="509">
        <f>'TEMPO - PAY'!C23</f>
        <v>0</v>
      </c>
      <c r="D22" s="509" t="e">
        <f>'TEMPO - PAY'!D23</f>
        <v>#N/A</v>
      </c>
      <c r="E22" s="508">
        <f>'TEMPO - PAY'!E23</f>
        <v>0</v>
      </c>
      <c r="F22" s="502">
        <f>'TEMPO - PAY'!L23</f>
        <v>0</v>
      </c>
      <c r="G22" s="498">
        <f>ROUND('TEMPO - PAY'!I23*0.09,2)</f>
        <v>0</v>
      </c>
      <c r="H22" s="507"/>
      <c r="I22" s="507"/>
      <c r="J22" s="507"/>
      <c r="K22" s="507"/>
      <c r="L22" s="507"/>
      <c r="M22" s="507"/>
      <c r="N22" s="507"/>
      <c r="O22" s="507"/>
      <c r="P22" s="507"/>
      <c r="Q22" s="507"/>
      <c r="R22" s="557">
        <f t="shared" si="0"/>
        <v>0</v>
      </c>
      <c r="S22" s="525"/>
      <c r="T22" s="526"/>
      <c r="U22" s="507"/>
      <c r="V22" s="507"/>
      <c r="W22" s="507"/>
      <c r="X22" s="503">
        <f t="shared" si="1"/>
        <v>0</v>
      </c>
      <c r="Y22" s="502">
        <f>MIN(ROUNDDOWN('TEMPO - PAY'!I23*0.05/2,2),2500)</f>
        <v>0</v>
      </c>
      <c r="Z22" s="525"/>
      <c r="AA22" s="526"/>
      <c r="AB22" s="507"/>
      <c r="AC22" s="507"/>
      <c r="AD22" s="507"/>
      <c r="AE22" s="496">
        <f t="shared" si="2"/>
        <v>0</v>
      </c>
      <c r="AF22" s="553">
        <f t="shared" si="3"/>
        <v>0</v>
      </c>
    </row>
    <row r="23" spans="1:33" ht="18.75" customHeight="1" x14ac:dyDescent="0.25">
      <c r="A23" s="432"/>
      <c r="B23" s="556">
        <f t="shared" si="4"/>
        <v>4</v>
      </c>
      <c r="C23" s="509">
        <f>'TEMPO - PAY'!C24</f>
        <v>0</v>
      </c>
      <c r="D23" s="509" t="e">
        <f>'TEMPO - PAY'!D24</f>
        <v>#N/A</v>
      </c>
      <c r="E23" s="508">
        <f>'TEMPO - PAY'!E24</f>
        <v>0</v>
      </c>
      <c r="F23" s="502">
        <f>'TEMPO - PAY'!L24</f>
        <v>0</v>
      </c>
      <c r="G23" s="498">
        <f>ROUND('TEMPO - PAY'!I24*0.09,2)</f>
        <v>0</v>
      </c>
      <c r="H23" s="507"/>
      <c r="I23" s="507"/>
      <c r="J23" s="507"/>
      <c r="K23" s="507"/>
      <c r="L23" s="507"/>
      <c r="M23" s="507"/>
      <c r="N23" s="507"/>
      <c r="O23" s="507"/>
      <c r="P23" s="507"/>
      <c r="Q23" s="507"/>
      <c r="R23" s="557">
        <f t="shared" si="0"/>
        <v>0</v>
      </c>
      <c r="S23" s="525"/>
      <c r="T23" s="526"/>
      <c r="U23" s="507"/>
      <c r="V23" s="507"/>
      <c r="W23" s="507"/>
      <c r="X23" s="503">
        <f t="shared" si="1"/>
        <v>0</v>
      </c>
      <c r="Y23" s="502">
        <f>MIN(ROUNDDOWN('TEMPO - PAY'!I24*0.05/2,2),2500)</f>
        <v>0</v>
      </c>
      <c r="Z23" s="525"/>
      <c r="AA23" s="526"/>
      <c r="AB23" s="507"/>
      <c r="AC23" s="507"/>
      <c r="AD23" s="507"/>
      <c r="AE23" s="496">
        <f t="shared" si="2"/>
        <v>0</v>
      </c>
      <c r="AF23" s="553">
        <f t="shared" si="3"/>
        <v>0</v>
      </c>
    </row>
    <row r="24" spans="1:33" ht="18.75" customHeight="1" x14ac:dyDescent="0.25">
      <c r="A24" s="432"/>
      <c r="B24" s="556">
        <f t="shared" si="4"/>
        <v>5</v>
      </c>
      <c r="C24" s="509">
        <f>'TEMPO - PAY'!C25</f>
        <v>0</v>
      </c>
      <c r="D24" s="509" t="e">
        <f>'TEMPO - PAY'!D25</f>
        <v>#N/A</v>
      </c>
      <c r="E24" s="508">
        <f>'TEMPO - PAY'!E25</f>
        <v>0</v>
      </c>
      <c r="F24" s="502">
        <f>'TEMPO - PAY'!L25</f>
        <v>0</v>
      </c>
      <c r="G24" s="498">
        <f>ROUND('TEMPO - PAY'!I25*0.09,2)</f>
        <v>0</v>
      </c>
      <c r="H24" s="507"/>
      <c r="I24" s="507"/>
      <c r="J24" s="507"/>
      <c r="K24" s="507"/>
      <c r="L24" s="507"/>
      <c r="M24" s="507"/>
      <c r="N24" s="507"/>
      <c r="O24" s="507"/>
      <c r="P24" s="507"/>
      <c r="Q24" s="507"/>
      <c r="R24" s="557">
        <f t="shared" si="0"/>
        <v>0</v>
      </c>
      <c r="S24" s="525"/>
      <c r="T24" s="526"/>
      <c r="U24" s="507"/>
      <c r="V24" s="507"/>
      <c r="W24" s="507"/>
      <c r="X24" s="503">
        <f t="shared" si="1"/>
        <v>0</v>
      </c>
      <c r="Y24" s="502">
        <f>MIN(ROUNDDOWN('TEMPO - PAY'!I25*0.05/2,2),2500)</f>
        <v>0</v>
      </c>
      <c r="Z24" s="525"/>
      <c r="AA24" s="526"/>
      <c r="AB24" s="507"/>
      <c r="AC24" s="507"/>
      <c r="AD24" s="507"/>
      <c r="AE24" s="496">
        <f t="shared" si="2"/>
        <v>0</v>
      </c>
      <c r="AF24" s="553">
        <f t="shared" si="3"/>
        <v>0</v>
      </c>
      <c r="AG24" s="388"/>
    </row>
    <row r="25" spans="1:33" ht="18.75" customHeight="1" x14ac:dyDescent="0.25">
      <c r="A25" s="432"/>
      <c r="B25" s="556">
        <f t="shared" si="4"/>
        <v>6</v>
      </c>
      <c r="C25" s="509">
        <f>'TEMPO - PAY'!C26</f>
        <v>0</v>
      </c>
      <c r="D25" s="509" t="e">
        <f>'TEMPO - PAY'!D26</f>
        <v>#N/A</v>
      </c>
      <c r="E25" s="508">
        <f>'TEMPO - PAY'!E26</f>
        <v>0</v>
      </c>
      <c r="F25" s="502">
        <f>'TEMPO - PAY'!L26</f>
        <v>0</v>
      </c>
      <c r="G25" s="498">
        <f>ROUND('TEMPO - PAY'!I26*0.09,2)</f>
        <v>0</v>
      </c>
      <c r="H25" s="507"/>
      <c r="I25" s="507"/>
      <c r="J25" s="507"/>
      <c r="K25" s="507"/>
      <c r="L25" s="507"/>
      <c r="M25" s="507"/>
      <c r="N25" s="507"/>
      <c r="O25" s="507"/>
      <c r="P25" s="507"/>
      <c r="Q25" s="507"/>
      <c r="R25" s="557">
        <f t="shared" si="0"/>
        <v>0</v>
      </c>
      <c r="S25" s="525"/>
      <c r="T25" s="526"/>
      <c r="U25" s="507"/>
      <c r="V25" s="507"/>
      <c r="W25" s="507"/>
      <c r="X25" s="503">
        <f t="shared" si="1"/>
        <v>0</v>
      </c>
      <c r="Y25" s="502">
        <f>MIN(ROUNDDOWN('TEMPO - PAY'!I26*0.05/2,2),2500)</f>
        <v>0</v>
      </c>
      <c r="Z25" s="525"/>
      <c r="AA25" s="526"/>
      <c r="AB25" s="507"/>
      <c r="AC25" s="507"/>
      <c r="AD25" s="507"/>
      <c r="AE25" s="496">
        <f t="shared" si="2"/>
        <v>0</v>
      </c>
      <c r="AF25" s="553">
        <f t="shared" si="3"/>
        <v>0</v>
      </c>
    </row>
    <row r="26" spans="1:33" ht="18.75" customHeight="1" x14ac:dyDescent="0.25">
      <c r="A26" s="432"/>
      <c r="B26" s="556">
        <f t="shared" si="4"/>
        <v>7</v>
      </c>
      <c r="C26" s="509">
        <f>'TEMPO - PAY'!C27</f>
        <v>0</v>
      </c>
      <c r="D26" s="509" t="e">
        <f>'TEMPO - PAY'!D27</f>
        <v>#N/A</v>
      </c>
      <c r="E26" s="508">
        <f>'TEMPO - PAY'!E27</f>
        <v>0</v>
      </c>
      <c r="F26" s="502">
        <f>'TEMPO - PAY'!L27</f>
        <v>0</v>
      </c>
      <c r="G26" s="498">
        <f>ROUND('TEMPO - PAY'!I27*0.09,2)</f>
        <v>0</v>
      </c>
      <c r="H26" s="507"/>
      <c r="I26" s="507"/>
      <c r="J26" s="507"/>
      <c r="K26" s="507"/>
      <c r="L26" s="507"/>
      <c r="M26" s="507"/>
      <c r="N26" s="507"/>
      <c r="O26" s="507"/>
      <c r="P26" s="507"/>
      <c r="Q26" s="507"/>
      <c r="R26" s="557">
        <f t="shared" si="0"/>
        <v>0</v>
      </c>
      <c r="S26" s="525"/>
      <c r="T26" s="526"/>
      <c r="U26" s="507"/>
      <c r="V26" s="507"/>
      <c r="W26" s="507"/>
      <c r="X26" s="503">
        <f t="shared" si="1"/>
        <v>0</v>
      </c>
      <c r="Y26" s="502">
        <f>MIN(ROUNDDOWN('TEMPO - PAY'!I27*0.05/2,2),2500)</f>
        <v>0</v>
      </c>
      <c r="Z26" s="525"/>
      <c r="AA26" s="526"/>
      <c r="AB26" s="507"/>
      <c r="AC26" s="507"/>
      <c r="AD26" s="507"/>
      <c r="AE26" s="496">
        <f t="shared" si="2"/>
        <v>0</v>
      </c>
      <c r="AF26" s="553">
        <f t="shared" si="3"/>
        <v>0</v>
      </c>
    </row>
    <row r="27" spans="1:33" ht="18.75" customHeight="1" x14ac:dyDescent="0.25">
      <c r="A27" s="432"/>
      <c r="B27" s="556">
        <f t="shared" si="4"/>
        <v>8</v>
      </c>
      <c r="C27" s="509">
        <f>'TEMPO - PAY'!C28</f>
        <v>0</v>
      </c>
      <c r="D27" s="509" t="e">
        <f>'TEMPO - PAY'!D28</f>
        <v>#N/A</v>
      </c>
      <c r="E27" s="508">
        <f>'TEMPO - PAY'!E28</f>
        <v>0</v>
      </c>
      <c r="F27" s="502">
        <f>'TEMPO - PAY'!L28</f>
        <v>0</v>
      </c>
      <c r="G27" s="498">
        <f>ROUND('TEMPO - PAY'!I28*0.09,2)</f>
        <v>0</v>
      </c>
      <c r="H27" s="507"/>
      <c r="I27" s="507"/>
      <c r="J27" s="507"/>
      <c r="K27" s="507"/>
      <c r="L27" s="507"/>
      <c r="M27" s="507"/>
      <c r="N27" s="507"/>
      <c r="O27" s="507"/>
      <c r="P27" s="507"/>
      <c r="Q27" s="507"/>
      <c r="R27" s="557">
        <f t="shared" si="0"/>
        <v>0</v>
      </c>
      <c r="S27" s="525"/>
      <c r="T27" s="526"/>
      <c r="U27" s="507"/>
      <c r="V27" s="507"/>
      <c r="W27" s="507"/>
      <c r="X27" s="503">
        <f t="shared" si="1"/>
        <v>0</v>
      </c>
      <c r="Y27" s="502">
        <f>MIN(ROUNDDOWN('TEMPO - PAY'!I28*0.05/2,2),2500)</f>
        <v>0</v>
      </c>
      <c r="Z27" s="525"/>
      <c r="AA27" s="526"/>
      <c r="AB27" s="507"/>
      <c r="AC27" s="507"/>
      <c r="AD27" s="507"/>
      <c r="AE27" s="496">
        <f t="shared" si="2"/>
        <v>0</v>
      </c>
      <c r="AF27" s="553">
        <f t="shared" si="3"/>
        <v>0</v>
      </c>
    </row>
    <row r="28" spans="1:33" ht="18.75" customHeight="1" x14ac:dyDescent="0.25">
      <c r="A28" s="432"/>
      <c r="B28" s="556">
        <f t="shared" si="4"/>
        <v>9</v>
      </c>
      <c r="C28" s="509">
        <f>'TEMPO - PAY'!C29</f>
        <v>0</v>
      </c>
      <c r="D28" s="509" t="e">
        <f>'TEMPO - PAY'!D29</f>
        <v>#N/A</v>
      </c>
      <c r="E28" s="508">
        <f>'TEMPO - PAY'!E29</f>
        <v>0</v>
      </c>
      <c r="F28" s="502">
        <f>'TEMPO - PAY'!L29</f>
        <v>0</v>
      </c>
      <c r="G28" s="498">
        <f>ROUND('TEMPO - PAY'!I29*0.09,2)</f>
        <v>0</v>
      </c>
      <c r="H28" s="507"/>
      <c r="I28" s="507"/>
      <c r="J28" s="507"/>
      <c r="K28" s="507"/>
      <c r="L28" s="507"/>
      <c r="M28" s="507"/>
      <c r="N28" s="507"/>
      <c r="O28" s="507"/>
      <c r="P28" s="507"/>
      <c r="Q28" s="507"/>
      <c r="R28" s="557">
        <f t="shared" si="0"/>
        <v>0</v>
      </c>
      <c r="S28" s="525"/>
      <c r="T28" s="526"/>
      <c r="U28" s="507"/>
      <c r="V28" s="507"/>
      <c r="W28" s="507"/>
      <c r="X28" s="503">
        <f t="shared" si="1"/>
        <v>0</v>
      </c>
      <c r="Y28" s="502">
        <f>MIN(ROUNDDOWN('TEMPO - PAY'!I29*0.05/2,2),2500)</f>
        <v>0</v>
      </c>
      <c r="Z28" s="525"/>
      <c r="AA28" s="526"/>
      <c r="AB28" s="507"/>
      <c r="AC28" s="507"/>
      <c r="AD28" s="507"/>
      <c r="AE28" s="496">
        <f t="shared" si="2"/>
        <v>0</v>
      </c>
      <c r="AF28" s="553">
        <f t="shared" si="3"/>
        <v>0</v>
      </c>
    </row>
    <row r="29" spans="1:33" ht="18.75" customHeight="1" x14ac:dyDescent="0.25">
      <c r="A29" s="432"/>
      <c r="B29" s="556">
        <f t="shared" si="4"/>
        <v>10</v>
      </c>
      <c r="C29" s="509">
        <f>'TEMPO - PAY'!C30</f>
        <v>0</v>
      </c>
      <c r="D29" s="509" t="e">
        <f>'TEMPO - PAY'!D30</f>
        <v>#N/A</v>
      </c>
      <c r="E29" s="508">
        <f>'TEMPO - PAY'!E30</f>
        <v>0</v>
      </c>
      <c r="F29" s="502">
        <f>'TEMPO - PAY'!L30</f>
        <v>0</v>
      </c>
      <c r="G29" s="498">
        <f>ROUND('TEMPO - PAY'!I30*0.09,2)</f>
        <v>0</v>
      </c>
      <c r="H29" s="507"/>
      <c r="I29" s="507"/>
      <c r="J29" s="507"/>
      <c r="K29" s="507"/>
      <c r="L29" s="507"/>
      <c r="M29" s="507"/>
      <c r="N29" s="507"/>
      <c r="O29" s="507"/>
      <c r="P29" s="507"/>
      <c r="Q29" s="507"/>
      <c r="R29" s="557">
        <f t="shared" si="0"/>
        <v>0</v>
      </c>
      <c r="S29" s="525"/>
      <c r="T29" s="526"/>
      <c r="U29" s="507"/>
      <c r="V29" s="507"/>
      <c r="W29" s="507"/>
      <c r="X29" s="503">
        <f t="shared" si="1"/>
        <v>0</v>
      </c>
      <c r="Y29" s="502">
        <f>MIN(ROUNDDOWN('TEMPO - PAY'!I30*0.05/2,2),2500)</f>
        <v>0</v>
      </c>
      <c r="Z29" s="525"/>
      <c r="AA29" s="526"/>
      <c r="AB29" s="507"/>
      <c r="AC29" s="507"/>
      <c r="AD29" s="507"/>
      <c r="AE29" s="496">
        <f t="shared" si="2"/>
        <v>0</v>
      </c>
      <c r="AF29" s="553">
        <f t="shared" si="3"/>
        <v>0</v>
      </c>
    </row>
    <row r="30" spans="1:33" ht="18.75" customHeight="1" x14ac:dyDescent="0.25">
      <c r="A30" s="432"/>
      <c r="B30" s="556">
        <f t="shared" si="4"/>
        <v>11</v>
      </c>
      <c r="C30" s="509">
        <f>'TEMPO - PAY'!C31</f>
        <v>0</v>
      </c>
      <c r="D30" s="509" t="e">
        <f>'TEMPO - PAY'!D31</f>
        <v>#N/A</v>
      </c>
      <c r="E30" s="508">
        <f>'TEMPO - PAY'!E31</f>
        <v>0</v>
      </c>
      <c r="F30" s="502">
        <f>'TEMPO - PAY'!L31</f>
        <v>0</v>
      </c>
      <c r="G30" s="498">
        <f>ROUND('TEMPO - PAY'!I31*0.09,2)</f>
        <v>0</v>
      </c>
      <c r="H30" s="507"/>
      <c r="I30" s="507"/>
      <c r="J30" s="507"/>
      <c r="K30" s="507"/>
      <c r="L30" s="507"/>
      <c r="M30" s="507"/>
      <c r="N30" s="507"/>
      <c r="O30" s="507"/>
      <c r="P30" s="507"/>
      <c r="Q30" s="507"/>
      <c r="R30" s="557">
        <f t="shared" si="0"/>
        <v>0</v>
      </c>
      <c r="S30" s="525"/>
      <c r="T30" s="526"/>
      <c r="U30" s="507"/>
      <c r="V30" s="507"/>
      <c r="W30" s="507"/>
      <c r="X30" s="503">
        <f t="shared" si="1"/>
        <v>0</v>
      </c>
      <c r="Y30" s="502">
        <f>MIN(ROUNDDOWN('TEMPO - PAY'!I31*0.05/2,2),2500)</f>
        <v>0</v>
      </c>
      <c r="Z30" s="525"/>
      <c r="AA30" s="526"/>
      <c r="AB30" s="507"/>
      <c r="AC30" s="507"/>
      <c r="AD30" s="507"/>
      <c r="AE30" s="496">
        <f t="shared" si="2"/>
        <v>0</v>
      </c>
      <c r="AF30" s="553">
        <f t="shared" si="3"/>
        <v>0</v>
      </c>
    </row>
    <row r="31" spans="1:33" ht="18.75" customHeight="1" x14ac:dyDescent="0.25">
      <c r="A31" s="432"/>
      <c r="B31" s="556">
        <f t="shared" si="4"/>
        <v>12</v>
      </c>
      <c r="C31" s="509">
        <f>'TEMPO - PAY'!C32</f>
        <v>0</v>
      </c>
      <c r="D31" s="509" t="e">
        <f>'TEMPO - PAY'!D32</f>
        <v>#N/A</v>
      </c>
      <c r="E31" s="508">
        <f>'TEMPO - PAY'!E32</f>
        <v>0</v>
      </c>
      <c r="F31" s="502">
        <f>'TEMPO - PAY'!L32</f>
        <v>0</v>
      </c>
      <c r="G31" s="498">
        <f>ROUND('TEMPO - PAY'!I32*0.09,2)</f>
        <v>0</v>
      </c>
      <c r="H31" s="507"/>
      <c r="I31" s="507"/>
      <c r="J31" s="507"/>
      <c r="K31" s="507"/>
      <c r="L31" s="507"/>
      <c r="M31" s="507"/>
      <c r="N31" s="507"/>
      <c r="O31" s="507"/>
      <c r="P31" s="507"/>
      <c r="Q31" s="507"/>
      <c r="R31" s="557">
        <f t="shared" si="0"/>
        <v>0</v>
      </c>
      <c r="S31" s="525"/>
      <c r="T31" s="526"/>
      <c r="U31" s="507"/>
      <c r="V31" s="507"/>
      <c r="W31" s="507"/>
      <c r="X31" s="503">
        <f t="shared" si="1"/>
        <v>0</v>
      </c>
      <c r="Y31" s="502">
        <f>MIN(ROUNDDOWN('TEMPO - PAY'!I32*0.05/2,2),2500)</f>
        <v>0</v>
      </c>
      <c r="Z31" s="525"/>
      <c r="AA31" s="526"/>
      <c r="AB31" s="507"/>
      <c r="AC31" s="507"/>
      <c r="AD31" s="507"/>
      <c r="AE31" s="496">
        <f t="shared" si="2"/>
        <v>0</v>
      </c>
      <c r="AF31" s="553">
        <f t="shared" si="3"/>
        <v>0</v>
      </c>
    </row>
    <row r="32" spans="1:33" ht="18.75" customHeight="1" x14ac:dyDescent="0.25">
      <c r="A32" s="432"/>
      <c r="B32" s="556">
        <f t="shared" si="4"/>
        <v>13</v>
      </c>
      <c r="C32" s="509">
        <f>'TEMPO - PAY'!C33</f>
        <v>0</v>
      </c>
      <c r="D32" s="509" t="e">
        <f>'TEMPO - PAY'!D33</f>
        <v>#N/A</v>
      </c>
      <c r="E32" s="508">
        <f>'TEMPO - PAY'!E33</f>
        <v>0</v>
      </c>
      <c r="F32" s="502">
        <f>'TEMPO - PAY'!L33</f>
        <v>0</v>
      </c>
      <c r="G32" s="498">
        <f>ROUND('TEMPO - PAY'!I33*0.09,2)</f>
        <v>0</v>
      </c>
      <c r="H32" s="507"/>
      <c r="I32" s="507"/>
      <c r="J32" s="507"/>
      <c r="K32" s="507"/>
      <c r="L32" s="507"/>
      <c r="M32" s="507"/>
      <c r="N32" s="507"/>
      <c r="O32" s="507"/>
      <c r="P32" s="507"/>
      <c r="Q32" s="507"/>
      <c r="R32" s="557">
        <f t="shared" si="0"/>
        <v>0</v>
      </c>
      <c r="S32" s="525"/>
      <c r="T32" s="526"/>
      <c r="U32" s="507"/>
      <c r="V32" s="507"/>
      <c r="W32" s="507"/>
      <c r="X32" s="503">
        <f t="shared" si="1"/>
        <v>0</v>
      </c>
      <c r="Y32" s="502">
        <f>MIN(ROUNDDOWN('TEMPO - PAY'!I33*0.05/2,2),2500)</f>
        <v>0</v>
      </c>
      <c r="Z32" s="525"/>
      <c r="AA32" s="526"/>
      <c r="AB32" s="507"/>
      <c r="AC32" s="507"/>
      <c r="AD32" s="507"/>
      <c r="AE32" s="496">
        <f t="shared" si="2"/>
        <v>0</v>
      </c>
      <c r="AF32" s="553">
        <f t="shared" si="3"/>
        <v>0</v>
      </c>
    </row>
    <row r="33" spans="1:32" ht="18.75" customHeight="1" x14ac:dyDescent="0.25">
      <c r="A33" s="432"/>
      <c r="B33" s="556">
        <f t="shared" si="4"/>
        <v>14</v>
      </c>
      <c r="C33" s="509">
        <f>'TEMPO - PAY'!C34</f>
        <v>0</v>
      </c>
      <c r="D33" s="509" t="e">
        <f>'TEMPO - PAY'!D34</f>
        <v>#N/A</v>
      </c>
      <c r="E33" s="508">
        <f>'TEMPO - PAY'!E34</f>
        <v>0</v>
      </c>
      <c r="F33" s="502">
        <f>'TEMPO - PAY'!L34</f>
        <v>0</v>
      </c>
      <c r="G33" s="498">
        <f>ROUND('TEMPO - PAY'!I34*0.09,2)</f>
        <v>0</v>
      </c>
      <c r="H33" s="507"/>
      <c r="I33" s="507"/>
      <c r="J33" s="507"/>
      <c r="K33" s="507"/>
      <c r="L33" s="507"/>
      <c r="M33" s="507"/>
      <c r="N33" s="507"/>
      <c r="O33" s="507"/>
      <c r="P33" s="507"/>
      <c r="Q33" s="507"/>
      <c r="R33" s="557">
        <f t="shared" si="0"/>
        <v>0</v>
      </c>
      <c r="S33" s="525"/>
      <c r="T33" s="526"/>
      <c r="U33" s="507"/>
      <c r="V33" s="507"/>
      <c r="W33" s="507"/>
      <c r="X33" s="503">
        <f t="shared" si="1"/>
        <v>0</v>
      </c>
      <c r="Y33" s="502">
        <f>MIN(ROUNDDOWN('TEMPO - PAY'!I34*0.05/2,2),2500)</f>
        <v>0</v>
      </c>
      <c r="Z33" s="525"/>
      <c r="AA33" s="526"/>
      <c r="AB33" s="507"/>
      <c r="AC33" s="507"/>
      <c r="AD33" s="507"/>
      <c r="AE33" s="496">
        <f t="shared" si="2"/>
        <v>0</v>
      </c>
      <c r="AF33" s="553">
        <f t="shared" si="3"/>
        <v>0</v>
      </c>
    </row>
    <row r="34" spans="1:32" ht="18.75" customHeight="1" x14ac:dyDescent="0.25">
      <c r="A34" s="432"/>
      <c r="B34" s="556">
        <f t="shared" si="4"/>
        <v>15</v>
      </c>
      <c r="C34" s="509">
        <f>'TEMPO - PAY'!C35</f>
        <v>0</v>
      </c>
      <c r="D34" s="509" t="e">
        <f>'TEMPO - PAY'!D35</f>
        <v>#N/A</v>
      </c>
      <c r="E34" s="508">
        <f>'TEMPO - PAY'!E35</f>
        <v>0</v>
      </c>
      <c r="F34" s="502">
        <f>'TEMPO - PAY'!L35</f>
        <v>0</v>
      </c>
      <c r="G34" s="498">
        <f>ROUND('TEMPO - PAY'!I35*0.09,2)</f>
        <v>0</v>
      </c>
      <c r="H34" s="507"/>
      <c r="I34" s="507"/>
      <c r="J34" s="507"/>
      <c r="K34" s="507"/>
      <c r="L34" s="507"/>
      <c r="M34" s="507"/>
      <c r="N34" s="507"/>
      <c r="O34" s="507"/>
      <c r="P34" s="507"/>
      <c r="Q34" s="507"/>
      <c r="R34" s="557">
        <f t="shared" si="0"/>
        <v>0</v>
      </c>
      <c r="S34" s="525"/>
      <c r="T34" s="526"/>
      <c r="U34" s="507"/>
      <c r="V34" s="507"/>
      <c r="W34" s="507"/>
      <c r="X34" s="503">
        <f t="shared" si="1"/>
        <v>0</v>
      </c>
      <c r="Y34" s="502">
        <f>MIN(ROUNDDOWN('TEMPO - PAY'!I35*0.05/2,2),2500)</f>
        <v>0</v>
      </c>
      <c r="Z34" s="525"/>
      <c r="AA34" s="526"/>
      <c r="AB34" s="507"/>
      <c r="AC34" s="507"/>
      <c r="AD34" s="507"/>
      <c r="AE34" s="496">
        <f t="shared" si="2"/>
        <v>0</v>
      </c>
      <c r="AF34" s="553">
        <f t="shared" si="3"/>
        <v>0</v>
      </c>
    </row>
    <row r="35" spans="1:32" ht="18.75" customHeight="1" x14ac:dyDescent="0.25">
      <c r="A35" s="432"/>
      <c r="B35" s="556">
        <f t="shared" si="4"/>
        <v>16</v>
      </c>
      <c r="C35" s="509">
        <f>'TEMPO - PAY'!C36</f>
        <v>0</v>
      </c>
      <c r="D35" s="509" t="e">
        <f>'TEMPO - PAY'!D36</f>
        <v>#N/A</v>
      </c>
      <c r="E35" s="508">
        <f>'TEMPO - PAY'!E36</f>
        <v>0</v>
      </c>
      <c r="F35" s="502">
        <f>'TEMPO - PAY'!L36</f>
        <v>0</v>
      </c>
      <c r="G35" s="498">
        <f>ROUND('TEMPO - PAY'!I36*0.09,2)</f>
        <v>0</v>
      </c>
      <c r="H35" s="507"/>
      <c r="I35" s="507"/>
      <c r="J35" s="507"/>
      <c r="K35" s="507"/>
      <c r="L35" s="507"/>
      <c r="M35" s="507"/>
      <c r="N35" s="507"/>
      <c r="O35" s="507"/>
      <c r="P35" s="507"/>
      <c r="Q35" s="507"/>
      <c r="R35" s="557">
        <f t="shared" si="0"/>
        <v>0</v>
      </c>
      <c r="S35" s="525"/>
      <c r="T35" s="526"/>
      <c r="U35" s="507"/>
      <c r="V35" s="507"/>
      <c r="W35" s="507"/>
      <c r="X35" s="503">
        <f t="shared" si="1"/>
        <v>0</v>
      </c>
      <c r="Y35" s="502">
        <f>MIN(ROUNDDOWN('TEMPO - PAY'!I36*0.05/2,2),2500)</f>
        <v>0</v>
      </c>
      <c r="Z35" s="525"/>
      <c r="AA35" s="526"/>
      <c r="AB35" s="507"/>
      <c r="AC35" s="507"/>
      <c r="AD35" s="507"/>
      <c r="AE35" s="496">
        <f t="shared" si="2"/>
        <v>0</v>
      </c>
      <c r="AF35" s="553">
        <f t="shared" si="3"/>
        <v>0</v>
      </c>
    </row>
    <row r="36" spans="1:32" ht="18.75" customHeight="1" x14ac:dyDescent="0.25">
      <c r="A36" s="432"/>
      <c r="B36" s="556">
        <f t="shared" si="4"/>
        <v>17</v>
      </c>
      <c r="C36" s="509">
        <f>'TEMPO - PAY'!C37</f>
        <v>0</v>
      </c>
      <c r="D36" s="509" t="e">
        <f>'TEMPO - PAY'!D37</f>
        <v>#N/A</v>
      </c>
      <c r="E36" s="508">
        <f>'TEMPO - PAY'!E37</f>
        <v>0</v>
      </c>
      <c r="F36" s="502">
        <f>'TEMPO - PAY'!L37</f>
        <v>0</v>
      </c>
      <c r="G36" s="498">
        <f>ROUND('TEMPO - PAY'!I37*0.09,2)</f>
        <v>0</v>
      </c>
      <c r="H36" s="507"/>
      <c r="I36" s="507"/>
      <c r="J36" s="507"/>
      <c r="K36" s="507"/>
      <c r="L36" s="507"/>
      <c r="M36" s="507"/>
      <c r="N36" s="507"/>
      <c r="O36" s="507"/>
      <c r="P36" s="507"/>
      <c r="Q36" s="507"/>
      <c r="R36" s="557">
        <f t="shared" si="0"/>
        <v>0</v>
      </c>
      <c r="S36" s="525"/>
      <c r="T36" s="526"/>
      <c r="U36" s="507"/>
      <c r="V36" s="507"/>
      <c r="W36" s="507"/>
      <c r="X36" s="503">
        <f t="shared" si="1"/>
        <v>0</v>
      </c>
      <c r="Y36" s="502">
        <f>MIN(ROUNDDOWN('TEMPO - PAY'!I37*0.05/2,2),2500)</f>
        <v>0</v>
      </c>
      <c r="Z36" s="525"/>
      <c r="AA36" s="526"/>
      <c r="AB36" s="507"/>
      <c r="AC36" s="507"/>
      <c r="AD36" s="507"/>
      <c r="AE36" s="496">
        <f t="shared" si="2"/>
        <v>0</v>
      </c>
      <c r="AF36" s="553">
        <f t="shared" si="3"/>
        <v>0</v>
      </c>
    </row>
    <row r="37" spans="1:32" ht="18.75" customHeight="1" x14ac:dyDescent="0.25">
      <c r="A37" s="432"/>
      <c r="B37" s="556">
        <f t="shared" si="4"/>
        <v>18</v>
      </c>
      <c r="C37" s="509">
        <f>'TEMPO - PAY'!C38</f>
        <v>0</v>
      </c>
      <c r="D37" s="509" t="e">
        <f>'TEMPO - PAY'!D38</f>
        <v>#N/A</v>
      </c>
      <c r="E37" s="508">
        <f>'TEMPO - PAY'!E38</f>
        <v>0</v>
      </c>
      <c r="F37" s="502">
        <f>'TEMPO - PAY'!L38</f>
        <v>0</v>
      </c>
      <c r="G37" s="498">
        <f>ROUND('TEMPO - PAY'!I38*0.09,2)</f>
        <v>0</v>
      </c>
      <c r="H37" s="507"/>
      <c r="I37" s="507"/>
      <c r="J37" s="507"/>
      <c r="K37" s="507"/>
      <c r="L37" s="507"/>
      <c r="M37" s="507"/>
      <c r="N37" s="507"/>
      <c r="O37" s="507"/>
      <c r="P37" s="507"/>
      <c r="Q37" s="507"/>
      <c r="R37" s="557">
        <f t="shared" si="0"/>
        <v>0</v>
      </c>
      <c r="S37" s="525"/>
      <c r="T37" s="526"/>
      <c r="U37" s="507"/>
      <c r="V37" s="507"/>
      <c r="W37" s="507"/>
      <c r="X37" s="503">
        <f t="shared" si="1"/>
        <v>0</v>
      </c>
      <c r="Y37" s="502">
        <f>MIN(ROUNDDOWN('TEMPO - PAY'!I38*0.05/2,2),2500)</f>
        <v>0</v>
      </c>
      <c r="Z37" s="525"/>
      <c r="AA37" s="526"/>
      <c r="AB37" s="507"/>
      <c r="AC37" s="507"/>
      <c r="AD37" s="507"/>
      <c r="AE37" s="496">
        <f t="shared" si="2"/>
        <v>0</v>
      </c>
      <c r="AF37" s="553">
        <f t="shared" si="3"/>
        <v>0</v>
      </c>
    </row>
    <row r="38" spans="1:32" ht="18.75" customHeight="1" x14ac:dyDescent="0.25">
      <c r="A38" s="432"/>
      <c r="B38" s="556">
        <f t="shared" si="4"/>
        <v>19</v>
      </c>
      <c r="C38" s="509">
        <f>'TEMPO - PAY'!C39</f>
        <v>0</v>
      </c>
      <c r="D38" s="509" t="e">
        <f>'TEMPO - PAY'!D39</f>
        <v>#N/A</v>
      </c>
      <c r="E38" s="508">
        <f>'TEMPO - PAY'!E39</f>
        <v>0</v>
      </c>
      <c r="F38" s="502">
        <f>'TEMPO - PAY'!L39</f>
        <v>0</v>
      </c>
      <c r="G38" s="498">
        <f>ROUND('TEMPO - PAY'!I39*0.09,2)</f>
        <v>0</v>
      </c>
      <c r="H38" s="507"/>
      <c r="I38" s="507"/>
      <c r="J38" s="507"/>
      <c r="K38" s="507"/>
      <c r="L38" s="507"/>
      <c r="M38" s="507"/>
      <c r="N38" s="507"/>
      <c r="O38" s="507"/>
      <c r="P38" s="507"/>
      <c r="Q38" s="507"/>
      <c r="R38" s="557">
        <f t="shared" si="0"/>
        <v>0</v>
      </c>
      <c r="S38" s="525"/>
      <c r="T38" s="526"/>
      <c r="U38" s="507"/>
      <c r="V38" s="507"/>
      <c r="W38" s="507"/>
      <c r="X38" s="503">
        <f t="shared" si="1"/>
        <v>0</v>
      </c>
      <c r="Y38" s="502">
        <f>MIN(ROUNDDOWN('TEMPO - PAY'!I39*0.05/2,2),2500)</f>
        <v>0</v>
      </c>
      <c r="Z38" s="525"/>
      <c r="AA38" s="526"/>
      <c r="AB38" s="507"/>
      <c r="AC38" s="507"/>
      <c r="AD38" s="507"/>
      <c r="AE38" s="496">
        <f t="shared" si="2"/>
        <v>0</v>
      </c>
      <c r="AF38" s="553">
        <f t="shared" si="3"/>
        <v>0</v>
      </c>
    </row>
    <row r="39" spans="1:32" ht="18.75" customHeight="1" x14ac:dyDescent="0.25">
      <c r="A39" s="432"/>
      <c r="B39" s="556">
        <f t="shared" si="4"/>
        <v>20</v>
      </c>
      <c r="C39" s="509">
        <f>'TEMPO - PAY'!C40</f>
        <v>0</v>
      </c>
      <c r="D39" s="509" t="e">
        <f>'TEMPO - PAY'!D40</f>
        <v>#N/A</v>
      </c>
      <c r="E39" s="508">
        <f>'TEMPO - PAY'!E40</f>
        <v>0</v>
      </c>
      <c r="F39" s="502">
        <f>'TEMPO - PAY'!L40</f>
        <v>0</v>
      </c>
      <c r="G39" s="498">
        <f>ROUND('TEMPO - PAY'!I40*0.09,2)</f>
        <v>0</v>
      </c>
      <c r="H39" s="507"/>
      <c r="I39" s="507"/>
      <c r="J39" s="507"/>
      <c r="K39" s="507"/>
      <c r="L39" s="507"/>
      <c r="M39" s="507"/>
      <c r="N39" s="507"/>
      <c r="O39" s="507"/>
      <c r="P39" s="507"/>
      <c r="Q39" s="507"/>
      <c r="R39" s="557">
        <f t="shared" si="0"/>
        <v>0</v>
      </c>
      <c r="S39" s="525"/>
      <c r="T39" s="526"/>
      <c r="U39" s="507"/>
      <c r="V39" s="507"/>
      <c r="W39" s="507"/>
      <c r="X39" s="503">
        <f t="shared" si="1"/>
        <v>0</v>
      </c>
      <c r="Y39" s="502">
        <f>MIN(ROUNDDOWN('TEMPO - PAY'!I40*0.05/2,2),2500)</f>
        <v>0</v>
      </c>
      <c r="Z39" s="525"/>
      <c r="AA39" s="526"/>
      <c r="AB39" s="507"/>
      <c r="AC39" s="507"/>
      <c r="AD39" s="507"/>
      <c r="AE39" s="496">
        <f t="shared" si="2"/>
        <v>0</v>
      </c>
      <c r="AF39" s="553">
        <f t="shared" si="3"/>
        <v>0</v>
      </c>
    </row>
    <row r="40" spans="1:32" ht="18.75" customHeight="1" x14ac:dyDescent="0.25">
      <c r="A40" s="432"/>
      <c r="B40" s="556">
        <f t="shared" si="4"/>
        <v>21</v>
      </c>
      <c r="C40" s="509">
        <f>'TEMPO - PAY'!C41</f>
        <v>0</v>
      </c>
      <c r="D40" s="509" t="e">
        <f>'TEMPO - PAY'!D41</f>
        <v>#N/A</v>
      </c>
      <c r="E40" s="508">
        <f>'TEMPO - PAY'!E41</f>
        <v>0</v>
      </c>
      <c r="F40" s="502">
        <f>'TEMPO - PAY'!L41</f>
        <v>0</v>
      </c>
      <c r="G40" s="498">
        <f>ROUND('TEMPO - PAY'!I41*0.09,2)</f>
        <v>0</v>
      </c>
      <c r="H40" s="507"/>
      <c r="I40" s="507"/>
      <c r="J40" s="507"/>
      <c r="K40" s="507"/>
      <c r="L40" s="507"/>
      <c r="M40" s="507"/>
      <c r="N40" s="507"/>
      <c r="O40" s="507"/>
      <c r="P40" s="507"/>
      <c r="Q40" s="507"/>
      <c r="R40" s="557">
        <f t="shared" si="0"/>
        <v>0</v>
      </c>
      <c r="S40" s="525"/>
      <c r="T40" s="526"/>
      <c r="U40" s="507"/>
      <c r="V40" s="507"/>
      <c r="W40" s="507"/>
      <c r="X40" s="503">
        <f t="shared" si="1"/>
        <v>0</v>
      </c>
      <c r="Y40" s="502">
        <f>MIN(ROUNDDOWN('TEMPO - PAY'!I41*0.05/2,2),2500)</f>
        <v>0</v>
      </c>
      <c r="Z40" s="525"/>
      <c r="AA40" s="526"/>
      <c r="AB40" s="507"/>
      <c r="AC40" s="507"/>
      <c r="AD40" s="507"/>
      <c r="AE40" s="496">
        <f t="shared" si="2"/>
        <v>0</v>
      </c>
      <c r="AF40" s="553">
        <f t="shared" si="3"/>
        <v>0</v>
      </c>
    </row>
    <row r="41" spans="1:32" ht="18.75" customHeight="1" x14ac:dyDescent="0.25">
      <c r="A41" s="432"/>
      <c r="B41" s="556">
        <f t="shared" si="4"/>
        <v>22</v>
      </c>
      <c r="C41" s="509">
        <f>'TEMPO - PAY'!C42</f>
        <v>0</v>
      </c>
      <c r="D41" s="509" t="e">
        <f>'TEMPO - PAY'!D42</f>
        <v>#N/A</v>
      </c>
      <c r="E41" s="508">
        <f>'TEMPO - PAY'!E42</f>
        <v>0</v>
      </c>
      <c r="F41" s="502">
        <f>'TEMPO - PAY'!L42</f>
        <v>0</v>
      </c>
      <c r="G41" s="498">
        <f>ROUND('TEMPO - PAY'!I42*0.09,2)</f>
        <v>0</v>
      </c>
      <c r="H41" s="507"/>
      <c r="I41" s="507"/>
      <c r="J41" s="507"/>
      <c r="K41" s="507"/>
      <c r="L41" s="507"/>
      <c r="M41" s="507"/>
      <c r="N41" s="507"/>
      <c r="O41" s="507"/>
      <c r="P41" s="507"/>
      <c r="Q41" s="507"/>
      <c r="R41" s="557">
        <f t="shared" si="0"/>
        <v>0</v>
      </c>
      <c r="S41" s="525"/>
      <c r="T41" s="526"/>
      <c r="U41" s="507"/>
      <c r="V41" s="507"/>
      <c r="W41" s="507"/>
      <c r="X41" s="503">
        <f t="shared" si="1"/>
        <v>0</v>
      </c>
      <c r="Y41" s="502">
        <f>MIN(ROUNDDOWN('TEMPO - PAY'!I42*0.05/2,2),2500)</f>
        <v>0</v>
      </c>
      <c r="Z41" s="525"/>
      <c r="AA41" s="526"/>
      <c r="AB41" s="507"/>
      <c r="AC41" s="507"/>
      <c r="AD41" s="507"/>
      <c r="AE41" s="496">
        <f t="shared" si="2"/>
        <v>0</v>
      </c>
      <c r="AF41" s="553">
        <f t="shared" si="3"/>
        <v>0</v>
      </c>
    </row>
    <row r="42" spans="1:32" ht="18.75" customHeight="1" x14ac:dyDescent="0.25">
      <c r="A42" s="432"/>
      <c r="B42" s="556">
        <f t="shared" si="4"/>
        <v>23</v>
      </c>
      <c r="C42" s="509">
        <f>'TEMPO - PAY'!C43</f>
        <v>0</v>
      </c>
      <c r="D42" s="509" t="e">
        <f>'TEMPO - PAY'!D43</f>
        <v>#N/A</v>
      </c>
      <c r="E42" s="508">
        <f>'TEMPO - PAY'!E43</f>
        <v>0</v>
      </c>
      <c r="F42" s="502">
        <f>'TEMPO - PAY'!L43</f>
        <v>0</v>
      </c>
      <c r="G42" s="498">
        <f>ROUND('TEMPO - PAY'!I43*0.09,2)</f>
        <v>0</v>
      </c>
      <c r="H42" s="507"/>
      <c r="I42" s="507"/>
      <c r="J42" s="507"/>
      <c r="K42" s="507"/>
      <c r="L42" s="507"/>
      <c r="M42" s="507"/>
      <c r="N42" s="507"/>
      <c r="O42" s="507"/>
      <c r="P42" s="507"/>
      <c r="Q42" s="507"/>
      <c r="R42" s="557">
        <f t="shared" si="0"/>
        <v>0</v>
      </c>
      <c r="S42" s="525"/>
      <c r="T42" s="526"/>
      <c r="U42" s="507"/>
      <c r="V42" s="507"/>
      <c r="W42" s="507"/>
      <c r="X42" s="503">
        <f t="shared" si="1"/>
        <v>0</v>
      </c>
      <c r="Y42" s="502">
        <f>MIN(ROUNDDOWN('TEMPO - PAY'!I43*0.05/2,2),2500)</f>
        <v>0</v>
      </c>
      <c r="Z42" s="525"/>
      <c r="AA42" s="526"/>
      <c r="AB42" s="507"/>
      <c r="AC42" s="507"/>
      <c r="AD42" s="507"/>
      <c r="AE42" s="496">
        <f t="shared" si="2"/>
        <v>0</v>
      </c>
      <c r="AF42" s="553">
        <f t="shared" si="3"/>
        <v>0</v>
      </c>
    </row>
    <row r="43" spans="1:32" ht="18.75" customHeight="1" x14ac:dyDescent="0.25">
      <c r="A43" s="432"/>
      <c r="B43" s="556">
        <f t="shared" si="4"/>
        <v>24</v>
      </c>
      <c r="C43" s="509">
        <f>'TEMPO - PAY'!C44</f>
        <v>0</v>
      </c>
      <c r="D43" s="509" t="e">
        <f>'TEMPO - PAY'!D44</f>
        <v>#N/A</v>
      </c>
      <c r="E43" s="508">
        <f>'TEMPO - PAY'!E44</f>
        <v>0</v>
      </c>
      <c r="F43" s="502">
        <f>'TEMPO - PAY'!L44</f>
        <v>0</v>
      </c>
      <c r="G43" s="498">
        <f>ROUND('TEMPO - PAY'!I44*0.09,2)</f>
        <v>0</v>
      </c>
      <c r="H43" s="507"/>
      <c r="I43" s="507"/>
      <c r="J43" s="507"/>
      <c r="K43" s="507"/>
      <c r="L43" s="507"/>
      <c r="M43" s="507"/>
      <c r="N43" s="507"/>
      <c r="O43" s="507"/>
      <c r="P43" s="507"/>
      <c r="Q43" s="507"/>
      <c r="R43" s="557">
        <f t="shared" si="0"/>
        <v>0</v>
      </c>
      <c r="S43" s="525"/>
      <c r="T43" s="526"/>
      <c r="U43" s="507"/>
      <c r="V43" s="507"/>
      <c r="W43" s="507"/>
      <c r="X43" s="503">
        <f t="shared" si="1"/>
        <v>0</v>
      </c>
      <c r="Y43" s="502">
        <f>MIN(ROUNDDOWN('TEMPO - PAY'!I44*0.05/2,2),2500)</f>
        <v>0</v>
      </c>
      <c r="Z43" s="525"/>
      <c r="AA43" s="526"/>
      <c r="AB43" s="507"/>
      <c r="AC43" s="507"/>
      <c r="AD43" s="507"/>
      <c r="AE43" s="496">
        <f t="shared" si="2"/>
        <v>0</v>
      </c>
      <c r="AF43" s="553">
        <f t="shared" si="3"/>
        <v>0</v>
      </c>
    </row>
    <row r="44" spans="1:32" ht="18.75" customHeight="1" x14ac:dyDescent="0.25">
      <c r="A44" s="432"/>
      <c r="B44" s="556">
        <f t="shared" si="4"/>
        <v>25</v>
      </c>
      <c r="C44" s="509">
        <f>'TEMPO - PAY'!C45</f>
        <v>0</v>
      </c>
      <c r="D44" s="509" t="e">
        <f>'TEMPO - PAY'!D45</f>
        <v>#N/A</v>
      </c>
      <c r="E44" s="508">
        <f>'TEMPO - PAY'!E45</f>
        <v>0</v>
      </c>
      <c r="F44" s="502">
        <f>'TEMPO - PAY'!L45</f>
        <v>0</v>
      </c>
      <c r="G44" s="498">
        <f>ROUND('TEMPO - PAY'!I45*0.09,2)</f>
        <v>0</v>
      </c>
      <c r="H44" s="507"/>
      <c r="I44" s="507"/>
      <c r="J44" s="507"/>
      <c r="K44" s="507"/>
      <c r="L44" s="507"/>
      <c r="M44" s="507"/>
      <c r="N44" s="507"/>
      <c r="O44" s="507"/>
      <c r="P44" s="507"/>
      <c r="Q44" s="507"/>
      <c r="R44" s="557">
        <f t="shared" si="0"/>
        <v>0</v>
      </c>
      <c r="S44" s="525"/>
      <c r="T44" s="526"/>
      <c r="U44" s="507"/>
      <c r="V44" s="507"/>
      <c r="W44" s="507"/>
      <c r="X44" s="503">
        <f t="shared" si="1"/>
        <v>0</v>
      </c>
      <c r="Y44" s="502">
        <f>MIN(ROUNDDOWN('TEMPO - PAY'!I45*0.05/2,2),2500)</f>
        <v>0</v>
      </c>
      <c r="Z44" s="525"/>
      <c r="AA44" s="526"/>
      <c r="AB44" s="507"/>
      <c r="AC44" s="507"/>
      <c r="AD44" s="507"/>
      <c r="AE44" s="496">
        <f t="shared" si="2"/>
        <v>0</v>
      </c>
      <c r="AF44" s="553">
        <f t="shared" si="3"/>
        <v>0</v>
      </c>
    </row>
    <row r="45" spans="1:32" ht="18.75" customHeight="1" x14ac:dyDescent="0.25">
      <c r="A45" s="432"/>
      <c r="B45" s="556">
        <f t="shared" si="4"/>
        <v>26</v>
      </c>
      <c r="C45" s="509">
        <f>'TEMPO - PAY'!C46</f>
        <v>0</v>
      </c>
      <c r="D45" s="509" t="e">
        <f>'TEMPO - PAY'!D46</f>
        <v>#N/A</v>
      </c>
      <c r="E45" s="508">
        <f>'TEMPO - PAY'!E46</f>
        <v>0</v>
      </c>
      <c r="F45" s="502">
        <f>'TEMPO - PAY'!L46</f>
        <v>0</v>
      </c>
      <c r="G45" s="498">
        <f>ROUND('TEMPO - PAY'!I46*0.09,2)</f>
        <v>0</v>
      </c>
      <c r="H45" s="507"/>
      <c r="I45" s="507"/>
      <c r="J45" s="507"/>
      <c r="K45" s="507"/>
      <c r="L45" s="507"/>
      <c r="M45" s="507"/>
      <c r="N45" s="507"/>
      <c r="O45" s="507"/>
      <c r="P45" s="507"/>
      <c r="Q45" s="507"/>
      <c r="R45" s="557">
        <f t="shared" si="0"/>
        <v>0</v>
      </c>
      <c r="S45" s="525"/>
      <c r="T45" s="526"/>
      <c r="U45" s="507"/>
      <c r="V45" s="507"/>
      <c r="W45" s="507"/>
      <c r="X45" s="503">
        <f t="shared" si="1"/>
        <v>0</v>
      </c>
      <c r="Y45" s="502">
        <f>MIN(ROUNDDOWN('TEMPO - PAY'!I46*0.05/2,2),2500)</f>
        <v>0</v>
      </c>
      <c r="Z45" s="525"/>
      <c r="AA45" s="526"/>
      <c r="AB45" s="507"/>
      <c r="AC45" s="507"/>
      <c r="AD45" s="507"/>
      <c r="AE45" s="496">
        <f t="shared" si="2"/>
        <v>0</v>
      </c>
      <c r="AF45" s="553">
        <f t="shared" si="3"/>
        <v>0</v>
      </c>
    </row>
    <row r="46" spans="1:32" ht="18.75" customHeight="1" x14ac:dyDescent="0.25">
      <c r="A46" s="432"/>
      <c r="B46" s="556">
        <f t="shared" si="4"/>
        <v>27</v>
      </c>
      <c r="C46" s="509">
        <f>'TEMPO - PAY'!C47</f>
        <v>0</v>
      </c>
      <c r="D46" s="509" t="e">
        <f>'TEMPO - PAY'!D47</f>
        <v>#N/A</v>
      </c>
      <c r="E46" s="508">
        <f>'TEMPO - PAY'!E47</f>
        <v>0</v>
      </c>
      <c r="F46" s="502">
        <f>'TEMPO - PAY'!L47</f>
        <v>0</v>
      </c>
      <c r="G46" s="498">
        <f>ROUND('TEMPO - PAY'!I47*0.09,2)</f>
        <v>0</v>
      </c>
      <c r="H46" s="507"/>
      <c r="I46" s="507"/>
      <c r="J46" s="507"/>
      <c r="K46" s="507"/>
      <c r="L46" s="507"/>
      <c r="M46" s="507"/>
      <c r="N46" s="507"/>
      <c r="O46" s="507"/>
      <c r="P46" s="507"/>
      <c r="Q46" s="507"/>
      <c r="R46" s="557">
        <f t="shared" si="0"/>
        <v>0</v>
      </c>
      <c r="S46" s="525"/>
      <c r="T46" s="526"/>
      <c r="U46" s="507"/>
      <c r="V46" s="507"/>
      <c r="W46" s="507"/>
      <c r="X46" s="503">
        <f t="shared" si="1"/>
        <v>0</v>
      </c>
      <c r="Y46" s="502">
        <f>MIN(ROUNDDOWN('TEMPO - PAY'!I47*0.05/2,2),2500)</f>
        <v>0</v>
      </c>
      <c r="Z46" s="525"/>
      <c r="AA46" s="526"/>
      <c r="AB46" s="507"/>
      <c r="AC46" s="507"/>
      <c r="AD46" s="507"/>
      <c r="AE46" s="496">
        <f t="shared" si="2"/>
        <v>0</v>
      </c>
      <c r="AF46" s="553">
        <f t="shared" si="3"/>
        <v>0</v>
      </c>
    </row>
    <row r="47" spans="1:32" ht="18.75" customHeight="1" x14ac:dyDescent="0.25">
      <c r="A47" s="432"/>
      <c r="B47" s="556">
        <f t="shared" si="4"/>
        <v>28</v>
      </c>
      <c r="C47" s="509">
        <f>'TEMPO - PAY'!C48</f>
        <v>0</v>
      </c>
      <c r="D47" s="509" t="e">
        <f>'TEMPO - PAY'!D48</f>
        <v>#N/A</v>
      </c>
      <c r="E47" s="508">
        <f>'TEMPO - PAY'!E48</f>
        <v>0</v>
      </c>
      <c r="F47" s="502">
        <f>'TEMPO - PAY'!L48</f>
        <v>0</v>
      </c>
      <c r="G47" s="498">
        <f>ROUND('TEMPO - PAY'!I48*0.09,2)</f>
        <v>0</v>
      </c>
      <c r="H47" s="507"/>
      <c r="I47" s="507"/>
      <c r="J47" s="507"/>
      <c r="K47" s="507"/>
      <c r="L47" s="507"/>
      <c r="M47" s="507"/>
      <c r="N47" s="507"/>
      <c r="O47" s="507"/>
      <c r="P47" s="507"/>
      <c r="Q47" s="507"/>
      <c r="R47" s="557">
        <f t="shared" si="0"/>
        <v>0</v>
      </c>
      <c r="S47" s="525"/>
      <c r="T47" s="526"/>
      <c r="U47" s="507"/>
      <c r="V47" s="507"/>
      <c r="W47" s="507"/>
      <c r="X47" s="503">
        <f t="shared" si="1"/>
        <v>0</v>
      </c>
      <c r="Y47" s="502">
        <f>MIN(ROUNDDOWN('TEMPO - PAY'!I48*0.05/2,2),2500)</f>
        <v>0</v>
      </c>
      <c r="Z47" s="525"/>
      <c r="AA47" s="526"/>
      <c r="AB47" s="507"/>
      <c r="AC47" s="507"/>
      <c r="AD47" s="507"/>
      <c r="AE47" s="496">
        <f t="shared" si="2"/>
        <v>0</v>
      </c>
      <c r="AF47" s="553">
        <f t="shared" si="3"/>
        <v>0</v>
      </c>
    </row>
    <row r="48" spans="1:32" ht="18.75" customHeight="1" x14ac:dyDescent="0.25">
      <c r="A48" s="432"/>
      <c r="B48" s="556">
        <f t="shared" si="4"/>
        <v>29</v>
      </c>
      <c r="C48" s="509">
        <f>'TEMPO - PAY'!C49</f>
        <v>0</v>
      </c>
      <c r="D48" s="509" t="e">
        <f>'TEMPO - PAY'!D49</f>
        <v>#N/A</v>
      </c>
      <c r="E48" s="508">
        <f>'TEMPO - PAY'!E49</f>
        <v>0</v>
      </c>
      <c r="F48" s="502">
        <f>'TEMPO - PAY'!L49</f>
        <v>0</v>
      </c>
      <c r="G48" s="498">
        <f>ROUND('TEMPO - PAY'!I49*0.09,2)</f>
        <v>0</v>
      </c>
      <c r="H48" s="507"/>
      <c r="I48" s="507"/>
      <c r="J48" s="507"/>
      <c r="K48" s="507"/>
      <c r="L48" s="507"/>
      <c r="M48" s="507"/>
      <c r="N48" s="507"/>
      <c r="O48" s="507"/>
      <c r="P48" s="507"/>
      <c r="Q48" s="507"/>
      <c r="R48" s="557">
        <f t="shared" si="0"/>
        <v>0</v>
      </c>
      <c r="S48" s="525"/>
      <c r="T48" s="526"/>
      <c r="U48" s="507"/>
      <c r="V48" s="507"/>
      <c r="W48" s="507"/>
      <c r="X48" s="503">
        <f t="shared" si="1"/>
        <v>0</v>
      </c>
      <c r="Y48" s="502">
        <f>MIN(ROUNDDOWN('TEMPO - PAY'!I49*0.05/2,2),2500)</f>
        <v>0</v>
      </c>
      <c r="Z48" s="525"/>
      <c r="AA48" s="526"/>
      <c r="AB48" s="507"/>
      <c r="AC48" s="507"/>
      <c r="AD48" s="507"/>
      <c r="AE48" s="496">
        <f t="shared" si="2"/>
        <v>0</v>
      </c>
      <c r="AF48" s="553">
        <f t="shared" si="3"/>
        <v>0</v>
      </c>
    </row>
    <row r="49" spans="1:32" ht="18.75" customHeight="1" x14ac:dyDescent="0.25">
      <c r="A49" s="432"/>
      <c r="B49" s="556">
        <f t="shared" si="4"/>
        <v>30</v>
      </c>
      <c r="C49" s="509">
        <f>'TEMPO - PAY'!C50</f>
        <v>0</v>
      </c>
      <c r="D49" s="509" t="e">
        <f>'TEMPO - PAY'!D50</f>
        <v>#N/A</v>
      </c>
      <c r="E49" s="508">
        <f>'TEMPO - PAY'!E50</f>
        <v>0</v>
      </c>
      <c r="F49" s="502">
        <f>'TEMPO - PAY'!L50</f>
        <v>0</v>
      </c>
      <c r="G49" s="498">
        <f>ROUND('TEMPO - PAY'!I50*0.09,2)</f>
        <v>0</v>
      </c>
      <c r="H49" s="507"/>
      <c r="I49" s="507"/>
      <c r="J49" s="507"/>
      <c r="K49" s="507"/>
      <c r="L49" s="507"/>
      <c r="M49" s="507"/>
      <c r="N49" s="507"/>
      <c r="O49" s="507"/>
      <c r="P49" s="507"/>
      <c r="Q49" s="507"/>
      <c r="R49" s="557">
        <f t="shared" si="0"/>
        <v>0</v>
      </c>
      <c r="S49" s="525"/>
      <c r="T49" s="526"/>
      <c r="U49" s="507"/>
      <c r="V49" s="507"/>
      <c r="W49" s="507"/>
      <c r="X49" s="503">
        <f t="shared" si="1"/>
        <v>0</v>
      </c>
      <c r="Y49" s="502">
        <f>MIN(ROUNDDOWN('TEMPO - PAY'!I50*0.05/2,2),2500)</f>
        <v>0</v>
      </c>
      <c r="Z49" s="525"/>
      <c r="AA49" s="526"/>
      <c r="AB49" s="507"/>
      <c r="AC49" s="507"/>
      <c r="AD49" s="507"/>
      <c r="AE49" s="496">
        <f t="shared" si="2"/>
        <v>0</v>
      </c>
      <c r="AF49" s="553">
        <f t="shared" si="3"/>
        <v>0</v>
      </c>
    </row>
    <row r="50" spans="1:32" ht="18.75" customHeight="1" x14ac:dyDescent="0.25">
      <c r="A50" s="432"/>
      <c r="B50" s="556">
        <f t="shared" si="4"/>
        <v>31</v>
      </c>
      <c r="C50" s="509">
        <f>'TEMPO - PAY'!C51</f>
        <v>0</v>
      </c>
      <c r="D50" s="509" t="e">
        <f>'TEMPO - PAY'!D51</f>
        <v>#N/A</v>
      </c>
      <c r="E50" s="508">
        <f>'TEMPO - PAY'!E51</f>
        <v>0</v>
      </c>
      <c r="F50" s="502">
        <f>'TEMPO - PAY'!L51</f>
        <v>0</v>
      </c>
      <c r="G50" s="498">
        <f>ROUND('TEMPO - PAY'!I51*0.09,2)</f>
        <v>0</v>
      </c>
      <c r="H50" s="507"/>
      <c r="I50" s="507"/>
      <c r="J50" s="507"/>
      <c r="K50" s="507"/>
      <c r="L50" s="507"/>
      <c r="M50" s="507"/>
      <c r="N50" s="507"/>
      <c r="O50" s="507"/>
      <c r="P50" s="507"/>
      <c r="Q50" s="507"/>
      <c r="R50" s="557">
        <f t="shared" si="0"/>
        <v>0</v>
      </c>
      <c r="S50" s="525"/>
      <c r="T50" s="526"/>
      <c r="U50" s="507"/>
      <c r="V50" s="507"/>
      <c r="W50" s="507"/>
      <c r="X50" s="503">
        <f t="shared" si="1"/>
        <v>0</v>
      </c>
      <c r="Y50" s="502">
        <f>MIN(ROUNDDOWN('TEMPO - PAY'!I51*0.05/2,2),2500)</f>
        <v>0</v>
      </c>
      <c r="Z50" s="525"/>
      <c r="AA50" s="526"/>
      <c r="AB50" s="507"/>
      <c r="AC50" s="507"/>
      <c r="AD50" s="507"/>
      <c r="AE50" s="496">
        <f t="shared" si="2"/>
        <v>0</v>
      </c>
      <c r="AF50" s="553">
        <f t="shared" si="3"/>
        <v>0</v>
      </c>
    </row>
    <row r="51" spans="1:32" ht="18.75" customHeight="1" x14ac:dyDescent="0.25">
      <c r="A51" s="432"/>
      <c r="B51" s="556">
        <f t="shared" si="4"/>
        <v>32</v>
      </c>
      <c r="C51" s="509">
        <f>'TEMPO - PAY'!C52</f>
        <v>0</v>
      </c>
      <c r="D51" s="509" t="e">
        <f>'TEMPO - PAY'!D52</f>
        <v>#N/A</v>
      </c>
      <c r="E51" s="508">
        <f>'TEMPO - PAY'!E52</f>
        <v>0</v>
      </c>
      <c r="F51" s="502">
        <f>'TEMPO - PAY'!L52</f>
        <v>0</v>
      </c>
      <c r="G51" s="498">
        <f>ROUND('TEMPO - PAY'!I52*0.09,2)</f>
        <v>0</v>
      </c>
      <c r="H51" s="507"/>
      <c r="I51" s="507"/>
      <c r="J51" s="507"/>
      <c r="K51" s="507"/>
      <c r="L51" s="507"/>
      <c r="M51" s="507"/>
      <c r="N51" s="507"/>
      <c r="O51" s="507"/>
      <c r="P51" s="507"/>
      <c r="Q51" s="507"/>
      <c r="R51" s="557">
        <f t="shared" si="0"/>
        <v>0</v>
      </c>
      <c r="S51" s="525"/>
      <c r="T51" s="526"/>
      <c r="U51" s="507"/>
      <c r="V51" s="507"/>
      <c r="W51" s="507"/>
      <c r="X51" s="503">
        <f t="shared" si="1"/>
        <v>0</v>
      </c>
      <c r="Y51" s="502">
        <f>MIN(ROUNDDOWN('TEMPO - PAY'!I52*0.05/2,2),2500)</f>
        <v>0</v>
      </c>
      <c r="Z51" s="525"/>
      <c r="AA51" s="526"/>
      <c r="AB51" s="507"/>
      <c r="AC51" s="507"/>
      <c r="AD51" s="507"/>
      <c r="AE51" s="496">
        <f t="shared" si="2"/>
        <v>0</v>
      </c>
      <c r="AF51" s="553">
        <f t="shared" si="3"/>
        <v>0</v>
      </c>
    </row>
    <row r="52" spans="1:32" ht="18.75" customHeight="1" x14ac:dyDescent="0.25">
      <c r="A52" s="432"/>
      <c r="B52" s="556">
        <f t="shared" si="4"/>
        <v>33</v>
      </c>
      <c r="C52" s="509">
        <f>'TEMPO - PAY'!C53</f>
        <v>0</v>
      </c>
      <c r="D52" s="509" t="e">
        <f>'TEMPO - PAY'!D53</f>
        <v>#N/A</v>
      </c>
      <c r="E52" s="508">
        <f>'TEMPO - PAY'!E53</f>
        <v>0</v>
      </c>
      <c r="F52" s="502">
        <f>'TEMPO - PAY'!L53</f>
        <v>0</v>
      </c>
      <c r="G52" s="498">
        <f>ROUND('TEMPO - PAY'!I53*0.09,2)</f>
        <v>0</v>
      </c>
      <c r="H52" s="507"/>
      <c r="I52" s="507"/>
      <c r="J52" s="507"/>
      <c r="K52" s="507"/>
      <c r="L52" s="507"/>
      <c r="M52" s="507"/>
      <c r="N52" s="507"/>
      <c r="O52" s="507"/>
      <c r="P52" s="507"/>
      <c r="Q52" s="507"/>
      <c r="R52" s="557">
        <f t="shared" si="0"/>
        <v>0</v>
      </c>
      <c r="S52" s="525"/>
      <c r="T52" s="526"/>
      <c r="U52" s="507"/>
      <c r="V52" s="507"/>
      <c r="W52" s="507"/>
      <c r="X52" s="503">
        <f t="shared" si="1"/>
        <v>0</v>
      </c>
      <c r="Y52" s="502">
        <f>MIN(ROUNDDOWN('TEMPO - PAY'!I53*0.05/2,2),2500)</f>
        <v>0</v>
      </c>
      <c r="Z52" s="525"/>
      <c r="AA52" s="526"/>
      <c r="AB52" s="507"/>
      <c r="AC52" s="507"/>
      <c r="AD52" s="507"/>
      <c r="AE52" s="496">
        <f t="shared" si="2"/>
        <v>0</v>
      </c>
      <c r="AF52" s="553">
        <f t="shared" si="3"/>
        <v>0</v>
      </c>
    </row>
    <row r="53" spans="1:32" ht="18.75" customHeight="1" x14ac:dyDescent="0.25">
      <c r="A53" s="432"/>
      <c r="B53" s="556">
        <f t="shared" si="4"/>
        <v>34</v>
      </c>
      <c r="C53" s="509">
        <f>'TEMPO - PAY'!C54</f>
        <v>0</v>
      </c>
      <c r="D53" s="509" t="e">
        <f>'TEMPO - PAY'!D54</f>
        <v>#N/A</v>
      </c>
      <c r="E53" s="508">
        <f>'TEMPO - PAY'!E54</f>
        <v>0</v>
      </c>
      <c r="F53" s="502">
        <f>'TEMPO - PAY'!L54</f>
        <v>0</v>
      </c>
      <c r="G53" s="498">
        <f>ROUND('TEMPO - PAY'!I54*0.09,2)</f>
        <v>0</v>
      </c>
      <c r="H53" s="507"/>
      <c r="I53" s="507"/>
      <c r="J53" s="507"/>
      <c r="K53" s="507"/>
      <c r="L53" s="507"/>
      <c r="M53" s="507"/>
      <c r="N53" s="507"/>
      <c r="O53" s="507"/>
      <c r="P53" s="507"/>
      <c r="Q53" s="507"/>
      <c r="R53" s="557">
        <f t="shared" si="0"/>
        <v>0</v>
      </c>
      <c r="S53" s="525"/>
      <c r="T53" s="526"/>
      <c r="U53" s="507"/>
      <c r="V53" s="507"/>
      <c r="W53" s="507"/>
      <c r="X53" s="503">
        <f t="shared" si="1"/>
        <v>0</v>
      </c>
      <c r="Y53" s="502">
        <f>MIN(ROUNDDOWN('TEMPO - PAY'!I54*0.05/2,2),2500)</f>
        <v>0</v>
      </c>
      <c r="Z53" s="525"/>
      <c r="AA53" s="526"/>
      <c r="AB53" s="507"/>
      <c r="AC53" s="507"/>
      <c r="AD53" s="507"/>
      <c r="AE53" s="496">
        <f t="shared" si="2"/>
        <v>0</v>
      </c>
      <c r="AF53" s="553">
        <f t="shared" si="3"/>
        <v>0</v>
      </c>
    </row>
    <row r="54" spans="1:32" ht="18.75" customHeight="1" x14ac:dyDescent="0.25">
      <c r="A54" s="432"/>
      <c r="B54" s="556">
        <f t="shared" si="4"/>
        <v>35</v>
      </c>
      <c r="C54" s="509">
        <f>'TEMPO - PAY'!C55</f>
        <v>0</v>
      </c>
      <c r="D54" s="509" t="e">
        <f>'TEMPO - PAY'!D55</f>
        <v>#N/A</v>
      </c>
      <c r="E54" s="508">
        <f>'TEMPO - PAY'!E55</f>
        <v>0</v>
      </c>
      <c r="F54" s="502">
        <f>'TEMPO - PAY'!L55</f>
        <v>0</v>
      </c>
      <c r="G54" s="498">
        <f>ROUND('TEMPO - PAY'!I55*0.09,2)</f>
        <v>0</v>
      </c>
      <c r="H54" s="507"/>
      <c r="I54" s="507"/>
      <c r="J54" s="507"/>
      <c r="K54" s="507"/>
      <c r="L54" s="507"/>
      <c r="M54" s="507"/>
      <c r="N54" s="507"/>
      <c r="O54" s="507"/>
      <c r="P54" s="507"/>
      <c r="Q54" s="507"/>
      <c r="R54" s="557">
        <f t="shared" si="0"/>
        <v>0</v>
      </c>
      <c r="S54" s="525"/>
      <c r="T54" s="526"/>
      <c r="U54" s="507"/>
      <c r="V54" s="507"/>
      <c r="W54" s="507"/>
      <c r="X54" s="503">
        <f t="shared" si="1"/>
        <v>0</v>
      </c>
      <c r="Y54" s="502">
        <f>MIN(ROUNDDOWN('TEMPO - PAY'!I55*0.05/2,2),2500)</f>
        <v>0</v>
      </c>
      <c r="Z54" s="525"/>
      <c r="AA54" s="526"/>
      <c r="AB54" s="507"/>
      <c r="AC54" s="507"/>
      <c r="AD54" s="507"/>
      <c r="AE54" s="496">
        <f t="shared" si="2"/>
        <v>0</v>
      </c>
      <c r="AF54" s="553">
        <f t="shared" si="3"/>
        <v>0</v>
      </c>
    </row>
    <row r="55" spans="1:32" ht="18.75" customHeight="1" x14ac:dyDescent="0.25">
      <c r="A55" s="432"/>
      <c r="B55" s="556">
        <f t="shared" si="4"/>
        <v>36</v>
      </c>
      <c r="C55" s="509">
        <f>'TEMPO - PAY'!C56</f>
        <v>0</v>
      </c>
      <c r="D55" s="509" t="e">
        <f>'TEMPO - PAY'!D56</f>
        <v>#N/A</v>
      </c>
      <c r="E55" s="508">
        <f>'TEMPO - PAY'!E56</f>
        <v>0</v>
      </c>
      <c r="F55" s="502">
        <f>'TEMPO - PAY'!L56</f>
        <v>0</v>
      </c>
      <c r="G55" s="498">
        <f>ROUND('TEMPO - PAY'!I56*0.09,2)</f>
        <v>0</v>
      </c>
      <c r="H55" s="507"/>
      <c r="I55" s="507"/>
      <c r="J55" s="507"/>
      <c r="K55" s="507"/>
      <c r="L55" s="507"/>
      <c r="M55" s="507"/>
      <c r="N55" s="507"/>
      <c r="O55" s="507"/>
      <c r="P55" s="507"/>
      <c r="Q55" s="507"/>
      <c r="R55" s="557">
        <f t="shared" si="0"/>
        <v>0</v>
      </c>
      <c r="S55" s="525"/>
      <c r="T55" s="526"/>
      <c r="U55" s="507"/>
      <c r="V55" s="507"/>
      <c r="W55" s="507"/>
      <c r="X55" s="503">
        <f t="shared" si="1"/>
        <v>0</v>
      </c>
      <c r="Y55" s="502">
        <f>MIN(ROUNDDOWN('TEMPO - PAY'!I56*0.05/2,2),2500)</f>
        <v>0</v>
      </c>
      <c r="Z55" s="525"/>
      <c r="AA55" s="526"/>
      <c r="AB55" s="507"/>
      <c r="AC55" s="507"/>
      <c r="AD55" s="507"/>
      <c r="AE55" s="496">
        <f t="shared" si="2"/>
        <v>0</v>
      </c>
      <c r="AF55" s="553">
        <f t="shared" si="3"/>
        <v>0</v>
      </c>
    </row>
    <row r="56" spans="1:32" ht="18.75" customHeight="1" x14ac:dyDescent="0.25">
      <c r="A56" s="432"/>
      <c r="B56" s="556">
        <f t="shared" si="4"/>
        <v>37</v>
      </c>
      <c r="C56" s="509">
        <f>'TEMPO - PAY'!C57</f>
        <v>0</v>
      </c>
      <c r="D56" s="509" t="e">
        <f>'TEMPO - PAY'!D57</f>
        <v>#N/A</v>
      </c>
      <c r="E56" s="508">
        <f>'TEMPO - PAY'!E57</f>
        <v>0</v>
      </c>
      <c r="F56" s="502">
        <f>'TEMPO - PAY'!L57</f>
        <v>0</v>
      </c>
      <c r="G56" s="498">
        <f>ROUND('TEMPO - PAY'!I57*0.09,2)</f>
        <v>0</v>
      </c>
      <c r="H56" s="507"/>
      <c r="I56" s="507"/>
      <c r="J56" s="507"/>
      <c r="K56" s="507"/>
      <c r="L56" s="507"/>
      <c r="M56" s="507"/>
      <c r="N56" s="507"/>
      <c r="O56" s="507"/>
      <c r="P56" s="507"/>
      <c r="Q56" s="507"/>
      <c r="R56" s="557">
        <f t="shared" si="0"/>
        <v>0</v>
      </c>
      <c r="S56" s="525"/>
      <c r="T56" s="526"/>
      <c r="U56" s="507"/>
      <c r="V56" s="507"/>
      <c r="W56" s="507"/>
      <c r="X56" s="503">
        <f t="shared" si="1"/>
        <v>0</v>
      </c>
      <c r="Y56" s="502">
        <f>MIN(ROUNDDOWN('TEMPO - PAY'!I57*0.05/2,2),2500)</f>
        <v>0</v>
      </c>
      <c r="Z56" s="525"/>
      <c r="AA56" s="526"/>
      <c r="AB56" s="507"/>
      <c r="AC56" s="507"/>
      <c r="AD56" s="507"/>
      <c r="AE56" s="496">
        <f t="shared" si="2"/>
        <v>0</v>
      </c>
      <c r="AF56" s="553">
        <f t="shared" si="3"/>
        <v>0</v>
      </c>
    </row>
    <row r="57" spans="1:32" ht="18.75" customHeight="1" x14ac:dyDescent="0.25">
      <c r="A57" s="432"/>
      <c r="B57" s="556">
        <f t="shared" si="4"/>
        <v>38</v>
      </c>
      <c r="C57" s="509">
        <f>'TEMPO - PAY'!C58</f>
        <v>0</v>
      </c>
      <c r="D57" s="509" t="e">
        <f>'TEMPO - PAY'!D58</f>
        <v>#N/A</v>
      </c>
      <c r="E57" s="508">
        <f>'TEMPO - PAY'!E58</f>
        <v>0</v>
      </c>
      <c r="F57" s="502">
        <f>'TEMPO - PAY'!L58</f>
        <v>0</v>
      </c>
      <c r="G57" s="498">
        <f>ROUND('TEMPO - PAY'!I58*0.09,2)</f>
        <v>0</v>
      </c>
      <c r="H57" s="507"/>
      <c r="I57" s="507"/>
      <c r="J57" s="507"/>
      <c r="K57" s="507"/>
      <c r="L57" s="507"/>
      <c r="M57" s="507"/>
      <c r="N57" s="507"/>
      <c r="O57" s="507"/>
      <c r="P57" s="507"/>
      <c r="Q57" s="507"/>
      <c r="R57" s="557">
        <f t="shared" si="0"/>
        <v>0</v>
      </c>
      <c r="S57" s="525"/>
      <c r="T57" s="526"/>
      <c r="U57" s="507"/>
      <c r="V57" s="507"/>
      <c r="W57" s="507"/>
      <c r="X57" s="503">
        <f t="shared" si="1"/>
        <v>0</v>
      </c>
      <c r="Y57" s="502">
        <f>MIN(ROUNDDOWN('TEMPO - PAY'!I58*0.05/2,2),2500)</f>
        <v>0</v>
      </c>
      <c r="Z57" s="525"/>
      <c r="AA57" s="526"/>
      <c r="AB57" s="507"/>
      <c r="AC57" s="507"/>
      <c r="AD57" s="507"/>
      <c r="AE57" s="496">
        <f t="shared" si="2"/>
        <v>0</v>
      </c>
      <c r="AF57" s="553">
        <f t="shared" si="3"/>
        <v>0</v>
      </c>
    </row>
    <row r="58" spans="1:32" ht="18.75" customHeight="1" x14ac:dyDescent="0.25">
      <c r="A58" s="432"/>
      <c r="B58" s="556">
        <f t="shared" si="4"/>
        <v>39</v>
      </c>
      <c r="C58" s="509">
        <f>'TEMPO - PAY'!C59</f>
        <v>0</v>
      </c>
      <c r="D58" s="509" t="e">
        <f>'TEMPO - PAY'!D59</f>
        <v>#N/A</v>
      </c>
      <c r="E58" s="508">
        <f>'TEMPO - PAY'!E59</f>
        <v>0</v>
      </c>
      <c r="F58" s="502">
        <f>'TEMPO - PAY'!L59</f>
        <v>0</v>
      </c>
      <c r="G58" s="498">
        <f>ROUND('TEMPO - PAY'!I59*0.09,2)</f>
        <v>0</v>
      </c>
      <c r="H58" s="507"/>
      <c r="I58" s="507"/>
      <c r="J58" s="507"/>
      <c r="K58" s="507"/>
      <c r="L58" s="507"/>
      <c r="M58" s="507"/>
      <c r="N58" s="507"/>
      <c r="O58" s="507"/>
      <c r="P58" s="507"/>
      <c r="Q58" s="507"/>
      <c r="R58" s="557">
        <f t="shared" si="0"/>
        <v>0</v>
      </c>
      <c r="S58" s="525"/>
      <c r="T58" s="526"/>
      <c r="U58" s="507"/>
      <c r="V58" s="507"/>
      <c r="W58" s="507"/>
      <c r="X58" s="503">
        <f t="shared" si="1"/>
        <v>0</v>
      </c>
      <c r="Y58" s="502">
        <f>MIN(ROUNDDOWN('TEMPO - PAY'!I59*0.05/2,2),2500)</f>
        <v>0</v>
      </c>
      <c r="Z58" s="525"/>
      <c r="AA58" s="526"/>
      <c r="AB58" s="507"/>
      <c r="AC58" s="507"/>
      <c r="AD58" s="507"/>
      <c r="AE58" s="496">
        <f t="shared" si="2"/>
        <v>0</v>
      </c>
      <c r="AF58" s="553">
        <f t="shared" si="3"/>
        <v>0</v>
      </c>
    </row>
    <row r="59" spans="1:32" ht="18.75" customHeight="1" x14ac:dyDescent="0.25">
      <c r="A59" s="432"/>
      <c r="B59" s="556">
        <f t="shared" si="4"/>
        <v>40</v>
      </c>
      <c r="C59" s="509">
        <f>'TEMPO - PAY'!C60</f>
        <v>0</v>
      </c>
      <c r="D59" s="509" t="e">
        <f>'TEMPO - PAY'!D60</f>
        <v>#N/A</v>
      </c>
      <c r="E59" s="508">
        <f>'TEMPO - PAY'!E60</f>
        <v>0</v>
      </c>
      <c r="F59" s="502">
        <f>'TEMPO - PAY'!L60</f>
        <v>0</v>
      </c>
      <c r="G59" s="498">
        <f>ROUND('TEMPO - PAY'!I60*0.09,2)</f>
        <v>0</v>
      </c>
      <c r="H59" s="507"/>
      <c r="I59" s="507"/>
      <c r="J59" s="507"/>
      <c r="K59" s="507"/>
      <c r="L59" s="507"/>
      <c r="M59" s="507"/>
      <c r="N59" s="507"/>
      <c r="O59" s="507"/>
      <c r="P59" s="507"/>
      <c r="Q59" s="507"/>
      <c r="R59" s="557">
        <f t="shared" si="0"/>
        <v>0</v>
      </c>
      <c r="S59" s="525"/>
      <c r="T59" s="526"/>
      <c r="U59" s="507"/>
      <c r="V59" s="507"/>
      <c r="W59" s="507"/>
      <c r="X59" s="503">
        <f t="shared" si="1"/>
        <v>0</v>
      </c>
      <c r="Y59" s="502">
        <f>MIN(ROUNDDOWN('TEMPO - PAY'!I60*0.05/2,2),2500)</f>
        <v>0</v>
      </c>
      <c r="Z59" s="525"/>
      <c r="AA59" s="526"/>
      <c r="AB59" s="507"/>
      <c r="AC59" s="507"/>
      <c r="AD59" s="507"/>
      <c r="AE59" s="496">
        <f t="shared" si="2"/>
        <v>0</v>
      </c>
      <c r="AF59" s="553">
        <f t="shared" si="3"/>
        <v>0</v>
      </c>
    </row>
    <row r="60" spans="1:32" ht="18.75" customHeight="1" x14ac:dyDescent="0.25">
      <c r="A60" s="432"/>
      <c r="B60" s="556">
        <f t="shared" si="4"/>
        <v>41</v>
      </c>
      <c r="C60" s="509">
        <f>'TEMPO - PAY'!C61</f>
        <v>0</v>
      </c>
      <c r="D60" s="509" t="e">
        <f>'TEMPO - PAY'!D61</f>
        <v>#N/A</v>
      </c>
      <c r="E60" s="508">
        <f>'TEMPO - PAY'!E61</f>
        <v>0</v>
      </c>
      <c r="F60" s="502">
        <f>'TEMPO - PAY'!L61</f>
        <v>0</v>
      </c>
      <c r="G60" s="498">
        <f>ROUND('TEMPO - PAY'!I61*0.09,2)</f>
        <v>0</v>
      </c>
      <c r="H60" s="507"/>
      <c r="I60" s="507"/>
      <c r="J60" s="507"/>
      <c r="K60" s="507"/>
      <c r="L60" s="507"/>
      <c r="M60" s="507"/>
      <c r="N60" s="507"/>
      <c r="O60" s="507"/>
      <c r="P60" s="507"/>
      <c r="Q60" s="507"/>
      <c r="R60" s="557">
        <f t="shared" si="0"/>
        <v>0</v>
      </c>
      <c r="S60" s="525"/>
      <c r="T60" s="526"/>
      <c r="U60" s="507"/>
      <c r="V60" s="507"/>
      <c r="W60" s="507"/>
      <c r="X60" s="503">
        <f t="shared" si="1"/>
        <v>0</v>
      </c>
      <c r="Y60" s="502">
        <f>MIN(ROUNDDOWN('TEMPO - PAY'!I61*0.05/2,2),2500)</f>
        <v>0</v>
      </c>
      <c r="Z60" s="525"/>
      <c r="AA60" s="526"/>
      <c r="AB60" s="507"/>
      <c r="AC60" s="507"/>
      <c r="AD60" s="507"/>
      <c r="AE60" s="496">
        <f t="shared" si="2"/>
        <v>0</v>
      </c>
      <c r="AF60" s="553">
        <f t="shared" si="3"/>
        <v>0</v>
      </c>
    </row>
    <row r="61" spans="1:32" ht="18.75" customHeight="1" x14ac:dyDescent="0.25">
      <c r="A61" s="432"/>
      <c r="B61" s="556">
        <f t="shared" si="4"/>
        <v>42</v>
      </c>
      <c r="C61" s="509">
        <f>'TEMPO - PAY'!C62</f>
        <v>0</v>
      </c>
      <c r="D61" s="509" t="e">
        <f>'TEMPO - PAY'!D62</f>
        <v>#N/A</v>
      </c>
      <c r="E61" s="508">
        <f>'TEMPO - PAY'!E62</f>
        <v>0</v>
      </c>
      <c r="F61" s="502">
        <f>'TEMPO - PAY'!L62</f>
        <v>0</v>
      </c>
      <c r="G61" s="498">
        <f>ROUND('TEMPO - PAY'!I62*0.09,2)</f>
        <v>0</v>
      </c>
      <c r="H61" s="507"/>
      <c r="I61" s="507"/>
      <c r="J61" s="507"/>
      <c r="K61" s="507"/>
      <c r="L61" s="507"/>
      <c r="M61" s="507"/>
      <c r="N61" s="507"/>
      <c r="O61" s="507"/>
      <c r="P61" s="507"/>
      <c r="Q61" s="507"/>
      <c r="R61" s="557">
        <f t="shared" si="0"/>
        <v>0</v>
      </c>
      <c r="S61" s="525"/>
      <c r="T61" s="526"/>
      <c r="U61" s="507"/>
      <c r="V61" s="507"/>
      <c r="W61" s="507"/>
      <c r="X61" s="503">
        <f t="shared" si="1"/>
        <v>0</v>
      </c>
      <c r="Y61" s="502">
        <f>MIN(ROUNDDOWN('TEMPO - PAY'!I62*0.05/2,2),2500)</f>
        <v>0</v>
      </c>
      <c r="Z61" s="525"/>
      <c r="AA61" s="526"/>
      <c r="AB61" s="507"/>
      <c r="AC61" s="507"/>
      <c r="AD61" s="507"/>
      <c r="AE61" s="496">
        <f t="shared" si="2"/>
        <v>0</v>
      </c>
      <c r="AF61" s="553">
        <f t="shared" si="3"/>
        <v>0</v>
      </c>
    </row>
    <row r="62" spans="1:32" ht="18.75" customHeight="1" x14ac:dyDescent="0.25">
      <c r="A62" s="432"/>
      <c r="B62" s="556">
        <f t="shared" ref="B62:B83" si="5">+B39+1</f>
        <v>21</v>
      </c>
      <c r="C62" s="509">
        <f>'TEMPO - PAY'!C63</f>
        <v>0</v>
      </c>
      <c r="D62" s="509" t="e">
        <f>'TEMPO - PAY'!D63</f>
        <v>#N/A</v>
      </c>
      <c r="E62" s="508">
        <f>'TEMPO - PAY'!E63</f>
        <v>0</v>
      </c>
      <c r="F62" s="502">
        <f>'TEMPO - PAY'!L63</f>
        <v>0</v>
      </c>
      <c r="G62" s="498">
        <f>ROUND('TEMPO - PAY'!I63*0.09,2)</f>
        <v>0</v>
      </c>
      <c r="H62" s="507"/>
      <c r="I62" s="507"/>
      <c r="J62" s="507"/>
      <c r="K62" s="507"/>
      <c r="L62" s="507"/>
      <c r="M62" s="507"/>
      <c r="N62" s="507"/>
      <c r="O62" s="507"/>
      <c r="P62" s="507"/>
      <c r="Q62" s="507"/>
      <c r="R62" s="557">
        <f t="shared" ref="R62:R83" si="6">SUM(G62:Q62)</f>
        <v>0</v>
      </c>
      <c r="S62" s="525"/>
      <c r="T62" s="526"/>
      <c r="U62" s="507"/>
      <c r="V62" s="507"/>
      <c r="W62" s="507"/>
      <c r="X62" s="503">
        <f t="shared" ref="X62:X83" si="7">SUM(S62:W62)</f>
        <v>0</v>
      </c>
      <c r="Y62" s="502">
        <f>MIN(ROUNDDOWN('TEMPO - PAY'!I63*0.05/2,2),2500)</f>
        <v>0</v>
      </c>
      <c r="Z62" s="525"/>
      <c r="AA62" s="526"/>
      <c r="AB62" s="507"/>
      <c r="AC62" s="507"/>
      <c r="AD62" s="507"/>
      <c r="AE62" s="496">
        <f t="shared" ref="AE62:AE83" si="8">SUM(Z62:AD62)</f>
        <v>0</v>
      </c>
      <c r="AF62" s="553">
        <f t="shared" ref="AF62:AF83" si="9">SUM(F62,R62,X62,Y62,AE62)</f>
        <v>0</v>
      </c>
    </row>
    <row r="63" spans="1:32" ht="18.75" customHeight="1" x14ac:dyDescent="0.25">
      <c r="A63" s="432"/>
      <c r="B63" s="556">
        <f t="shared" si="5"/>
        <v>22</v>
      </c>
      <c r="C63" s="509">
        <f>'TEMPO - PAY'!C64</f>
        <v>0</v>
      </c>
      <c r="D63" s="509" t="e">
        <f>'TEMPO - PAY'!D64</f>
        <v>#N/A</v>
      </c>
      <c r="E63" s="508">
        <f>'TEMPO - PAY'!E64</f>
        <v>0</v>
      </c>
      <c r="F63" s="502">
        <f>'TEMPO - PAY'!L64</f>
        <v>0</v>
      </c>
      <c r="G63" s="498">
        <f>ROUND('TEMPO - PAY'!I64*0.09,2)</f>
        <v>0</v>
      </c>
      <c r="H63" s="507"/>
      <c r="I63" s="507"/>
      <c r="J63" s="507"/>
      <c r="K63" s="507"/>
      <c r="L63" s="507"/>
      <c r="M63" s="507"/>
      <c r="N63" s="507"/>
      <c r="O63" s="507"/>
      <c r="P63" s="507"/>
      <c r="Q63" s="507"/>
      <c r="R63" s="557">
        <f t="shared" si="6"/>
        <v>0</v>
      </c>
      <c r="S63" s="525"/>
      <c r="T63" s="526"/>
      <c r="U63" s="507"/>
      <c r="V63" s="507"/>
      <c r="W63" s="507"/>
      <c r="X63" s="503">
        <f t="shared" si="7"/>
        <v>0</v>
      </c>
      <c r="Y63" s="502">
        <f>MIN(ROUNDDOWN('TEMPO - PAY'!I64*0.05/2,2),2500)</f>
        <v>0</v>
      </c>
      <c r="Z63" s="525"/>
      <c r="AA63" s="526"/>
      <c r="AB63" s="507"/>
      <c r="AC63" s="507"/>
      <c r="AD63" s="507"/>
      <c r="AE63" s="496">
        <f t="shared" si="8"/>
        <v>0</v>
      </c>
      <c r="AF63" s="553">
        <f t="shared" si="9"/>
        <v>0</v>
      </c>
    </row>
    <row r="64" spans="1:32" ht="18.75" customHeight="1" x14ac:dyDescent="0.25">
      <c r="A64" s="432"/>
      <c r="B64" s="556">
        <f t="shared" si="5"/>
        <v>23</v>
      </c>
      <c r="C64" s="509">
        <f>'TEMPO - PAY'!C65</f>
        <v>0</v>
      </c>
      <c r="D64" s="509" t="e">
        <f>'TEMPO - PAY'!D65</f>
        <v>#N/A</v>
      </c>
      <c r="E64" s="508">
        <f>'TEMPO - PAY'!E65</f>
        <v>0</v>
      </c>
      <c r="F64" s="502">
        <f>'TEMPO - PAY'!L65</f>
        <v>0</v>
      </c>
      <c r="G64" s="498">
        <f>ROUND('TEMPO - PAY'!I65*0.09,2)</f>
        <v>0</v>
      </c>
      <c r="H64" s="507"/>
      <c r="I64" s="507"/>
      <c r="J64" s="507"/>
      <c r="K64" s="507"/>
      <c r="L64" s="507"/>
      <c r="M64" s="507"/>
      <c r="N64" s="507"/>
      <c r="O64" s="507"/>
      <c r="P64" s="507"/>
      <c r="Q64" s="507"/>
      <c r="R64" s="557">
        <f t="shared" si="6"/>
        <v>0</v>
      </c>
      <c r="S64" s="525"/>
      <c r="T64" s="526"/>
      <c r="U64" s="507"/>
      <c r="V64" s="507"/>
      <c r="W64" s="507"/>
      <c r="X64" s="503">
        <f t="shared" si="7"/>
        <v>0</v>
      </c>
      <c r="Y64" s="502">
        <f>MIN(ROUNDDOWN('TEMPO - PAY'!I65*0.05/2,2),2500)</f>
        <v>0</v>
      </c>
      <c r="Z64" s="525"/>
      <c r="AA64" s="526"/>
      <c r="AB64" s="507"/>
      <c r="AC64" s="507"/>
      <c r="AD64" s="507"/>
      <c r="AE64" s="496">
        <f t="shared" si="8"/>
        <v>0</v>
      </c>
      <c r="AF64" s="553">
        <f t="shared" si="9"/>
        <v>0</v>
      </c>
    </row>
    <row r="65" spans="1:32" ht="18.75" customHeight="1" x14ac:dyDescent="0.25">
      <c r="A65" s="432"/>
      <c r="B65" s="556">
        <f t="shared" si="5"/>
        <v>24</v>
      </c>
      <c r="C65" s="509">
        <f>'TEMPO - PAY'!C66</f>
        <v>0</v>
      </c>
      <c r="D65" s="509" t="e">
        <f>'TEMPO - PAY'!D66</f>
        <v>#N/A</v>
      </c>
      <c r="E65" s="508">
        <f>'TEMPO - PAY'!E66</f>
        <v>0</v>
      </c>
      <c r="F65" s="502">
        <f>'TEMPO - PAY'!L66</f>
        <v>0</v>
      </c>
      <c r="G65" s="498">
        <f>ROUND('TEMPO - PAY'!I66*0.09,2)</f>
        <v>0</v>
      </c>
      <c r="H65" s="507"/>
      <c r="I65" s="507"/>
      <c r="J65" s="507"/>
      <c r="K65" s="507"/>
      <c r="L65" s="507"/>
      <c r="M65" s="507"/>
      <c r="N65" s="507"/>
      <c r="O65" s="507"/>
      <c r="P65" s="507"/>
      <c r="Q65" s="507"/>
      <c r="R65" s="557">
        <f t="shared" si="6"/>
        <v>0</v>
      </c>
      <c r="S65" s="525"/>
      <c r="T65" s="526"/>
      <c r="U65" s="507"/>
      <c r="V65" s="507"/>
      <c r="W65" s="507"/>
      <c r="X65" s="503">
        <f t="shared" si="7"/>
        <v>0</v>
      </c>
      <c r="Y65" s="502">
        <f>MIN(ROUNDDOWN('TEMPO - PAY'!I66*0.05/2,2),2500)</f>
        <v>0</v>
      </c>
      <c r="Z65" s="525"/>
      <c r="AA65" s="526"/>
      <c r="AB65" s="507"/>
      <c r="AC65" s="507"/>
      <c r="AD65" s="507"/>
      <c r="AE65" s="496">
        <f t="shared" si="8"/>
        <v>0</v>
      </c>
      <c r="AF65" s="553">
        <f t="shared" si="9"/>
        <v>0</v>
      </c>
    </row>
    <row r="66" spans="1:32" ht="18.75" customHeight="1" x14ac:dyDescent="0.25">
      <c r="A66" s="432"/>
      <c r="B66" s="556">
        <f t="shared" si="5"/>
        <v>25</v>
      </c>
      <c r="C66" s="509">
        <f>'TEMPO - PAY'!C67</f>
        <v>0</v>
      </c>
      <c r="D66" s="509" t="e">
        <f>'TEMPO - PAY'!D67</f>
        <v>#N/A</v>
      </c>
      <c r="E66" s="508">
        <f>'TEMPO - PAY'!E67</f>
        <v>0</v>
      </c>
      <c r="F66" s="502">
        <f>'TEMPO - PAY'!L67</f>
        <v>0</v>
      </c>
      <c r="G66" s="498">
        <f>ROUND('TEMPO - PAY'!I67*0.09,2)</f>
        <v>0</v>
      </c>
      <c r="H66" s="507"/>
      <c r="I66" s="507"/>
      <c r="J66" s="507"/>
      <c r="K66" s="507"/>
      <c r="L66" s="507"/>
      <c r="M66" s="507"/>
      <c r="N66" s="507"/>
      <c r="O66" s="507"/>
      <c r="P66" s="507"/>
      <c r="Q66" s="507"/>
      <c r="R66" s="557">
        <f t="shared" si="6"/>
        <v>0</v>
      </c>
      <c r="S66" s="525"/>
      <c r="T66" s="526"/>
      <c r="U66" s="507"/>
      <c r="V66" s="507"/>
      <c r="W66" s="507"/>
      <c r="X66" s="503">
        <f t="shared" si="7"/>
        <v>0</v>
      </c>
      <c r="Y66" s="502">
        <f>MIN(ROUNDDOWN('TEMPO - PAY'!I67*0.05/2,2),2500)</f>
        <v>0</v>
      </c>
      <c r="Z66" s="525"/>
      <c r="AA66" s="526"/>
      <c r="AB66" s="507"/>
      <c r="AC66" s="507"/>
      <c r="AD66" s="507"/>
      <c r="AE66" s="496">
        <f t="shared" si="8"/>
        <v>0</v>
      </c>
      <c r="AF66" s="553">
        <f t="shared" si="9"/>
        <v>0</v>
      </c>
    </row>
    <row r="67" spans="1:32" ht="18.75" customHeight="1" x14ac:dyDescent="0.25">
      <c r="A67" s="432"/>
      <c r="B67" s="556">
        <f t="shared" si="5"/>
        <v>26</v>
      </c>
      <c r="C67" s="509">
        <f>'TEMPO - PAY'!C68</f>
        <v>0</v>
      </c>
      <c r="D67" s="509" t="e">
        <f>'TEMPO - PAY'!D68</f>
        <v>#N/A</v>
      </c>
      <c r="E67" s="508">
        <f>'TEMPO - PAY'!E68</f>
        <v>0</v>
      </c>
      <c r="F67" s="502">
        <f>'TEMPO - PAY'!L68</f>
        <v>0</v>
      </c>
      <c r="G67" s="498">
        <f>ROUND('TEMPO - PAY'!I68*0.09,2)</f>
        <v>0</v>
      </c>
      <c r="H67" s="507"/>
      <c r="I67" s="507"/>
      <c r="J67" s="507"/>
      <c r="K67" s="507"/>
      <c r="L67" s="507"/>
      <c r="M67" s="507"/>
      <c r="N67" s="507"/>
      <c r="O67" s="507"/>
      <c r="P67" s="507"/>
      <c r="Q67" s="507"/>
      <c r="R67" s="557">
        <f t="shared" si="6"/>
        <v>0</v>
      </c>
      <c r="S67" s="525"/>
      <c r="T67" s="526"/>
      <c r="U67" s="507"/>
      <c r="V67" s="507"/>
      <c r="W67" s="507"/>
      <c r="X67" s="503">
        <f t="shared" si="7"/>
        <v>0</v>
      </c>
      <c r="Y67" s="502">
        <f>MIN(ROUNDDOWN('TEMPO - PAY'!I68*0.05/2,2),2500)</f>
        <v>0</v>
      </c>
      <c r="Z67" s="525"/>
      <c r="AA67" s="526"/>
      <c r="AB67" s="507"/>
      <c r="AC67" s="507"/>
      <c r="AD67" s="507"/>
      <c r="AE67" s="496">
        <f t="shared" si="8"/>
        <v>0</v>
      </c>
      <c r="AF67" s="553">
        <f t="shared" si="9"/>
        <v>0</v>
      </c>
    </row>
    <row r="68" spans="1:32" ht="18.75" customHeight="1" x14ac:dyDescent="0.25">
      <c r="A68" s="432"/>
      <c r="B68" s="556">
        <f t="shared" si="5"/>
        <v>27</v>
      </c>
      <c r="C68" s="509">
        <f>'TEMPO - PAY'!C69</f>
        <v>0</v>
      </c>
      <c r="D68" s="509" t="e">
        <f>'TEMPO - PAY'!D69</f>
        <v>#N/A</v>
      </c>
      <c r="E68" s="508">
        <f>'TEMPO - PAY'!E69</f>
        <v>0</v>
      </c>
      <c r="F68" s="502">
        <f>'TEMPO - PAY'!L69</f>
        <v>0</v>
      </c>
      <c r="G68" s="498">
        <f>ROUND('TEMPO - PAY'!I69*0.09,2)</f>
        <v>0</v>
      </c>
      <c r="H68" s="507"/>
      <c r="I68" s="507"/>
      <c r="J68" s="507"/>
      <c r="K68" s="507"/>
      <c r="L68" s="507"/>
      <c r="M68" s="507"/>
      <c r="N68" s="507"/>
      <c r="O68" s="507"/>
      <c r="P68" s="507"/>
      <c r="Q68" s="507"/>
      <c r="R68" s="557">
        <f t="shared" si="6"/>
        <v>0</v>
      </c>
      <c r="S68" s="525"/>
      <c r="T68" s="526"/>
      <c r="U68" s="507"/>
      <c r="V68" s="507"/>
      <c r="W68" s="507"/>
      <c r="X68" s="503">
        <f t="shared" si="7"/>
        <v>0</v>
      </c>
      <c r="Y68" s="502">
        <f>MIN(ROUNDDOWN('TEMPO - PAY'!I69*0.05/2,2),2500)</f>
        <v>0</v>
      </c>
      <c r="Z68" s="525"/>
      <c r="AA68" s="526"/>
      <c r="AB68" s="507"/>
      <c r="AC68" s="507"/>
      <c r="AD68" s="507"/>
      <c r="AE68" s="496">
        <f t="shared" si="8"/>
        <v>0</v>
      </c>
      <c r="AF68" s="553">
        <f t="shared" si="9"/>
        <v>0</v>
      </c>
    </row>
    <row r="69" spans="1:32" ht="18.75" customHeight="1" x14ac:dyDescent="0.25">
      <c r="A69" s="432"/>
      <c r="B69" s="556">
        <f t="shared" si="5"/>
        <v>28</v>
      </c>
      <c r="C69" s="509">
        <f>'TEMPO - PAY'!C70</f>
        <v>0</v>
      </c>
      <c r="D69" s="509" t="e">
        <f>'TEMPO - PAY'!D70</f>
        <v>#N/A</v>
      </c>
      <c r="E69" s="508">
        <f>'TEMPO - PAY'!E70</f>
        <v>0</v>
      </c>
      <c r="F69" s="502">
        <f>'TEMPO - PAY'!L70</f>
        <v>0</v>
      </c>
      <c r="G69" s="498">
        <f>ROUND('TEMPO - PAY'!I70*0.09,2)</f>
        <v>0</v>
      </c>
      <c r="H69" s="507"/>
      <c r="I69" s="507"/>
      <c r="J69" s="507"/>
      <c r="K69" s="507"/>
      <c r="L69" s="507"/>
      <c r="M69" s="507"/>
      <c r="N69" s="507"/>
      <c r="O69" s="507"/>
      <c r="P69" s="507"/>
      <c r="Q69" s="507"/>
      <c r="R69" s="557">
        <f t="shared" si="6"/>
        <v>0</v>
      </c>
      <c r="S69" s="525"/>
      <c r="T69" s="526"/>
      <c r="U69" s="507"/>
      <c r="V69" s="507"/>
      <c r="W69" s="507"/>
      <c r="X69" s="503">
        <f t="shared" si="7"/>
        <v>0</v>
      </c>
      <c r="Y69" s="502">
        <f>MIN(ROUNDDOWN('TEMPO - PAY'!I70*0.05/2,2),2500)</f>
        <v>0</v>
      </c>
      <c r="Z69" s="525"/>
      <c r="AA69" s="526"/>
      <c r="AB69" s="507"/>
      <c r="AC69" s="507"/>
      <c r="AD69" s="507"/>
      <c r="AE69" s="496">
        <f t="shared" si="8"/>
        <v>0</v>
      </c>
      <c r="AF69" s="553">
        <f t="shared" si="9"/>
        <v>0</v>
      </c>
    </row>
    <row r="70" spans="1:32" ht="18.75" customHeight="1" x14ac:dyDescent="0.25">
      <c r="A70" s="432"/>
      <c r="B70" s="556">
        <f t="shared" si="5"/>
        <v>29</v>
      </c>
      <c r="C70" s="509">
        <f>'TEMPO - PAY'!C71</f>
        <v>0</v>
      </c>
      <c r="D70" s="509" t="e">
        <f>'TEMPO - PAY'!D71</f>
        <v>#N/A</v>
      </c>
      <c r="E70" s="508">
        <f>'TEMPO - PAY'!E71</f>
        <v>0</v>
      </c>
      <c r="F70" s="502">
        <f>'TEMPO - PAY'!L71</f>
        <v>0</v>
      </c>
      <c r="G70" s="498">
        <f>ROUND('TEMPO - PAY'!I71*0.09,2)</f>
        <v>0</v>
      </c>
      <c r="H70" s="507"/>
      <c r="I70" s="507"/>
      <c r="J70" s="507"/>
      <c r="K70" s="507"/>
      <c r="L70" s="507"/>
      <c r="M70" s="507"/>
      <c r="N70" s="507"/>
      <c r="O70" s="507"/>
      <c r="P70" s="507"/>
      <c r="Q70" s="507"/>
      <c r="R70" s="557">
        <f t="shared" si="6"/>
        <v>0</v>
      </c>
      <c r="S70" s="525"/>
      <c r="T70" s="526"/>
      <c r="U70" s="507"/>
      <c r="V70" s="507"/>
      <c r="W70" s="507"/>
      <c r="X70" s="503">
        <f t="shared" si="7"/>
        <v>0</v>
      </c>
      <c r="Y70" s="502">
        <f>MIN(ROUNDDOWN('TEMPO - PAY'!I71*0.05/2,2),2500)</f>
        <v>0</v>
      </c>
      <c r="Z70" s="525"/>
      <c r="AA70" s="526"/>
      <c r="AB70" s="507"/>
      <c r="AC70" s="507"/>
      <c r="AD70" s="507"/>
      <c r="AE70" s="496">
        <f t="shared" si="8"/>
        <v>0</v>
      </c>
      <c r="AF70" s="553">
        <f t="shared" si="9"/>
        <v>0</v>
      </c>
    </row>
    <row r="71" spans="1:32" ht="18.75" customHeight="1" x14ac:dyDescent="0.25">
      <c r="A71" s="432"/>
      <c r="B71" s="556">
        <f t="shared" si="5"/>
        <v>30</v>
      </c>
      <c r="C71" s="509">
        <f>'TEMPO - PAY'!C72</f>
        <v>0</v>
      </c>
      <c r="D71" s="509" t="e">
        <f>'TEMPO - PAY'!D72</f>
        <v>#N/A</v>
      </c>
      <c r="E71" s="508">
        <f>'TEMPO - PAY'!E72</f>
        <v>0</v>
      </c>
      <c r="F71" s="502">
        <f>'TEMPO - PAY'!L72</f>
        <v>0</v>
      </c>
      <c r="G71" s="498">
        <f>ROUND('TEMPO - PAY'!I72*0.09,2)</f>
        <v>0</v>
      </c>
      <c r="H71" s="507"/>
      <c r="I71" s="507"/>
      <c r="J71" s="507"/>
      <c r="K71" s="507"/>
      <c r="L71" s="507"/>
      <c r="M71" s="507"/>
      <c r="N71" s="507"/>
      <c r="O71" s="507"/>
      <c r="P71" s="507"/>
      <c r="Q71" s="507"/>
      <c r="R71" s="557">
        <f t="shared" si="6"/>
        <v>0</v>
      </c>
      <c r="S71" s="525"/>
      <c r="T71" s="526"/>
      <c r="U71" s="507"/>
      <c r="V71" s="507"/>
      <c r="W71" s="507"/>
      <c r="X71" s="503">
        <f t="shared" si="7"/>
        <v>0</v>
      </c>
      <c r="Y71" s="502">
        <f>MIN(ROUNDDOWN('TEMPO - PAY'!I72*0.05/2,2),2500)</f>
        <v>0</v>
      </c>
      <c r="Z71" s="525"/>
      <c r="AA71" s="526"/>
      <c r="AB71" s="507"/>
      <c r="AC71" s="507"/>
      <c r="AD71" s="507"/>
      <c r="AE71" s="496">
        <f t="shared" si="8"/>
        <v>0</v>
      </c>
      <c r="AF71" s="553">
        <f t="shared" si="9"/>
        <v>0</v>
      </c>
    </row>
    <row r="72" spans="1:32" ht="18.75" customHeight="1" x14ac:dyDescent="0.25">
      <c r="A72" s="432"/>
      <c r="B72" s="556">
        <f t="shared" si="5"/>
        <v>31</v>
      </c>
      <c r="C72" s="509">
        <f>'TEMPO - PAY'!C73</f>
        <v>0</v>
      </c>
      <c r="D72" s="509" t="e">
        <f>'TEMPO - PAY'!D73</f>
        <v>#N/A</v>
      </c>
      <c r="E72" s="508">
        <f>'TEMPO - PAY'!E73</f>
        <v>0</v>
      </c>
      <c r="F72" s="502">
        <f>'TEMPO - PAY'!L73</f>
        <v>0</v>
      </c>
      <c r="G72" s="498">
        <f>ROUND('TEMPO - PAY'!I73*0.09,2)</f>
        <v>0</v>
      </c>
      <c r="H72" s="507"/>
      <c r="I72" s="507"/>
      <c r="J72" s="507"/>
      <c r="K72" s="507"/>
      <c r="L72" s="507"/>
      <c r="M72" s="507"/>
      <c r="N72" s="507"/>
      <c r="O72" s="507"/>
      <c r="P72" s="507"/>
      <c r="Q72" s="507"/>
      <c r="R72" s="557">
        <f t="shared" si="6"/>
        <v>0</v>
      </c>
      <c r="S72" s="525"/>
      <c r="T72" s="526"/>
      <c r="U72" s="507"/>
      <c r="V72" s="507"/>
      <c r="W72" s="507"/>
      <c r="X72" s="503">
        <f t="shared" si="7"/>
        <v>0</v>
      </c>
      <c r="Y72" s="502">
        <f>MIN(ROUNDDOWN('TEMPO - PAY'!I73*0.05/2,2),2500)</f>
        <v>0</v>
      </c>
      <c r="Z72" s="525"/>
      <c r="AA72" s="526"/>
      <c r="AB72" s="507"/>
      <c r="AC72" s="507"/>
      <c r="AD72" s="507"/>
      <c r="AE72" s="496">
        <f t="shared" si="8"/>
        <v>0</v>
      </c>
      <c r="AF72" s="553">
        <f t="shared" si="9"/>
        <v>0</v>
      </c>
    </row>
    <row r="73" spans="1:32" ht="18.75" customHeight="1" x14ac:dyDescent="0.25">
      <c r="A73" s="432"/>
      <c r="B73" s="556">
        <f t="shared" si="5"/>
        <v>32</v>
      </c>
      <c r="C73" s="509">
        <f>'TEMPO - PAY'!C74</f>
        <v>0</v>
      </c>
      <c r="D73" s="509" t="e">
        <f>'TEMPO - PAY'!D74</f>
        <v>#N/A</v>
      </c>
      <c r="E73" s="508">
        <f>'TEMPO - PAY'!E74</f>
        <v>0</v>
      </c>
      <c r="F73" s="502">
        <f>'TEMPO - PAY'!L74</f>
        <v>0</v>
      </c>
      <c r="G73" s="498">
        <f>ROUND('TEMPO - PAY'!I74*0.09,2)</f>
        <v>0</v>
      </c>
      <c r="H73" s="507"/>
      <c r="I73" s="507"/>
      <c r="J73" s="507"/>
      <c r="K73" s="507"/>
      <c r="L73" s="507"/>
      <c r="M73" s="507"/>
      <c r="N73" s="507"/>
      <c r="O73" s="507"/>
      <c r="P73" s="507"/>
      <c r="Q73" s="507"/>
      <c r="R73" s="557">
        <f t="shared" si="6"/>
        <v>0</v>
      </c>
      <c r="S73" s="525"/>
      <c r="T73" s="526"/>
      <c r="U73" s="507"/>
      <c r="V73" s="507"/>
      <c r="W73" s="507"/>
      <c r="X73" s="503">
        <f t="shared" si="7"/>
        <v>0</v>
      </c>
      <c r="Y73" s="502">
        <f>MIN(ROUNDDOWN('TEMPO - PAY'!I74*0.05/2,2),2500)</f>
        <v>0</v>
      </c>
      <c r="Z73" s="525"/>
      <c r="AA73" s="526"/>
      <c r="AB73" s="507"/>
      <c r="AC73" s="507"/>
      <c r="AD73" s="507"/>
      <c r="AE73" s="496">
        <f t="shared" si="8"/>
        <v>0</v>
      </c>
      <c r="AF73" s="553">
        <f t="shared" si="9"/>
        <v>0</v>
      </c>
    </row>
    <row r="74" spans="1:32" ht="18.75" customHeight="1" x14ac:dyDescent="0.25">
      <c r="A74" s="432"/>
      <c r="B74" s="556">
        <f t="shared" si="5"/>
        <v>33</v>
      </c>
      <c r="C74" s="509">
        <f>'TEMPO - PAY'!C75</f>
        <v>0</v>
      </c>
      <c r="D74" s="509" t="e">
        <f>'TEMPO - PAY'!D75</f>
        <v>#N/A</v>
      </c>
      <c r="E74" s="508">
        <f>'TEMPO - PAY'!E75</f>
        <v>0</v>
      </c>
      <c r="F74" s="502">
        <f>'TEMPO - PAY'!L75</f>
        <v>0</v>
      </c>
      <c r="G74" s="498">
        <f>ROUND('TEMPO - PAY'!I75*0.09,2)</f>
        <v>0</v>
      </c>
      <c r="H74" s="507"/>
      <c r="I74" s="507"/>
      <c r="J74" s="507"/>
      <c r="K74" s="507"/>
      <c r="L74" s="507"/>
      <c r="M74" s="507"/>
      <c r="N74" s="507"/>
      <c r="O74" s="507"/>
      <c r="P74" s="507"/>
      <c r="Q74" s="507"/>
      <c r="R74" s="557">
        <f t="shared" si="6"/>
        <v>0</v>
      </c>
      <c r="S74" s="525"/>
      <c r="T74" s="526"/>
      <c r="U74" s="507"/>
      <c r="V74" s="507"/>
      <c r="W74" s="507"/>
      <c r="X74" s="503">
        <f t="shared" si="7"/>
        <v>0</v>
      </c>
      <c r="Y74" s="502">
        <f>MIN(ROUNDDOWN('TEMPO - PAY'!I75*0.05/2,2),2500)</f>
        <v>0</v>
      </c>
      <c r="Z74" s="525"/>
      <c r="AA74" s="526"/>
      <c r="AB74" s="507"/>
      <c r="AC74" s="507"/>
      <c r="AD74" s="507"/>
      <c r="AE74" s="496">
        <f t="shared" si="8"/>
        <v>0</v>
      </c>
      <c r="AF74" s="553">
        <f t="shared" si="9"/>
        <v>0</v>
      </c>
    </row>
    <row r="75" spans="1:32" ht="18.75" customHeight="1" x14ac:dyDescent="0.25">
      <c r="A75" s="432"/>
      <c r="B75" s="556">
        <f t="shared" si="5"/>
        <v>34</v>
      </c>
      <c r="C75" s="509">
        <f>'TEMPO - PAY'!C76</f>
        <v>0</v>
      </c>
      <c r="D75" s="509" t="e">
        <f>'TEMPO - PAY'!D76</f>
        <v>#N/A</v>
      </c>
      <c r="E75" s="508">
        <f>'TEMPO - PAY'!E76</f>
        <v>0</v>
      </c>
      <c r="F75" s="502">
        <f>'TEMPO - PAY'!L76</f>
        <v>0</v>
      </c>
      <c r="G75" s="498">
        <f>ROUND('TEMPO - PAY'!I76*0.09,2)</f>
        <v>0</v>
      </c>
      <c r="H75" s="507"/>
      <c r="I75" s="507"/>
      <c r="J75" s="507"/>
      <c r="K75" s="507"/>
      <c r="L75" s="507"/>
      <c r="M75" s="507"/>
      <c r="N75" s="507"/>
      <c r="O75" s="507"/>
      <c r="P75" s="507"/>
      <c r="Q75" s="507"/>
      <c r="R75" s="557">
        <f t="shared" si="6"/>
        <v>0</v>
      </c>
      <c r="S75" s="525"/>
      <c r="T75" s="526"/>
      <c r="U75" s="507"/>
      <c r="V75" s="507"/>
      <c r="W75" s="507"/>
      <c r="X75" s="503">
        <f t="shared" si="7"/>
        <v>0</v>
      </c>
      <c r="Y75" s="502">
        <f>MIN(ROUNDDOWN('TEMPO - PAY'!I76*0.05/2,2),2500)</f>
        <v>0</v>
      </c>
      <c r="Z75" s="525"/>
      <c r="AA75" s="526"/>
      <c r="AB75" s="507"/>
      <c r="AC75" s="507"/>
      <c r="AD75" s="507"/>
      <c r="AE75" s="496">
        <f t="shared" si="8"/>
        <v>0</v>
      </c>
      <c r="AF75" s="553">
        <f t="shared" si="9"/>
        <v>0</v>
      </c>
    </row>
    <row r="76" spans="1:32" ht="18.75" customHeight="1" x14ac:dyDescent="0.25">
      <c r="A76" s="432"/>
      <c r="B76" s="556">
        <f t="shared" si="5"/>
        <v>35</v>
      </c>
      <c r="C76" s="509">
        <f>'TEMPO - PAY'!C77</f>
        <v>0</v>
      </c>
      <c r="D76" s="509" t="e">
        <f>'TEMPO - PAY'!D77</f>
        <v>#N/A</v>
      </c>
      <c r="E76" s="508">
        <f>'TEMPO - PAY'!E77</f>
        <v>0</v>
      </c>
      <c r="F76" s="502">
        <f>'TEMPO - PAY'!L77</f>
        <v>0</v>
      </c>
      <c r="G76" s="498">
        <f>ROUND('TEMPO - PAY'!I77*0.09,2)</f>
        <v>0</v>
      </c>
      <c r="H76" s="507"/>
      <c r="I76" s="507"/>
      <c r="J76" s="507"/>
      <c r="K76" s="507"/>
      <c r="L76" s="507"/>
      <c r="M76" s="507"/>
      <c r="N76" s="507"/>
      <c r="O76" s="507"/>
      <c r="P76" s="507"/>
      <c r="Q76" s="507"/>
      <c r="R76" s="557">
        <f t="shared" si="6"/>
        <v>0</v>
      </c>
      <c r="S76" s="525"/>
      <c r="T76" s="526"/>
      <c r="U76" s="507"/>
      <c r="V76" s="507"/>
      <c r="W76" s="507"/>
      <c r="X76" s="503">
        <f t="shared" si="7"/>
        <v>0</v>
      </c>
      <c r="Y76" s="502">
        <f>MIN(ROUNDDOWN('TEMPO - PAY'!I77*0.05/2,2),2500)</f>
        <v>0</v>
      </c>
      <c r="Z76" s="525"/>
      <c r="AA76" s="526"/>
      <c r="AB76" s="507"/>
      <c r="AC76" s="507"/>
      <c r="AD76" s="507"/>
      <c r="AE76" s="496">
        <f t="shared" si="8"/>
        <v>0</v>
      </c>
      <c r="AF76" s="553">
        <f t="shared" si="9"/>
        <v>0</v>
      </c>
    </row>
    <row r="77" spans="1:32" ht="18.75" customHeight="1" x14ac:dyDescent="0.25">
      <c r="A77" s="432"/>
      <c r="B77" s="556">
        <f t="shared" si="5"/>
        <v>36</v>
      </c>
      <c r="C77" s="509">
        <f>'TEMPO - PAY'!C78</f>
        <v>0</v>
      </c>
      <c r="D77" s="509" t="e">
        <f>'TEMPO - PAY'!D78</f>
        <v>#N/A</v>
      </c>
      <c r="E77" s="508">
        <f>'TEMPO - PAY'!E78</f>
        <v>0</v>
      </c>
      <c r="F77" s="502">
        <f>'TEMPO - PAY'!L78</f>
        <v>0</v>
      </c>
      <c r="G77" s="498">
        <f>ROUND('TEMPO - PAY'!I78*0.09,2)</f>
        <v>0</v>
      </c>
      <c r="H77" s="507"/>
      <c r="I77" s="507"/>
      <c r="J77" s="507"/>
      <c r="K77" s="507"/>
      <c r="L77" s="507"/>
      <c r="M77" s="507"/>
      <c r="N77" s="507"/>
      <c r="O77" s="507"/>
      <c r="P77" s="507"/>
      <c r="Q77" s="507"/>
      <c r="R77" s="557">
        <f t="shared" si="6"/>
        <v>0</v>
      </c>
      <c r="S77" s="525"/>
      <c r="T77" s="526"/>
      <c r="U77" s="507"/>
      <c r="V77" s="507"/>
      <c r="W77" s="507"/>
      <c r="X77" s="503">
        <f t="shared" si="7"/>
        <v>0</v>
      </c>
      <c r="Y77" s="502">
        <f>MIN(ROUNDDOWN('TEMPO - PAY'!I78*0.05/2,2),2500)</f>
        <v>0</v>
      </c>
      <c r="Z77" s="525"/>
      <c r="AA77" s="526"/>
      <c r="AB77" s="507"/>
      <c r="AC77" s="507"/>
      <c r="AD77" s="507"/>
      <c r="AE77" s="496">
        <f t="shared" si="8"/>
        <v>0</v>
      </c>
      <c r="AF77" s="553">
        <f t="shared" si="9"/>
        <v>0</v>
      </c>
    </row>
    <row r="78" spans="1:32" ht="18.75" customHeight="1" x14ac:dyDescent="0.25">
      <c r="A78" s="432"/>
      <c r="B78" s="556">
        <f t="shared" si="5"/>
        <v>37</v>
      </c>
      <c r="C78" s="509">
        <f>'TEMPO - PAY'!C79</f>
        <v>0</v>
      </c>
      <c r="D78" s="509" t="e">
        <f>'TEMPO - PAY'!D79</f>
        <v>#N/A</v>
      </c>
      <c r="E78" s="508">
        <f>'TEMPO - PAY'!E79</f>
        <v>0</v>
      </c>
      <c r="F78" s="502">
        <f>'TEMPO - PAY'!L79</f>
        <v>0</v>
      </c>
      <c r="G78" s="498">
        <f>ROUND('TEMPO - PAY'!I79*0.09,2)</f>
        <v>0</v>
      </c>
      <c r="H78" s="507"/>
      <c r="I78" s="507"/>
      <c r="J78" s="507"/>
      <c r="K78" s="507"/>
      <c r="L78" s="507"/>
      <c r="M78" s="507"/>
      <c r="N78" s="507"/>
      <c r="O78" s="507"/>
      <c r="P78" s="507"/>
      <c r="Q78" s="507"/>
      <c r="R78" s="557">
        <f t="shared" si="6"/>
        <v>0</v>
      </c>
      <c r="S78" s="525"/>
      <c r="T78" s="526"/>
      <c r="U78" s="507"/>
      <c r="V78" s="507"/>
      <c r="W78" s="507"/>
      <c r="X78" s="503">
        <f t="shared" si="7"/>
        <v>0</v>
      </c>
      <c r="Y78" s="502">
        <f>MIN(ROUNDDOWN('TEMPO - PAY'!I79*0.05/2,2),2500)</f>
        <v>0</v>
      </c>
      <c r="Z78" s="525"/>
      <c r="AA78" s="526"/>
      <c r="AB78" s="507"/>
      <c r="AC78" s="507"/>
      <c r="AD78" s="507"/>
      <c r="AE78" s="496">
        <f t="shared" si="8"/>
        <v>0</v>
      </c>
      <c r="AF78" s="553">
        <f t="shared" si="9"/>
        <v>0</v>
      </c>
    </row>
    <row r="79" spans="1:32" ht="18.75" customHeight="1" x14ac:dyDescent="0.25">
      <c r="A79" s="432"/>
      <c r="B79" s="556">
        <f t="shared" si="5"/>
        <v>38</v>
      </c>
      <c r="C79" s="509">
        <f>'TEMPO - PAY'!C80</f>
        <v>0</v>
      </c>
      <c r="D79" s="509" t="e">
        <f>'TEMPO - PAY'!D80</f>
        <v>#N/A</v>
      </c>
      <c r="E79" s="508">
        <f>'TEMPO - PAY'!E80</f>
        <v>0</v>
      </c>
      <c r="F79" s="502">
        <f>'TEMPO - PAY'!L80</f>
        <v>0</v>
      </c>
      <c r="G79" s="498">
        <f>ROUND('TEMPO - PAY'!I80*0.09,2)</f>
        <v>0</v>
      </c>
      <c r="H79" s="507"/>
      <c r="I79" s="507"/>
      <c r="J79" s="507"/>
      <c r="K79" s="507"/>
      <c r="L79" s="507"/>
      <c r="M79" s="507"/>
      <c r="N79" s="507"/>
      <c r="O79" s="507"/>
      <c r="P79" s="507"/>
      <c r="Q79" s="507"/>
      <c r="R79" s="557">
        <f t="shared" si="6"/>
        <v>0</v>
      </c>
      <c r="S79" s="525"/>
      <c r="T79" s="526"/>
      <c r="U79" s="507"/>
      <c r="V79" s="507"/>
      <c r="W79" s="507"/>
      <c r="X79" s="503">
        <f t="shared" si="7"/>
        <v>0</v>
      </c>
      <c r="Y79" s="502">
        <f>MIN(ROUNDDOWN('TEMPO - PAY'!I80*0.05/2,2),2500)</f>
        <v>0</v>
      </c>
      <c r="Z79" s="525"/>
      <c r="AA79" s="526"/>
      <c r="AB79" s="507"/>
      <c r="AC79" s="507"/>
      <c r="AD79" s="507"/>
      <c r="AE79" s="496">
        <f t="shared" si="8"/>
        <v>0</v>
      </c>
      <c r="AF79" s="553">
        <f t="shared" si="9"/>
        <v>0</v>
      </c>
    </row>
    <row r="80" spans="1:32" ht="18.75" customHeight="1" x14ac:dyDescent="0.25">
      <c r="A80" s="432"/>
      <c r="B80" s="556">
        <f t="shared" si="5"/>
        <v>39</v>
      </c>
      <c r="C80" s="509">
        <f>'TEMPO - PAY'!C81</f>
        <v>0</v>
      </c>
      <c r="D80" s="509" t="e">
        <f>'TEMPO - PAY'!D81</f>
        <v>#N/A</v>
      </c>
      <c r="E80" s="508">
        <f>'TEMPO - PAY'!E81</f>
        <v>0</v>
      </c>
      <c r="F80" s="502">
        <f>'TEMPO - PAY'!L81</f>
        <v>0</v>
      </c>
      <c r="G80" s="498">
        <f>ROUND('TEMPO - PAY'!I81*0.09,2)</f>
        <v>0</v>
      </c>
      <c r="H80" s="507"/>
      <c r="I80" s="507"/>
      <c r="J80" s="507"/>
      <c r="K80" s="507"/>
      <c r="L80" s="507"/>
      <c r="M80" s="507"/>
      <c r="N80" s="507"/>
      <c r="O80" s="507"/>
      <c r="P80" s="507"/>
      <c r="Q80" s="507"/>
      <c r="R80" s="557">
        <f t="shared" si="6"/>
        <v>0</v>
      </c>
      <c r="S80" s="525"/>
      <c r="T80" s="526"/>
      <c r="U80" s="507"/>
      <c r="V80" s="507"/>
      <c r="W80" s="507"/>
      <c r="X80" s="503">
        <f t="shared" si="7"/>
        <v>0</v>
      </c>
      <c r="Y80" s="502">
        <f>MIN(ROUNDDOWN('TEMPO - PAY'!I81*0.05/2,2),2500)</f>
        <v>0</v>
      </c>
      <c r="Z80" s="525"/>
      <c r="AA80" s="526"/>
      <c r="AB80" s="507"/>
      <c r="AC80" s="507"/>
      <c r="AD80" s="507"/>
      <c r="AE80" s="496">
        <f t="shared" si="8"/>
        <v>0</v>
      </c>
      <c r="AF80" s="553">
        <f t="shared" si="9"/>
        <v>0</v>
      </c>
    </row>
    <row r="81" spans="1:32" ht="18.75" customHeight="1" x14ac:dyDescent="0.25">
      <c r="A81" s="432"/>
      <c r="B81" s="556">
        <f t="shared" si="5"/>
        <v>40</v>
      </c>
      <c r="C81" s="509">
        <f>'TEMPO - PAY'!C82</f>
        <v>0</v>
      </c>
      <c r="D81" s="509" t="e">
        <f>'TEMPO - PAY'!D82</f>
        <v>#N/A</v>
      </c>
      <c r="E81" s="508">
        <f>'TEMPO - PAY'!E82</f>
        <v>0</v>
      </c>
      <c r="F81" s="502">
        <f>'TEMPO - PAY'!L82</f>
        <v>0</v>
      </c>
      <c r="G81" s="498">
        <f>ROUND('TEMPO - PAY'!I82*0.09,2)</f>
        <v>0</v>
      </c>
      <c r="H81" s="507"/>
      <c r="I81" s="507"/>
      <c r="J81" s="507"/>
      <c r="K81" s="507"/>
      <c r="L81" s="507"/>
      <c r="M81" s="507"/>
      <c r="N81" s="507"/>
      <c r="O81" s="507"/>
      <c r="P81" s="507"/>
      <c r="Q81" s="507"/>
      <c r="R81" s="557">
        <f t="shared" si="6"/>
        <v>0</v>
      </c>
      <c r="S81" s="525"/>
      <c r="T81" s="526"/>
      <c r="U81" s="507"/>
      <c r="V81" s="507"/>
      <c r="W81" s="507"/>
      <c r="X81" s="503">
        <f t="shared" si="7"/>
        <v>0</v>
      </c>
      <c r="Y81" s="502">
        <f>MIN(ROUNDDOWN('TEMPO - PAY'!I82*0.05/2,2),2500)</f>
        <v>0</v>
      </c>
      <c r="Z81" s="525"/>
      <c r="AA81" s="526"/>
      <c r="AB81" s="507"/>
      <c r="AC81" s="507"/>
      <c r="AD81" s="507"/>
      <c r="AE81" s="496">
        <f t="shared" si="8"/>
        <v>0</v>
      </c>
      <c r="AF81" s="553">
        <f t="shared" si="9"/>
        <v>0</v>
      </c>
    </row>
    <row r="82" spans="1:32" ht="18.75" customHeight="1" x14ac:dyDescent="0.25">
      <c r="A82" s="432"/>
      <c r="B82" s="556">
        <f t="shared" si="5"/>
        <v>41</v>
      </c>
      <c r="C82" s="509">
        <f>'TEMPO - PAY'!C83</f>
        <v>0</v>
      </c>
      <c r="D82" s="509" t="e">
        <f>'TEMPO - PAY'!D83</f>
        <v>#N/A</v>
      </c>
      <c r="E82" s="508">
        <f>'TEMPO - PAY'!E83</f>
        <v>0</v>
      </c>
      <c r="F82" s="502">
        <f>'TEMPO - PAY'!L83</f>
        <v>0</v>
      </c>
      <c r="G82" s="498">
        <f>ROUND('TEMPO - PAY'!I83*0.09,2)</f>
        <v>0</v>
      </c>
      <c r="H82" s="507"/>
      <c r="I82" s="507"/>
      <c r="J82" s="507"/>
      <c r="K82" s="507"/>
      <c r="L82" s="507"/>
      <c r="M82" s="507"/>
      <c r="N82" s="507"/>
      <c r="O82" s="507"/>
      <c r="P82" s="507"/>
      <c r="Q82" s="507"/>
      <c r="R82" s="557">
        <f t="shared" si="6"/>
        <v>0</v>
      </c>
      <c r="S82" s="525"/>
      <c r="T82" s="526"/>
      <c r="U82" s="507"/>
      <c r="V82" s="507"/>
      <c r="W82" s="507"/>
      <c r="X82" s="503">
        <f t="shared" si="7"/>
        <v>0</v>
      </c>
      <c r="Y82" s="502">
        <f>MIN(ROUNDDOWN('TEMPO - PAY'!I83*0.05/2,2),2500)</f>
        <v>0</v>
      </c>
      <c r="Z82" s="525"/>
      <c r="AA82" s="526"/>
      <c r="AB82" s="507"/>
      <c r="AC82" s="507"/>
      <c r="AD82" s="507"/>
      <c r="AE82" s="496">
        <f t="shared" si="8"/>
        <v>0</v>
      </c>
      <c r="AF82" s="553">
        <f t="shared" si="9"/>
        <v>0</v>
      </c>
    </row>
    <row r="83" spans="1:32" ht="18.75" customHeight="1" x14ac:dyDescent="0.25">
      <c r="A83" s="432"/>
      <c r="B83" s="556">
        <f t="shared" si="5"/>
        <v>42</v>
      </c>
      <c r="C83" s="509">
        <f>'TEMPO - PAY'!C84</f>
        <v>0</v>
      </c>
      <c r="D83" s="509" t="e">
        <f>'TEMPO - PAY'!D84</f>
        <v>#N/A</v>
      </c>
      <c r="E83" s="508">
        <f>'TEMPO - PAY'!E84</f>
        <v>0</v>
      </c>
      <c r="F83" s="502">
        <f>'TEMPO - PAY'!L84</f>
        <v>0</v>
      </c>
      <c r="G83" s="498">
        <f>ROUND('TEMPO - PAY'!I84*0.09,2)</f>
        <v>0</v>
      </c>
      <c r="H83" s="507"/>
      <c r="I83" s="507"/>
      <c r="J83" s="507"/>
      <c r="K83" s="507"/>
      <c r="L83" s="507"/>
      <c r="M83" s="507"/>
      <c r="N83" s="507"/>
      <c r="O83" s="507"/>
      <c r="P83" s="507"/>
      <c r="Q83" s="507"/>
      <c r="R83" s="557">
        <f t="shared" si="6"/>
        <v>0</v>
      </c>
      <c r="S83" s="525"/>
      <c r="T83" s="526"/>
      <c r="U83" s="507"/>
      <c r="V83" s="507"/>
      <c r="W83" s="507"/>
      <c r="X83" s="503">
        <f t="shared" si="7"/>
        <v>0</v>
      </c>
      <c r="Y83" s="502">
        <f>MIN(ROUNDDOWN('TEMPO - PAY'!I84*0.05/2,2),2500)</f>
        <v>0</v>
      </c>
      <c r="Z83" s="525"/>
      <c r="AA83" s="526"/>
      <c r="AB83" s="507"/>
      <c r="AC83" s="507"/>
      <c r="AD83" s="507"/>
      <c r="AE83" s="496">
        <f t="shared" si="8"/>
        <v>0</v>
      </c>
      <c r="AF83" s="553">
        <f t="shared" si="9"/>
        <v>0</v>
      </c>
    </row>
    <row r="84" spans="1:32" ht="18.75" customHeight="1" x14ac:dyDescent="0.25">
      <c r="A84" s="432"/>
      <c r="B84" s="556">
        <f>+B61+1</f>
        <v>43</v>
      </c>
      <c r="C84" s="509">
        <f>'TEMPO - PAY'!C85</f>
        <v>0</v>
      </c>
      <c r="D84" s="509" t="e">
        <f>'TEMPO - PAY'!D85</f>
        <v>#N/A</v>
      </c>
      <c r="E84" s="508">
        <f>'TEMPO - PAY'!E85</f>
        <v>0</v>
      </c>
      <c r="F84" s="502">
        <f>'TEMPO - PAY'!L85</f>
        <v>0</v>
      </c>
      <c r="G84" s="498">
        <f>ROUND('TEMPO - PAY'!I85*0.09,2)</f>
        <v>0</v>
      </c>
      <c r="H84" s="507"/>
      <c r="I84" s="507"/>
      <c r="J84" s="507"/>
      <c r="K84" s="507"/>
      <c r="L84" s="507"/>
      <c r="M84" s="507"/>
      <c r="N84" s="507"/>
      <c r="O84" s="507"/>
      <c r="P84" s="507"/>
      <c r="Q84" s="507"/>
      <c r="R84" s="557">
        <f t="shared" si="0"/>
        <v>0</v>
      </c>
      <c r="S84" s="525"/>
      <c r="T84" s="526"/>
      <c r="U84" s="507"/>
      <c r="V84" s="507"/>
      <c r="W84" s="507"/>
      <c r="X84" s="503">
        <f t="shared" si="1"/>
        <v>0</v>
      </c>
      <c r="Y84" s="502">
        <f>MIN(ROUNDDOWN('TEMPO - PAY'!I85*0.05/2,2),2500)</f>
        <v>0</v>
      </c>
      <c r="Z84" s="525"/>
      <c r="AA84" s="526"/>
      <c r="AB84" s="507"/>
      <c r="AC84" s="507"/>
      <c r="AD84" s="507"/>
      <c r="AE84" s="496">
        <f t="shared" si="2"/>
        <v>0</v>
      </c>
      <c r="AF84" s="553">
        <f t="shared" si="3"/>
        <v>0</v>
      </c>
    </row>
    <row r="85" spans="1:32" ht="18.75" customHeight="1" x14ac:dyDescent="0.25">
      <c r="A85" s="432"/>
      <c r="B85" s="556"/>
      <c r="C85" s="485"/>
      <c r="D85" s="485"/>
      <c r="E85" s="476"/>
      <c r="F85" s="490"/>
      <c r="G85" s="488"/>
      <c r="H85" s="494"/>
      <c r="I85" s="494"/>
      <c r="J85" s="494"/>
      <c r="K85" s="494"/>
      <c r="L85" s="494"/>
      <c r="M85" s="494"/>
      <c r="N85" s="494"/>
      <c r="O85" s="494"/>
      <c r="P85" s="494"/>
      <c r="Q85" s="494"/>
      <c r="R85" s="486"/>
      <c r="S85" s="495"/>
      <c r="T85" s="555"/>
      <c r="U85" s="494"/>
      <c r="V85" s="494"/>
      <c r="W85" s="494"/>
      <c r="X85" s="491"/>
      <c r="Y85" s="490"/>
      <c r="Z85" s="495"/>
      <c r="AA85" s="555"/>
      <c r="AB85" s="494"/>
      <c r="AC85" s="494"/>
      <c r="AD85" s="494"/>
      <c r="AE85" s="554"/>
      <c r="AF85" s="553">
        <f t="shared" si="3"/>
        <v>0</v>
      </c>
    </row>
    <row r="86" spans="1:32" ht="18.75" customHeight="1" thickBot="1" x14ac:dyDescent="0.3">
      <c r="A86" s="432"/>
      <c r="B86" s="552"/>
      <c r="C86" s="552"/>
      <c r="D86" s="552"/>
      <c r="E86" s="551"/>
      <c r="F86" s="544">
        <f t="shared" ref="F86:AF86" si="10">SUM(F20:F85)</f>
        <v>0</v>
      </c>
      <c r="G86" s="550">
        <f t="shared" si="10"/>
        <v>0</v>
      </c>
      <c r="H86" s="546">
        <f t="shared" si="10"/>
        <v>0</v>
      </c>
      <c r="I86" s="546">
        <f t="shared" si="10"/>
        <v>0</v>
      </c>
      <c r="J86" s="546">
        <f t="shared" si="10"/>
        <v>0</v>
      </c>
      <c r="K86" s="546">
        <f t="shared" si="10"/>
        <v>0</v>
      </c>
      <c r="L86" s="546">
        <f t="shared" si="10"/>
        <v>0</v>
      </c>
      <c r="M86" s="546">
        <f t="shared" si="10"/>
        <v>0</v>
      </c>
      <c r="N86" s="546">
        <f t="shared" si="10"/>
        <v>0</v>
      </c>
      <c r="O86" s="546">
        <f t="shared" si="10"/>
        <v>0</v>
      </c>
      <c r="P86" s="546">
        <f t="shared" si="10"/>
        <v>0</v>
      </c>
      <c r="Q86" s="546">
        <f t="shared" si="10"/>
        <v>0</v>
      </c>
      <c r="R86" s="549">
        <f t="shared" si="10"/>
        <v>0</v>
      </c>
      <c r="S86" s="548">
        <f t="shared" si="10"/>
        <v>0</v>
      </c>
      <c r="T86" s="547">
        <f t="shared" si="10"/>
        <v>0</v>
      </c>
      <c r="U86" s="547">
        <f t="shared" si="10"/>
        <v>0</v>
      </c>
      <c r="V86" s="546">
        <f t="shared" si="10"/>
        <v>0</v>
      </c>
      <c r="W86" s="546">
        <f t="shared" si="10"/>
        <v>0</v>
      </c>
      <c r="X86" s="545">
        <f t="shared" si="10"/>
        <v>0</v>
      </c>
      <c r="Y86" s="544">
        <f t="shared" si="10"/>
        <v>0</v>
      </c>
      <c r="Z86" s="548">
        <f t="shared" si="10"/>
        <v>0</v>
      </c>
      <c r="AA86" s="547">
        <f t="shared" si="10"/>
        <v>0</v>
      </c>
      <c r="AB86" s="546">
        <f t="shared" si="10"/>
        <v>0</v>
      </c>
      <c r="AC86" s="546">
        <f t="shared" si="10"/>
        <v>0</v>
      </c>
      <c r="AD86" s="546">
        <f t="shared" si="10"/>
        <v>0</v>
      </c>
      <c r="AE86" s="545">
        <f t="shared" si="10"/>
        <v>0</v>
      </c>
      <c r="AF86" s="544">
        <f t="shared" si="10"/>
        <v>0</v>
      </c>
    </row>
    <row r="88" spans="1:32" x14ac:dyDescent="0.25">
      <c r="AF88" s="388"/>
    </row>
    <row r="89" spans="1:32" x14ac:dyDescent="0.25">
      <c r="C89" s="678" t="s">
        <v>47</v>
      </c>
      <c r="D89" s="678"/>
    </row>
    <row r="90" spans="1:32" x14ac:dyDescent="0.25">
      <c r="C90" s="669" t="s">
        <v>93</v>
      </c>
      <c r="D90" s="669"/>
    </row>
    <row r="92" spans="1:32" x14ac:dyDescent="0.25">
      <c r="C92" s="433"/>
    </row>
  </sheetData>
  <mergeCells count="48">
    <mergeCell ref="B9:AF9"/>
    <mergeCell ref="B10:AF10"/>
    <mergeCell ref="B16:B18"/>
    <mergeCell ref="Y16:Y18"/>
    <mergeCell ref="B12:C12"/>
    <mergeCell ref="AD17:AD18"/>
    <mergeCell ref="AE17:AE18"/>
    <mergeCell ref="G16:R16"/>
    <mergeCell ref="S16:X16"/>
    <mergeCell ref="AF16:AF18"/>
    <mergeCell ref="AD12:AF12"/>
    <mergeCell ref="B14:Z14"/>
    <mergeCell ref="D11:D13"/>
    <mergeCell ref="S17:S18"/>
    <mergeCell ref="R17:R18"/>
    <mergeCell ref="Q17:Q18"/>
    <mergeCell ref="G17:G18"/>
    <mergeCell ref="AE2:AF2"/>
    <mergeCell ref="Z16:AE16"/>
    <mergeCell ref="Z17:Z18"/>
    <mergeCell ref="U17:U18"/>
    <mergeCell ref="V17:V18"/>
    <mergeCell ref="W17:W18"/>
    <mergeCell ref="AA17:AA18"/>
    <mergeCell ref="AB17:AB18"/>
    <mergeCell ref="AC17:AC18"/>
    <mergeCell ref="X17:X18"/>
    <mergeCell ref="B3:AF3"/>
    <mergeCell ref="B4:AF4"/>
    <mergeCell ref="B5:AF5"/>
    <mergeCell ref="B6:AF6"/>
    <mergeCell ref="B8:AF8"/>
    <mergeCell ref="T17:T18"/>
    <mergeCell ref="C90:D90"/>
    <mergeCell ref="C89:D89"/>
    <mergeCell ref="H17:H18"/>
    <mergeCell ref="P17:P18"/>
    <mergeCell ref="M17:M18"/>
    <mergeCell ref="K17:K18"/>
    <mergeCell ref="L17:L18"/>
    <mergeCell ref="F16:F18"/>
    <mergeCell ref="N17:N18"/>
    <mergeCell ref="O17:O18"/>
    <mergeCell ref="J17:J18"/>
    <mergeCell ref="C16:C18"/>
    <mergeCell ref="D16:D18"/>
    <mergeCell ref="E16:E18"/>
    <mergeCell ref="I17:I18"/>
  </mergeCells>
  <printOptions horizontalCentered="1"/>
  <pageMargins left="0.39370078740157483" right="0.39370078740157483" top="0.39370078740157483" bottom="0.19685039370078741" header="0" footer="0.19685039370078741"/>
  <pageSetup paperSize="14" scale="41" fitToHeight="0" orientation="landscape" r:id="rId1"/>
  <headerFooter alignWithMargins="0">
    <oddHeader>&amp;R
&amp;16Sheet &amp;"Times New Roman,Bold"&amp;U&amp;P&amp;"Times New Roman,Regular"&amp;U of &amp;"Times New Roman,Bold"&amp;U&amp;N&amp;"Times New Roman,Regular"&amp;U Sheets</oddHeader>
  </headerFooter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C3D27-FFC6-44DE-B6B5-A6F150977B98}">
  <sheetPr codeName="Sheet39">
    <tabColor rgb="FF002060"/>
  </sheetPr>
  <dimension ref="B2:N22"/>
  <sheetViews>
    <sheetView workbookViewId="0">
      <selection activeCell="C8" sqref="C8:C10"/>
    </sheetView>
  </sheetViews>
  <sheetFormatPr defaultRowHeight="15.75" x14ac:dyDescent="0.25"/>
  <cols>
    <col min="1" max="2" width="9" style="379"/>
    <col min="3" max="3" width="31.625" style="379" bestFit="1" customWidth="1"/>
    <col min="4" max="4" width="21.75" style="379" bestFit="1" customWidth="1"/>
    <col min="5" max="14" width="12.375" style="382" bestFit="1" customWidth="1"/>
    <col min="15" max="16384" width="9" style="379"/>
  </cols>
  <sheetData>
    <row r="2" spans="2:14" ht="27.75" customHeight="1" thickBot="1" x14ac:dyDescent="0.3">
      <c r="B2" s="947" t="s">
        <v>156</v>
      </c>
      <c r="C2" s="947"/>
      <c r="D2" s="947"/>
      <c r="E2" s="947"/>
      <c r="F2" s="947"/>
      <c r="G2" s="947"/>
      <c r="H2" s="947"/>
      <c r="I2" s="947"/>
      <c r="J2" s="947"/>
      <c r="K2" s="947"/>
      <c r="L2" s="947"/>
      <c r="M2" s="947"/>
      <c r="N2" s="947"/>
    </row>
    <row r="3" spans="2:14" ht="27.75" customHeight="1" thickBot="1" x14ac:dyDescent="0.3">
      <c r="B3" s="1007" t="s">
        <v>159</v>
      </c>
      <c r="C3" s="1007"/>
      <c r="D3" s="1007"/>
      <c r="E3" s="1007"/>
      <c r="F3" s="1007"/>
      <c r="G3" s="1007"/>
      <c r="H3" s="1007"/>
      <c r="I3" s="1007"/>
      <c r="J3" s="1007"/>
      <c r="K3" s="1007"/>
      <c r="L3" s="1007"/>
      <c r="M3" s="1007"/>
      <c r="N3" s="1007"/>
    </row>
    <row r="4" spans="2:14" x14ac:dyDescent="0.25">
      <c r="B4" s="686" t="s">
        <v>6</v>
      </c>
      <c r="C4" s="949" t="s">
        <v>1</v>
      </c>
      <c r="D4" s="958" t="s">
        <v>2</v>
      </c>
      <c r="E4" s="961" t="s">
        <v>14</v>
      </c>
      <c r="F4" s="961" t="s">
        <v>54</v>
      </c>
      <c r="G4" s="686" t="s">
        <v>157</v>
      </c>
      <c r="H4" s="952" t="s">
        <v>153</v>
      </c>
      <c r="I4" s="953"/>
      <c r="J4" s="953"/>
      <c r="K4" s="953"/>
      <c r="L4" s="953"/>
      <c r="M4" s="953"/>
      <c r="N4" s="954"/>
    </row>
    <row r="5" spans="2:14" ht="16.5" thickBot="1" x14ac:dyDescent="0.3">
      <c r="B5" s="687"/>
      <c r="C5" s="950"/>
      <c r="D5" s="959"/>
      <c r="E5" s="962"/>
      <c r="F5" s="962"/>
      <c r="G5" s="687"/>
      <c r="H5" s="955"/>
      <c r="I5" s="956"/>
      <c r="J5" s="956"/>
      <c r="K5" s="956"/>
      <c r="L5" s="956"/>
      <c r="M5" s="956"/>
      <c r="N5" s="957"/>
    </row>
    <row r="6" spans="2:14" ht="16.5" thickBot="1" x14ac:dyDescent="0.3">
      <c r="B6" s="687"/>
      <c r="C6" s="950"/>
      <c r="D6" s="959"/>
      <c r="E6" s="962"/>
      <c r="F6" s="962"/>
      <c r="G6" s="688"/>
      <c r="H6" s="428" t="s">
        <v>150</v>
      </c>
      <c r="I6" s="427" t="s">
        <v>154</v>
      </c>
      <c r="J6" s="428" t="s">
        <v>151</v>
      </c>
      <c r="K6" s="427" t="s">
        <v>154</v>
      </c>
      <c r="L6" s="428" t="s">
        <v>152</v>
      </c>
      <c r="M6" s="427" t="s">
        <v>154</v>
      </c>
      <c r="N6" s="427" t="s">
        <v>155</v>
      </c>
    </row>
    <row r="7" spans="2:14" x14ac:dyDescent="0.25">
      <c r="B7" s="426"/>
      <c r="C7" s="424"/>
      <c r="D7" s="425"/>
      <c r="E7" s="422"/>
      <c r="F7" s="422"/>
      <c r="G7" s="530"/>
      <c r="H7" s="422"/>
      <c r="I7" s="530"/>
      <c r="J7" s="422"/>
      <c r="K7" s="530"/>
      <c r="L7" s="422"/>
      <c r="M7" s="530"/>
      <c r="N7" s="530"/>
    </row>
    <row r="8" spans="2:14" x14ac:dyDescent="0.25">
      <c r="B8" s="405">
        <v>1</v>
      </c>
      <c r="C8" s="404"/>
      <c r="D8" s="403"/>
      <c r="E8" s="399"/>
      <c r="F8" s="401"/>
      <c r="G8" s="398">
        <f>'CONTRACTUAL - PAY'!I21/31</f>
        <v>0</v>
      </c>
      <c r="H8" s="401"/>
      <c r="I8" s="398">
        <f>ROUND(G8*H8,2)</f>
        <v>0</v>
      </c>
      <c r="J8" s="401"/>
      <c r="K8" s="398">
        <f>ROUND(G8/8*J8,2)</f>
        <v>0</v>
      </c>
      <c r="L8" s="401"/>
      <c r="M8" s="398">
        <f>ROUND(G8/8/60*L8,2)</f>
        <v>0</v>
      </c>
      <c r="N8" s="398">
        <f>I8+K8+M8</f>
        <v>0</v>
      </c>
    </row>
    <row r="9" spans="2:14" x14ac:dyDescent="0.25">
      <c r="B9" s="405">
        <f>+B8+1</f>
        <v>2</v>
      </c>
      <c r="C9" s="404"/>
      <c r="D9" s="403"/>
      <c r="E9" s="399"/>
      <c r="F9" s="401"/>
      <c r="G9" s="398">
        <f>'CONTRACTUAL - PAY'!I22/31</f>
        <v>0</v>
      </c>
      <c r="H9" s="401"/>
      <c r="I9" s="398">
        <f>ROUND(G9*H9,2)</f>
        <v>0</v>
      </c>
      <c r="J9" s="401"/>
      <c r="K9" s="398">
        <f>ROUND(G9/8*J9,2)</f>
        <v>0</v>
      </c>
      <c r="L9" s="401"/>
      <c r="M9" s="398">
        <f>ROUND(G9/8/60*L9,2)</f>
        <v>0</v>
      </c>
      <c r="N9" s="398">
        <f>I9+K9+M9</f>
        <v>0</v>
      </c>
    </row>
    <row r="10" spans="2:14" x14ac:dyDescent="0.25">
      <c r="B10" s="405" t="e">
        <f>+#REF!+1</f>
        <v>#REF!</v>
      </c>
      <c r="C10" s="404"/>
      <c r="D10" s="403"/>
      <c r="E10" s="399"/>
      <c r="F10" s="401"/>
      <c r="G10" s="398">
        <f>'CONTRACTUAL - PAY'!I13/31</f>
        <v>0</v>
      </c>
      <c r="H10" s="401"/>
      <c r="I10" s="398">
        <f t="shared" ref="I10:I19" si="0">ROUND(G10*H10,2)</f>
        <v>0</v>
      </c>
      <c r="J10" s="401"/>
      <c r="K10" s="398">
        <f t="shared" ref="K10:K19" si="1">ROUND(G10/8*J10,2)</f>
        <v>0</v>
      </c>
      <c r="L10" s="401"/>
      <c r="M10" s="398">
        <f t="shared" ref="M10:M19" si="2">ROUND(G10/8/60*L10,2)</f>
        <v>0</v>
      </c>
      <c r="N10" s="398">
        <f t="shared" ref="N10:N19" si="3">I10+K10+M10</f>
        <v>0</v>
      </c>
    </row>
    <row r="11" spans="2:14" x14ac:dyDescent="0.25">
      <c r="B11" s="405" t="e">
        <f>+#REF!+1</f>
        <v>#REF!</v>
      </c>
      <c r="C11" s="404"/>
      <c r="D11" s="403"/>
      <c r="E11" s="399"/>
      <c r="F11" s="401"/>
      <c r="G11" s="398">
        <f>'CONTRACTUAL - PAY'!I14/31</f>
        <v>0</v>
      </c>
      <c r="H11" s="401"/>
      <c r="I11" s="398">
        <f t="shared" si="0"/>
        <v>0</v>
      </c>
      <c r="J11" s="401"/>
      <c r="K11" s="398">
        <f t="shared" si="1"/>
        <v>0</v>
      </c>
      <c r="L11" s="401"/>
      <c r="M11" s="398">
        <f t="shared" si="2"/>
        <v>0</v>
      </c>
      <c r="N11" s="398">
        <f t="shared" si="3"/>
        <v>0</v>
      </c>
    </row>
    <row r="12" spans="2:14" x14ac:dyDescent="0.25">
      <c r="B12" s="405">
        <f t="shared" ref="B12:B19" si="4">+B1+1</f>
        <v>1</v>
      </c>
      <c r="C12" s="404"/>
      <c r="D12" s="403"/>
      <c r="E12" s="399"/>
      <c r="F12" s="401"/>
      <c r="G12" s="398">
        <f>'CONTRACTUAL - PAY'!I15/31</f>
        <v>0</v>
      </c>
      <c r="H12" s="401"/>
      <c r="I12" s="398">
        <f t="shared" si="0"/>
        <v>0</v>
      </c>
      <c r="J12" s="401"/>
      <c r="K12" s="398">
        <f t="shared" si="1"/>
        <v>0</v>
      </c>
      <c r="L12" s="401"/>
      <c r="M12" s="398">
        <f t="shared" si="2"/>
        <v>0</v>
      </c>
      <c r="N12" s="398">
        <f t="shared" si="3"/>
        <v>0</v>
      </c>
    </row>
    <row r="13" spans="2:14" x14ac:dyDescent="0.25">
      <c r="B13" s="405" t="e">
        <f t="shared" si="4"/>
        <v>#VALUE!</v>
      </c>
      <c r="C13" s="404"/>
      <c r="D13" s="403"/>
      <c r="E13" s="399"/>
      <c r="F13" s="401"/>
      <c r="G13" s="398">
        <f>'CONTRACTUAL - PAY'!I16/31</f>
        <v>0</v>
      </c>
      <c r="H13" s="401"/>
      <c r="I13" s="398">
        <f t="shared" si="0"/>
        <v>0</v>
      </c>
      <c r="J13" s="401"/>
      <c r="K13" s="398">
        <f t="shared" si="1"/>
        <v>0</v>
      </c>
      <c r="L13" s="401"/>
      <c r="M13" s="398">
        <f t="shared" si="2"/>
        <v>0</v>
      </c>
      <c r="N13" s="398">
        <f t="shared" si="3"/>
        <v>0</v>
      </c>
    </row>
    <row r="14" spans="2:14" x14ac:dyDescent="0.25">
      <c r="B14" s="405" t="e">
        <f t="shared" si="4"/>
        <v>#VALUE!</v>
      </c>
      <c r="C14" s="404"/>
      <c r="D14" s="403"/>
      <c r="E14" s="399"/>
      <c r="F14" s="401"/>
      <c r="G14" s="398">
        <f>'CONTRACTUAL - PAY'!I17/31</f>
        <v>0</v>
      </c>
      <c r="H14" s="401"/>
      <c r="I14" s="398">
        <f t="shared" si="0"/>
        <v>0</v>
      </c>
      <c r="J14" s="401"/>
      <c r="K14" s="398">
        <f t="shared" si="1"/>
        <v>0</v>
      </c>
      <c r="L14" s="401"/>
      <c r="M14" s="398">
        <f t="shared" si="2"/>
        <v>0</v>
      </c>
      <c r="N14" s="398">
        <f t="shared" si="3"/>
        <v>0</v>
      </c>
    </row>
    <row r="15" spans="2:14" x14ac:dyDescent="0.25">
      <c r="B15" s="405" t="e">
        <f t="shared" si="4"/>
        <v>#VALUE!</v>
      </c>
      <c r="C15" s="404"/>
      <c r="D15" s="403"/>
      <c r="E15" s="399"/>
      <c r="F15" s="401"/>
      <c r="G15" s="398" t="e">
        <f>'CONTRACTUAL - PAY'!I18/31</f>
        <v>#VALUE!</v>
      </c>
      <c r="H15" s="401"/>
      <c r="I15" s="398" t="e">
        <f t="shared" si="0"/>
        <v>#VALUE!</v>
      </c>
      <c r="J15" s="401"/>
      <c r="K15" s="398" t="e">
        <f t="shared" si="1"/>
        <v>#VALUE!</v>
      </c>
      <c r="L15" s="401"/>
      <c r="M15" s="398" t="e">
        <f t="shared" si="2"/>
        <v>#VALUE!</v>
      </c>
      <c r="N15" s="398" t="e">
        <f t="shared" si="3"/>
        <v>#VALUE!</v>
      </c>
    </row>
    <row r="16" spans="2:14" x14ac:dyDescent="0.25">
      <c r="B16" s="405">
        <f t="shared" si="4"/>
        <v>1</v>
      </c>
      <c r="C16" s="404"/>
      <c r="D16" s="403"/>
      <c r="E16" s="399"/>
      <c r="F16" s="401"/>
      <c r="G16" s="398">
        <f>'CONTRACTUAL - PAY'!I19/31</f>
        <v>0</v>
      </c>
      <c r="H16" s="401"/>
      <c r="I16" s="398">
        <f t="shared" si="0"/>
        <v>0</v>
      </c>
      <c r="J16" s="401"/>
      <c r="K16" s="398">
        <f t="shared" si="1"/>
        <v>0</v>
      </c>
      <c r="L16" s="401"/>
      <c r="M16" s="398">
        <f t="shared" si="2"/>
        <v>0</v>
      </c>
      <c r="N16" s="398">
        <f t="shared" si="3"/>
        <v>0</v>
      </c>
    </row>
    <row r="17" spans="2:14" x14ac:dyDescent="0.25">
      <c r="B17" s="405">
        <f t="shared" si="4"/>
        <v>1</v>
      </c>
      <c r="C17" s="404"/>
      <c r="D17" s="403"/>
      <c r="E17" s="399"/>
      <c r="F17" s="401"/>
      <c r="G17" s="398">
        <f>'CONTRACTUAL - PAY'!I20/31</f>
        <v>0</v>
      </c>
      <c r="H17" s="401"/>
      <c r="I17" s="398">
        <f t="shared" si="0"/>
        <v>0</v>
      </c>
      <c r="J17" s="401"/>
      <c r="K17" s="398">
        <f t="shared" si="1"/>
        <v>0</v>
      </c>
      <c r="L17" s="401"/>
      <c r="M17" s="398">
        <f t="shared" si="2"/>
        <v>0</v>
      </c>
      <c r="N17" s="398">
        <f t="shared" si="3"/>
        <v>0</v>
      </c>
    </row>
    <row r="18" spans="2:14" x14ac:dyDescent="0.25">
      <c r="B18" s="405">
        <f t="shared" si="4"/>
        <v>1</v>
      </c>
      <c r="C18" s="404"/>
      <c r="D18" s="403"/>
      <c r="E18" s="399"/>
      <c r="F18" s="401"/>
      <c r="G18" s="398">
        <f>'CONTRACTUAL - PAY'!I21/31</f>
        <v>0</v>
      </c>
      <c r="H18" s="401"/>
      <c r="I18" s="398">
        <f t="shared" si="0"/>
        <v>0</v>
      </c>
      <c r="J18" s="401"/>
      <c r="K18" s="398">
        <f t="shared" si="1"/>
        <v>0</v>
      </c>
      <c r="L18" s="401"/>
      <c r="M18" s="398">
        <f t="shared" si="2"/>
        <v>0</v>
      </c>
      <c r="N18" s="398">
        <f t="shared" si="3"/>
        <v>0</v>
      </c>
    </row>
    <row r="19" spans="2:14" x14ac:dyDescent="0.25">
      <c r="B19" s="405">
        <f t="shared" si="4"/>
        <v>2</v>
      </c>
      <c r="C19" s="404"/>
      <c r="D19" s="403"/>
      <c r="E19" s="399"/>
      <c r="F19" s="401"/>
      <c r="G19" s="398">
        <f>'CONTRACTUAL - PAY'!I22/31</f>
        <v>0</v>
      </c>
      <c r="H19" s="401"/>
      <c r="I19" s="398">
        <f t="shared" si="0"/>
        <v>0</v>
      </c>
      <c r="J19" s="401"/>
      <c r="K19" s="398">
        <f t="shared" si="1"/>
        <v>0</v>
      </c>
      <c r="L19" s="401"/>
      <c r="M19" s="398">
        <f t="shared" si="2"/>
        <v>0</v>
      </c>
      <c r="N19" s="398">
        <f t="shared" si="3"/>
        <v>0</v>
      </c>
    </row>
    <row r="20" spans="2:14" x14ac:dyDescent="0.25">
      <c r="B20" s="405">
        <f>+B9+1</f>
        <v>3</v>
      </c>
      <c r="C20" s="404"/>
      <c r="D20" s="403"/>
      <c r="E20" s="399"/>
      <c r="F20" s="401"/>
      <c r="G20" s="398">
        <f>'CONTRACTUAL - PAY'!I33/31</f>
        <v>0</v>
      </c>
      <c r="H20" s="401"/>
      <c r="I20" s="398">
        <f>ROUND(G20*H20,2)</f>
        <v>0</v>
      </c>
      <c r="J20" s="401"/>
      <c r="K20" s="398">
        <f>ROUND(G20/8*J20,2)</f>
        <v>0</v>
      </c>
      <c r="L20" s="401"/>
      <c r="M20" s="398">
        <f>ROUND(G20/8/60*L20,2)</f>
        <v>0</v>
      </c>
      <c r="N20" s="398">
        <f>I20+K20+M20</f>
        <v>0</v>
      </c>
    </row>
    <row r="21" spans="2:14" ht="16.5" thickBot="1" x14ac:dyDescent="0.3">
      <c r="B21" s="396"/>
      <c r="C21" s="552"/>
      <c r="D21" s="394"/>
      <c r="E21" s="566"/>
      <c r="F21" s="565">
        <f>SUM(F8:F20)</f>
        <v>0</v>
      </c>
      <c r="G21" s="565"/>
      <c r="H21" s="565"/>
      <c r="I21" s="565" t="e">
        <f>SUM(I8:I20)</f>
        <v>#VALUE!</v>
      </c>
      <c r="J21" s="565"/>
      <c r="K21" s="565" t="e">
        <f>SUM(K8:K20)</f>
        <v>#VALUE!</v>
      </c>
      <c r="L21" s="565"/>
      <c r="M21" s="565" t="e">
        <f>SUM(M8:M20)</f>
        <v>#VALUE!</v>
      </c>
      <c r="N21" s="565" t="e">
        <f>SUM(N8:N20)</f>
        <v>#VALUE!</v>
      </c>
    </row>
    <row r="22" spans="2:14" x14ac:dyDescent="0.25">
      <c r="F22" s="564">
        <f>F21-'CONTRACTUAL - PAY'!L35</f>
        <v>0</v>
      </c>
      <c r="G22" s="564"/>
      <c r="H22" s="564"/>
      <c r="I22" s="564"/>
      <c r="J22" s="564"/>
      <c r="K22" s="564"/>
      <c r="L22" s="564"/>
      <c r="M22" s="564"/>
      <c r="N22" s="564"/>
    </row>
  </sheetData>
  <mergeCells count="9">
    <mergeCell ref="B2:N2"/>
    <mergeCell ref="E4:E6"/>
    <mergeCell ref="H4:N5"/>
    <mergeCell ref="B3:N3"/>
    <mergeCell ref="G4:G6"/>
    <mergeCell ref="B4:B6"/>
    <mergeCell ref="C4:C6"/>
    <mergeCell ref="D4:D6"/>
    <mergeCell ref="F4:F6"/>
  </mergeCells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883AB-8C27-410D-8C92-3BEB0B37C7DE}">
  <sheetPr codeName="Sheet40">
    <tabColor rgb="FF002060"/>
    <pageSetUpPr fitToPage="1"/>
  </sheetPr>
  <dimension ref="A1:Z54"/>
  <sheetViews>
    <sheetView showWhiteSpace="0" topLeftCell="A5" zoomScaleNormal="100" zoomScaleSheetLayoutView="100" workbookViewId="0">
      <selection activeCell="R41" sqref="R41"/>
    </sheetView>
  </sheetViews>
  <sheetFormatPr defaultRowHeight="30.75" x14ac:dyDescent="0.25"/>
  <cols>
    <col min="1" max="1" width="9.375" style="429" customWidth="1"/>
    <col min="2" max="2" width="6.75" style="379" customWidth="1"/>
    <col min="3" max="3" width="24.625" style="379" customWidth="1"/>
    <col min="4" max="4" width="12.875" style="379" customWidth="1"/>
    <col min="5" max="5" width="9.625" style="382" customWidth="1"/>
    <col min="6" max="6" width="13.375" style="379" customWidth="1"/>
    <col min="7" max="7" width="8.5" style="379" customWidth="1"/>
    <col min="8" max="8" width="9.75" style="379" customWidth="1"/>
    <col min="9" max="9" width="13.125" style="379" customWidth="1"/>
    <col min="10" max="10" width="11.125" style="379" customWidth="1"/>
    <col min="11" max="11" width="12.625" style="379" customWidth="1"/>
    <col min="12" max="13" width="11.5" style="379" customWidth="1"/>
    <col min="14" max="14" width="10.375" style="379" customWidth="1"/>
    <col min="15" max="15" width="11" style="379" bestFit="1" customWidth="1"/>
    <col min="16" max="16" width="11.875" style="379" customWidth="1"/>
    <col min="17" max="17" width="15.125" style="379" bestFit="1" customWidth="1"/>
    <col min="18" max="18" width="13.125" style="379" customWidth="1"/>
    <col min="19" max="19" width="12.75" style="379" customWidth="1"/>
    <col min="20" max="20" width="12.125" style="379" bestFit="1" customWidth="1"/>
    <col min="21" max="21" width="3.75" style="382" customWidth="1"/>
    <col min="22" max="22" width="14.25" style="379" customWidth="1"/>
    <col min="23" max="23" width="10.625" style="379" customWidth="1"/>
    <col min="24" max="24" width="11.625" style="379" bestFit="1" customWidth="1"/>
    <col min="25" max="25" width="11" style="379" bestFit="1" customWidth="1"/>
    <col min="26" max="26" width="5.625" style="379" customWidth="1"/>
    <col min="27" max="16384" width="9" style="379"/>
  </cols>
  <sheetData>
    <row r="1" spans="1:25" ht="23.25" customHeight="1" x14ac:dyDescent="0.25">
      <c r="A1" s="432">
        <v>94</v>
      </c>
      <c r="Q1" s="542"/>
      <c r="R1" s="542"/>
      <c r="S1" s="542"/>
      <c r="T1" s="542"/>
      <c r="U1" s="543"/>
      <c r="V1" s="101"/>
      <c r="W1" s="101"/>
    </row>
    <row r="2" spans="1:25" ht="23.25" x14ac:dyDescent="0.25">
      <c r="A2" s="432"/>
      <c r="Q2" s="542"/>
      <c r="R2" s="542"/>
      <c r="S2" s="542"/>
      <c r="T2" s="542"/>
      <c r="U2" s="541"/>
      <c r="V2" s="102"/>
      <c r="W2" s="102"/>
      <c r="X2" s="701" t="s">
        <v>40</v>
      </c>
      <c r="Y2" s="701"/>
    </row>
    <row r="3" spans="1:25" ht="15.75" customHeight="1" x14ac:dyDescent="0.25">
      <c r="A3" s="432"/>
      <c r="B3" s="702" t="s">
        <v>42</v>
      </c>
      <c r="C3" s="702"/>
      <c r="D3" s="702"/>
      <c r="E3" s="702"/>
      <c r="F3" s="702"/>
      <c r="G3" s="702"/>
      <c r="H3" s="702"/>
      <c r="I3" s="702"/>
      <c r="J3" s="702"/>
      <c r="K3" s="702"/>
      <c r="L3" s="702"/>
      <c r="M3" s="702"/>
      <c r="N3" s="702"/>
      <c r="O3" s="702"/>
      <c r="P3" s="702"/>
      <c r="Q3" s="702"/>
      <c r="R3" s="702"/>
      <c r="S3" s="702"/>
      <c r="T3" s="702"/>
      <c r="U3" s="702"/>
      <c r="V3" s="702"/>
      <c r="W3" s="702"/>
      <c r="X3" s="702"/>
      <c r="Y3" s="702"/>
    </row>
    <row r="4" spans="1:25" ht="15.75" customHeight="1" x14ac:dyDescent="0.25">
      <c r="A4" s="432"/>
      <c r="B4" s="703" t="s">
        <v>43</v>
      </c>
      <c r="C4" s="703"/>
      <c r="D4" s="703"/>
      <c r="E4" s="703"/>
      <c r="F4" s="703"/>
      <c r="G4" s="703"/>
      <c r="H4" s="703"/>
      <c r="I4" s="703"/>
      <c r="J4" s="703"/>
      <c r="K4" s="703"/>
      <c r="L4" s="703"/>
      <c r="M4" s="703"/>
      <c r="N4" s="703"/>
      <c r="O4" s="703"/>
      <c r="P4" s="703"/>
      <c r="Q4" s="703"/>
      <c r="R4" s="703"/>
      <c r="S4" s="703"/>
      <c r="T4" s="703"/>
      <c r="U4" s="703"/>
      <c r="V4" s="703"/>
      <c r="W4" s="703"/>
      <c r="X4" s="703"/>
      <c r="Y4" s="703"/>
    </row>
    <row r="5" spans="1:25" ht="15.75" customHeight="1" x14ac:dyDescent="0.25">
      <c r="A5" s="432"/>
      <c r="B5" s="703" t="s">
        <v>44</v>
      </c>
      <c r="C5" s="703"/>
      <c r="D5" s="703"/>
      <c r="E5" s="703"/>
      <c r="F5" s="703"/>
      <c r="G5" s="703"/>
      <c r="H5" s="703"/>
      <c r="I5" s="703"/>
      <c r="J5" s="703"/>
      <c r="K5" s="703"/>
      <c r="L5" s="703"/>
      <c r="M5" s="703"/>
      <c r="N5" s="703"/>
      <c r="O5" s="703"/>
      <c r="P5" s="703"/>
      <c r="Q5" s="703"/>
      <c r="R5" s="703"/>
      <c r="S5" s="703"/>
      <c r="T5" s="703"/>
      <c r="U5" s="703"/>
      <c r="V5" s="703"/>
      <c r="W5" s="703"/>
      <c r="X5" s="703"/>
      <c r="Y5" s="703"/>
    </row>
    <row r="6" spans="1:25" ht="15.75" customHeight="1" x14ac:dyDescent="0.25">
      <c r="A6" s="432"/>
      <c r="B6" s="702" t="s">
        <v>45</v>
      </c>
      <c r="C6" s="702"/>
      <c r="D6" s="702"/>
      <c r="E6" s="702"/>
      <c r="F6" s="702"/>
      <c r="G6" s="702"/>
      <c r="H6" s="702"/>
      <c r="I6" s="702"/>
      <c r="J6" s="702"/>
      <c r="K6" s="702"/>
      <c r="L6" s="702"/>
      <c r="M6" s="702"/>
      <c r="N6" s="702"/>
      <c r="O6" s="702"/>
      <c r="P6" s="702"/>
      <c r="Q6" s="702"/>
      <c r="R6" s="702"/>
      <c r="S6" s="702"/>
      <c r="T6" s="702"/>
      <c r="U6" s="702"/>
      <c r="V6" s="702"/>
      <c r="W6" s="702"/>
      <c r="X6" s="702"/>
      <c r="Y6" s="702"/>
    </row>
    <row r="7" spans="1:25" ht="15.75" customHeight="1" x14ac:dyDescent="0.25">
      <c r="A7" s="432"/>
      <c r="Q7" s="102"/>
      <c r="R7" s="102"/>
      <c r="S7" s="102"/>
      <c r="T7" s="102"/>
      <c r="U7" s="541"/>
      <c r="V7" s="102"/>
      <c r="W7" s="102"/>
      <c r="X7" s="102"/>
      <c r="Y7" s="102"/>
    </row>
    <row r="8" spans="1:25" ht="22.5" x14ac:dyDescent="0.25">
      <c r="A8" s="432"/>
      <c r="B8" s="697" t="s">
        <v>13</v>
      </c>
      <c r="C8" s="697"/>
      <c r="D8" s="697"/>
      <c r="E8" s="697"/>
      <c r="F8" s="697"/>
      <c r="G8" s="697"/>
      <c r="H8" s="697"/>
      <c r="I8" s="697"/>
      <c r="J8" s="697"/>
      <c r="K8" s="697"/>
      <c r="L8" s="697"/>
      <c r="M8" s="697"/>
      <c r="N8" s="697"/>
      <c r="O8" s="697"/>
      <c r="P8" s="697"/>
      <c r="Q8" s="697"/>
      <c r="R8" s="697"/>
      <c r="S8" s="697"/>
      <c r="T8" s="697"/>
      <c r="U8" s="697"/>
      <c r="V8" s="697"/>
      <c r="W8" s="697"/>
      <c r="X8" s="697"/>
      <c r="Y8" s="697"/>
    </row>
    <row r="9" spans="1:25" ht="20.25" x14ac:dyDescent="0.25">
      <c r="A9" s="432"/>
      <c r="B9" s="698" t="s">
        <v>159</v>
      </c>
      <c r="C9" s="698"/>
      <c r="D9" s="698"/>
      <c r="E9" s="698"/>
      <c r="F9" s="698"/>
      <c r="G9" s="698"/>
      <c r="H9" s="698"/>
      <c r="I9" s="698"/>
      <c r="J9" s="698"/>
      <c r="K9" s="698"/>
      <c r="L9" s="698"/>
      <c r="M9" s="698"/>
      <c r="N9" s="698"/>
      <c r="O9" s="698"/>
      <c r="P9" s="698"/>
      <c r="Q9" s="698"/>
      <c r="R9" s="698"/>
      <c r="S9" s="698"/>
      <c r="T9" s="698"/>
      <c r="U9" s="698"/>
      <c r="V9" s="698"/>
      <c r="W9" s="698"/>
      <c r="X9" s="698"/>
      <c r="Y9" s="698"/>
    </row>
    <row r="10" spans="1:25" ht="20.25" x14ac:dyDescent="0.25">
      <c r="A10" s="432"/>
      <c r="B10" s="699" t="s">
        <v>41</v>
      </c>
      <c r="C10" s="699"/>
      <c r="D10" s="699"/>
      <c r="E10" s="699"/>
      <c r="F10" s="699"/>
      <c r="G10" s="699"/>
      <c r="H10" s="699"/>
      <c r="I10" s="699"/>
      <c r="J10" s="699"/>
      <c r="K10" s="699"/>
      <c r="L10" s="699"/>
      <c r="M10" s="699"/>
      <c r="N10" s="699"/>
      <c r="O10" s="699"/>
      <c r="P10" s="699"/>
      <c r="Q10" s="699"/>
      <c r="R10" s="699"/>
      <c r="S10" s="699"/>
      <c r="T10" s="699"/>
      <c r="U10" s="699"/>
      <c r="V10" s="699"/>
      <c r="W10" s="699"/>
      <c r="X10" s="699"/>
      <c r="Y10" s="699"/>
    </row>
    <row r="11" spans="1:25" ht="20.25" x14ac:dyDescent="0.25">
      <c r="A11" s="432"/>
      <c r="B11" s="699" t="s">
        <v>138</v>
      </c>
      <c r="C11" s="699"/>
      <c r="D11" s="699"/>
      <c r="E11" s="699"/>
      <c r="F11" s="699"/>
      <c r="G11" s="699"/>
      <c r="H11" s="699"/>
      <c r="I11" s="699"/>
      <c r="J11" s="699"/>
      <c r="K11" s="699"/>
      <c r="L11" s="699"/>
      <c r="M11" s="699"/>
      <c r="N11" s="699"/>
      <c r="O11" s="699"/>
      <c r="P11" s="699"/>
      <c r="Q11" s="699"/>
      <c r="R11" s="699"/>
      <c r="S11" s="699"/>
      <c r="T11" s="699"/>
      <c r="U11" s="699"/>
      <c r="V11" s="699"/>
      <c r="W11" s="699"/>
      <c r="X11" s="699"/>
      <c r="Y11" s="699"/>
    </row>
    <row r="12" spans="1:25" ht="15.75" x14ac:dyDescent="0.25">
      <c r="A12" s="432"/>
      <c r="C12" s="382"/>
      <c r="D12" s="700" t="s">
        <v>106</v>
      </c>
      <c r="F12" s="382"/>
      <c r="G12" s="382"/>
      <c r="H12" s="382"/>
      <c r="I12" s="382"/>
      <c r="J12" s="382"/>
      <c r="K12" s="382"/>
      <c r="L12" s="382"/>
      <c r="M12" s="382"/>
      <c r="N12" s="382"/>
      <c r="O12" s="382"/>
      <c r="P12" s="382"/>
      <c r="Q12" s="382"/>
      <c r="R12" s="382"/>
      <c r="S12" s="382"/>
      <c r="T12" s="382"/>
      <c r="V12" s="382"/>
      <c r="W12" s="382"/>
      <c r="X12" s="382"/>
      <c r="Y12" s="382"/>
    </row>
    <row r="13" spans="1:25" s="451" customFormat="1" ht="24.95" customHeight="1" x14ac:dyDescent="0.25">
      <c r="A13" s="432"/>
      <c r="B13" s="704" t="s">
        <v>88</v>
      </c>
      <c r="C13" s="704"/>
      <c r="D13" s="698"/>
      <c r="E13" s="540"/>
      <c r="F13" s="539"/>
      <c r="G13" s="539"/>
      <c r="H13" s="539"/>
      <c r="I13" s="539"/>
      <c r="J13" s="539"/>
      <c r="K13" s="539"/>
      <c r="L13" s="539"/>
      <c r="M13" s="539"/>
      <c r="N13" s="539"/>
      <c r="O13" s="539"/>
      <c r="P13" s="539"/>
      <c r="Q13" s="379"/>
      <c r="R13" s="379"/>
      <c r="S13" s="379"/>
      <c r="T13" s="379"/>
      <c r="U13" s="539" t="s">
        <v>103</v>
      </c>
      <c r="V13" s="539"/>
      <c r="W13" s="705" t="str">
        <f>SUMMARY!B20</f>
        <v>2026-01-026</v>
      </c>
      <c r="X13" s="705"/>
      <c r="Y13" s="705"/>
    </row>
    <row r="14" spans="1:25" s="451" customFormat="1" ht="24.95" customHeight="1" x14ac:dyDescent="0.25">
      <c r="A14" s="432"/>
      <c r="B14" s="379"/>
      <c r="C14" s="379"/>
      <c r="D14" s="698"/>
      <c r="E14" s="382"/>
      <c r="F14" s="379"/>
      <c r="G14" s="379"/>
      <c r="H14" s="379"/>
      <c r="I14" s="379"/>
      <c r="J14" s="379"/>
      <c r="K14" s="379"/>
      <c r="L14" s="379"/>
      <c r="M14" s="379"/>
      <c r="N14" s="379"/>
      <c r="O14" s="379"/>
      <c r="P14" s="379"/>
      <c r="Q14" s="379"/>
      <c r="R14" s="379"/>
      <c r="S14" s="379"/>
      <c r="T14" s="379"/>
      <c r="U14" s="539"/>
      <c r="V14" s="539"/>
      <c r="W14" s="379"/>
      <c r="X14" s="379"/>
      <c r="Y14" s="379"/>
    </row>
    <row r="15" spans="1:25" s="451" customFormat="1" ht="15.75" customHeight="1" x14ac:dyDescent="0.25">
      <c r="A15" s="432"/>
      <c r="B15" s="685" t="s">
        <v>0</v>
      </c>
      <c r="C15" s="685"/>
      <c r="D15" s="685"/>
      <c r="E15" s="685"/>
      <c r="F15" s="685"/>
      <c r="G15" s="685"/>
      <c r="H15" s="685"/>
      <c r="I15" s="685"/>
      <c r="J15" s="685"/>
      <c r="K15" s="685"/>
      <c r="L15" s="685"/>
      <c r="M15" s="685"/>
      <c r="N15" s="685"/>
      <c r="O15" s="685"/>
      <c r="P15" s="685"/>
      <c r="Q15" s="685"/>
      <c r="R15" s="685"/>
      <c r="S15" s="685"/>
      <c r="T15" s="685"/>
      <c r="U15" s="685"/>
      <c r="V15" s="685"/>
      <c r="W15" s="685"/>
      <c r="X15" s="685"/>
      <c r="Y15" s="685"/>
    </row>
    <row r="16" spans="1:25" ht="9" customHeight="1" thickBot="1" x14ac:dyDescent="0.3">
      <c r="A16" s="432"/>
      <c r="C16" s="394"/>
      <c r="D16" s="394"/>
      <c r="E16" s="455"/>
      <c r="F16" s="394"/>
      <c r="G16" s="394"/>
      <c r="H16" s="394"/>
      <c r="I16" s="394"/>
      <c r="Q16" s="394"/>
      <c r="R16" s="394"/>
      <c r="S16" s="394"/>
      <c r="T16" s="394"/>
      <c r="U16" s="455"/>
      <c r="V16" s="394"/>
      <c r="W16" s="394"/>
      <c r="X16" s="394"/>
      <c r="Y16" s="394"/>
    </row>
    <row r="17" spans="1:26" ht="16.5" customHeight="1" thickBot="1" x14ac:dyDescent="0.3">
      <c r="A17" s="432"/>
      <c r="B17" s="686" t="s">
        <v>6</v>
      </c>
      <c r="C17" s="695" t="s">
        <v>1</v>
      </c>
      <c r="D17" s="695" t="s">
        <v>2</v>
      </c>
      <c r="E17" s="686" t="s">
        <v>14</v>
      </c>
      <c r="F17" s="679" t="s">
        <v>4</v>
      </c>
      <c r="G17" s="680"/>
      <c r="H17" s="680"/>
      <c r="I17" s="680"/>
      <c r="J17" s="680"/>
      <c r="K17" s="681"/>
      <c r="L17" s="680" t="s">
        <v>3</v>
      </c>
      <c r="M17" s="680"/>
      <c r="N17" s="680"/>
      <c r="O17" s="680"/>
      <c r="P17" s="680"/>
      <c r="Q17" s="681"/>
      <c r="R17" s="686" t="s">
        <v>16</v>
      </c>
      <c r="S17" s="987" t="s">
        <v>51</v>
      </c>
      <c r="T17" s="752" t="s">
        <v>52</v>
      </c>
      <c r="U17" s="695" t="s">
        <v>59</v>
      </c>
      <c r="V17" s="679" t="s">
        <v>60</v>
      </c>
      <c r="W17" s="680"/>
      <c r="X17" s="680"/>
      <c r="Y17" s="681"/>
      <c r="Z17" s="538"/>
    </row>
    <row r="18" spans="1:26" ht="19.5" customHeight="1" x14ac:dyDescent="0.25">
      <c r="A18" s="432"/>
      <c r="B18" s="687"/>
      <c r="C18" s="696"/>
      <c r="D18" s="696"/>
      <c r="E18" s="687"/>
      <c r="F18" s="665" t="s">
        <v>48</v>
      </c>
      <c r="G18" s="691" t="s">
        <v>50</v>
      </c>
      <c r="H18" s="659" t="s">
        <v>49</v>
      </c>
      <c r="I18" s="985" t="s">
        <v>5</v>
      </c>
      <c r="J18" s="985" t="s">
        <v>53</v>
      </c>
      <c r="K18" s="977" t="s">
        <v>137</v>
      </c>
      <c r="L18" s="994" t="s">
        <v>54</v>
      </c>
      <c r="M18" s="985" t="s">
        <v>55</v>
      </c>
      <c r="N18" s="985" t="s">
        <v>56</v>
      </c>
      <c r="O18" s="998" t="s">
        <v>57</v>
      </c>
      <c r="P18" s="985" t="s">
        <v>58</v>
      </c>
      <c r="Q18" s="742" t="s">
        <v>17</v>
      </c>
      <c r="R18" s="687"/>
      <c r="S18" s="988"/>
      <c r="T18" s="754"/>
      <c r="U18" s="696"/>
      <c r="V18" s="979" t="s">
        <v>61</v>
      </c>
      <c r="W18" s="981" t="s">
        <v>62</v>
      </c>
      <c r="X18" s="1002" t="s">
        <v>57</v>
      </c>
      <c r="Y18" s="1004" t="s">
        <v>63</v>
      </c>
      <c r="Z18" s="538"/>
    </row>
    <row r="19" spans="1:26" ht="26.25" customHeight="1" thickBot="1" x14ac:dyDescent="0.3">
      <c r="A19" s="432"/>
      <c r="B19" s="687"/>
      <c r="C19" s="696"/>
      <c r="D19" s="696"/>
      <c r="E19" s="687"/>
      <c r="F19" s="666"/>
      <c r="G19" s="692"/>
      <c r="H19" s="660"/>
      <c r="I19" s="986"/>
      <c r="J19" s="986"/>
      <c r="K19" s="978"/>
      <c r="L19" s="995"/>
      <c r="M19" s="986"/>
      <c r="N19" s="986"/>
      <c r="O19" s="999"/>
      <c r="P19" s="986"/>
      <c r="Q19" s="743"/>
      <c r="R19" s="688"/>
      <c r="S19" s="989"/>
      <c r="T19" s="756"/>
      <c r="U19" s="696"/>
      <c r="V19" s="980"/>
      <c r="W19" s="982"/>
      <c r="X19" s="1003"/>
      <c r="Y19" s="1005"/>
      <c r="Z19" s="538"/>
    </row>
    <row r="20" spans="1:26" ht="18.75" customHeight="1" x14ac:dyDescent="0.25">
      <c r="A20" s="432"/>
      <c r="B20" s="423"/>
      <c r="C20" s="423"/>
      <c r="D20" s="423"/>
      <c r="E20" s="530"/>
      <c r="F20" s="537"/>
      <c r="G20" s="536"/>
      <c r="H20" s="536"/>
      <c r="I20" s="533"/>
      <c r="J20" s="533"/>
      <c r="K20" s="535"/>
      <c r="L20" s="534"/>
      <c r="M20" s="533"/>
      <c r="N20" s="533"/>
      <c r="O20" s="533"/>
      <c r="P20" s="533"/>
      <c r="Q20" s="532"/>
      <c r="R20" s="423"/>
      <c r="S20" s="531"/>
      <c r="T20" s="527"/>
      <c r="U20" s="530"/>
      <c r="V20" s="529"/>
      <c r="W20" s="528"/>
      <c r="X20" s="528"/>
      <c r="Y20" s="527"/>
    </row>
    <row r="21" spans="1:26" ht="18.75" customHeight="1" x14ac:dyDescent="0.25">
      <c r="A21" s="432"/>
      <c r="B21" s="556">
        <v>1</v>
      </c>
      <c r="C21" s="509">
        <f>VLOOKUP(B21,'WTAX-CONTRACTUAL'!B:N,2,0)</f>
        <v>0</v>
      </c>
      <c r="D21" s="509" t="e">
        <f>VLOOKUP(C21,'WTAX-CONTRACTUAL'!C:O,2,0)</f>
        <v>#N/A</v>
      </c>
      <c r="E21" s="508">
        <f>VLOOKUP(B21,'WTAX-CONTRACTUAL'!B:N,4,0)</f>
        <v>0</v>
      </c>
      <c r="F21" s="525"/>
      <c r="G21" s="507"/>
      <c r="H21" s="507"/>
      <c r="I21" s="497">
        <f>SUM(F21:H21)</f>
        <v>0</v>
      </c>
      <c r="J21" s="506">
        <f>'WTAX-CONTRACTUAL'!N8</f>
        <v>0</v>
      </c>
      <c r="K21" s="505">
        <f>ROUND(I21-J21,2)</f>
        <v>0</v>
      </c>
      <c r="L21" s="504">
        <f>'WTAX-CONTRACTUAL'!F8</f>
        <v>0</v>
      </c>
      <c r="M21" s="497">
        <f>'CONTRACTUAL - DEDS'!R20</f>
        <v>0</v>
      </c>
      <c r="N21" s="497">
        <f>'CONTRACTUAL - DEDS'!X20</f>
        <v>0</v>
      </c>
      <c r="O21" s="497">
        <f>'CONTRACTUAL - DEDS'!Y20</f>
        <v>0</v>
      </c>
      <c r="P21" s="497">
        <f>'CONTRACTUAL - DEDS'!AE20</f>
        <v>0</v>
      </c>
      <c r="Q21" s="503">
        <f>ROUND(SUM(L21:P21),2)</f>
        <v>0</v>
      </c>
      <c r="R21" s="502">
        <f>K21-Q21</f>
        <v>0</v>
      </c>
      <c r="S21" s="501">
        <f>ROUND(R21/2,0)</f>
        <v>0</v>
      </c>
      <c r="T21" s="500">
        <f>R21-S21</f>
        <v>0</v>
      </c>
      <c r="U21" s="556">
        <f>B21</f>
        <v>1</v>
      </c>
      <c r="V21" s="498">
        <f>ROUND('CONTRACTUAL - PAY'!I21*0.12,2)</f>
        <v>0</v>
      </c>
      <c r="W21" s="497">
        <v>100</v>
      </c>
      <c r="X21" s="497">
        <f>MIN((I21*0.05)-'CONTRACTUAL - DEDS'!Y20,2500)</f>
        <v>0</v>
      </c>
      <c r="Y21" s="557">
        <v>200</v>
      </c>
    </row>
    <row r="22" spans="1:26" ht="18.75" customHeight="1" x14ac:dyDescent="0.25">
      <c r="A22" s="432"/>
      <c r="B22" s="556">
        <f>+B21+1</f>
        <v>2</v>
      </c>
      <c r="C22" s="509">
        <f>VLOOKUP(B22,'WTAX-CONTRACTUAL'!B:N,2,0)</f>
        <v>0</v>
      </c>
      <c r="D22" s="509" t="e">
        <f>VLOOKUP(C22,'WTAX-CONTRACTUAL'!C:O,2,0)</f>
        <v>#N/A</v>
      </c>
      <c r="E22" s="508">
        <f>VLOOKUP(B22,'WTAX-CONTRACTUAL'!B:N,4,0)</f>
        <v>0</v>
      </c>
      <c r="F22" s="525"/>
      <c r="G22" s="507"/>
      <c r="H22" s="507"/>
      <c r="I22" s="497">
        <f>SUM(F22:H22)</f>
        <v>0</v>
      </c>
      <c r="J22" s="506">
        <f>'WTAX-CONTRACTUAL'!N9</f>
        <v>0</v>
      </c>
      <c r="K22" s="505">
        <f>ROUND(I22-J22,2)</f>
        <v>0</v>
      </c>
      <c r="L22" s="504">
        <f>'WTAX-CONTRACTUAL'!F9</f>
        <v>0</v>
      </c>
      <c r="M22" s="497">
        <f>'CONTRACTUAL - DEDS'!R21</f>
        <v>0</v>
      </c>
      <c r="N22" s="497">
        <f>'CONTRACTUAL - DEDS'!X21</f>
        <v>0</v>
      </c>
      <c r="O22" s="497">
        <f>'CONTRACTUAL - DEDS'!Y21</f>
        <v>0</v>
      </c>
      <c r="P22" s="497">
        <f>'CONTRACTUAL - DEDS'!AE21</f>
        <v>0</v>
      </c>
      <c r="Q22" s="503">
        <f>ROUND(SUM(L22:P22),2)</f>
        <v>0</v>
      </c>
      <c r="R22" s="502">
        <f>K22-Q22</f>
        <v>0</v>
      </c>
      <c r="S22" s="501">
        <f>ROUND(R22/2,0)</f>
        <v>0</v>
      </c>
      <c r="T22" s="500">
        <f>R22-S22</f>
        <v>0</v>
      </c>
      <c r="U22" s="556">
        <f>B22</f>
        <v>2</v>
      </c>
      <c r="V22" s="498">
        <f>ROUND('CONTRACTUAL - PAY'!I22*0.12,2)</f>
        <v>0</v>
      </c>
      <c r="W22" s="497">
        <f>W21</f>
        <v>100</v>
      </c>
      <c r="X22" s="497">
        <f>MIN((I22*0.05)-'CONTRACTUAL - DEDS'!Y21,2500)</f>
        <v>0</v>
      </c>
      <c r="Y22" s="557">
        <f>Y21</f>
        <v>200</v>
      </c>
    </row>
    <row r="23" spans="1:26" ht="18.75" customHeight="1" x14ac:dyDescent="0.25">
      <c r="A23" s="432"/>
      <c r="B23" s="556">
        <f t="shared" ref="B23:B32" si="0">+B12+1</f>
        <v>1</v>
      </c>
      <c r="C23" s="509">
        <f>VLOOKUP(B23,'WTAX-CONTRACTUAL'!B:N,2,0)</f>
        <v>0</v>
      </c>
      <c r="D23" s="509" t="e">
        <f>VLOOKUP(C23,'WTAX-CONTRACTUAL'!C:O,2,0)</f>
        <v>#N/A</v>
      </c>
      <c r="E23" s="508">
        <f>VLOOKUP(B23,'WTAX-CONTRACTUAL'!B:N,4,0)</f>
        <v>0</v>
      </c>
      <c r="F23" s="525"/>
      <c r="G23" s="507"/>
      <c r="H23" s="507"/>
      <c r="I23" s="497">
        <f t="shared" ref="I23:I32" si="1">SUM(F23:H23)</f>
        <v>0</v>
      </c>
      <c r="J23" s="506">
        <f>'WTAX-CONTRACTUAL'!N10</f>
        <v>0</v>
      </c>
      <c r="K23" s="505">
        <f t="shared" ref="K23:K32" si="2">ROUND(I23-J23,2)</f>
        <v>0</v>
      </c>
      <c r="L23" s="504">
        <f>'WTAX-CONTRACTUAL'!F10</f>
        <v>0</v>
      </c>
      <c r="M23" s="497">
        <f>'CONTRACTUAL - DEDS'!R12</f>
        <v>0</v>
      </c>
      <c r="N23" s="497">
        <f>'CONTRACTUAL - DEDS'!X12</f>
        <v>0</v>
      </c>
      <c r="O23" s="497">
        <f>'CONTRACTUAL - DEDS'!Y12</f>
        <v>0</v>
      </c>
      <c r="P23" s="497">
        <f>'CONTRACTUAL - DEDS'!AE12</f>
        <v>0</v>
      </c>
      <c r="Q23" s="503">
        <f t="shared" ref="Q23:Q32" si="3">ROUND(SUM(L23:P23),2)</f>
        <v>0</v>
      </c>
      <c r="R23" s="502">
        <f t="shared" ref="R23:R32" si="4">K23-Q23</f>
        <v>0</v>
      </c>
      <c r="S23" s="501">
        <f t="shared" ref="S23:S32" si="5">ROUND(R23/2,0)</f>
        <v>0</v>
      </c>
      <c r="T23" s="500">
        <f t="shared" ref="T23:T32" si="6">R23-S23</f>
        <v>0</v>
      </c>
      <c r="U23" s="556">
        <f t="shared" ref="U23:U32" si="7">B23</f>
        <v>1</v>
      </c>
      <c r="V23" s="498">
        <f>ROUND('CONTRACTUAL - PAY'!I23*0.12,2)</f>
        <v>0</v>
      </c>
      <c r="W23" s="497">
        <f t="shared" ref="W23:W32" si="8">W12</f>
        <v>0</v>
      </c>
      <c r="X23" s="497">
        <f>MIN((I23*0.05)-'CONTRACTUAL - DEDS'!Y12,2500)</f>
        <v>0</v>
      </c>
      <c r="Y23" s="557">
        <f t="shared" ref="Y23:Y32" si="9">Y12</f>
        <v>0</v>
      </c>
    </row>
    <row r="24" spans="1:26" ht="18.75" customHeight="1" x14ac:dyDescent="0.25">
      <c r="A24" s="432"/>
      <c r="B24" s="556" t="e">
        <f t="shared" si="0"/>
        <v>#VALUE!</v>
      </c>
      <c r="C24" s="509" t="e">
        <f>VLOOKUP(B24,'WTAX-CONTRACTUAL'!B:N,2,0)</f>
        <v>#VALUE!</v>
      </c>
      <c r="D24" s="509" t="e">
        <f>VLOOKUP(C24,'WTAX-CONTRACTUAL'!C:O,2,0)</f>
        <v>#VALUE!</v>
      </c>
      <c r="E24" s="508" t="e">
        <f>VLOOKUP(B24,'WTAX-CONTRACTUAL'!B:N,4,0)</f>
        <v>#VALUE!</v>
      </c>
      <c r="F24" s="525"/>
      <c r="G24" s="507"/>
      <c r="H24" s="507"/>
      <c r="I24" s="497">
        <f t="shared" si="1"/>
        <v>0</v>
      </c>
      <c r="J24" s="506">
        <f>'WTAX-CONTRACTUAL'!N11</f>
        <v>0</v>
      </c>
      <c r="K24" s="505">
        <f t="shared" si="2"/>
        <v>0</v>
      </c>
      <c r="L24" s="504">
        <f>'WTAX-CONTRACTUAL'!F11</f>
        <v>0</v>
      </c>
      <c r="M24" s="497">
        <f>'CONTRACTUAL - DEDS'!R13</f>
        <v>0</v>
      </c>
      <c r="N24" s="497">
        <f>'CONTRACTUAL - DEDS'!X13</f>
        <v>0</v>
      </c>
      <c r="O24" s="497">
        <f>'CONTRACTUAL - DEDS'!Y13</f>
        <v>0</v>
      </c>
      <c r="P24" s="497">
        <f>'CONTRACTUAL - DEDS'!AE13</f>
        <v>0</v>
      </c>
      <c r="Q24" s="503">
        <f t="shared" si="3"/>
        <v>0</v>
      </c>
      <c r="R24" s="502">
        <f t="shared" si="4"/>
        <v>0</v>
      </c>
      <c r="S24" s="501">
        <f t="shared" si="5"/>
        <v>0</v>
      </c>
      <c r="T24" s="500">
        <f t="shared" si="6"/>
        <v>0</v>
      </c>
      <c r="U24" s="556" t="e">
        <f t="shared" si="7"/>
        <v>#VALUE!</v>
      </c>
      <c r="V24" s="498">
        <f>ROUND('CONTRACTUAL - PAY'!I24*0.12,2)</f>
        <v>0</v>
      </c>
      <c r="W24" s="497" t="str">
        <f t="shared" si="8"/>
        <v>2026-01-026</v>
      </c>
      <c r="X24" s="497">
        <f>MIN((I24*0.05)-'CONTRACTUAL - DEDS'!Y13,2500)</f>
        <v>0</v>
      </c>
      <c r="Y24" s="557">
        <f t="shared" si="9"/>
        <v>0</v>
      </c>
    </row>
    <row r="25" spans="1:26" ht="18.75" customHeight="1" x14ac:dyDescent="0.25">
      <c r="A25" s="432"/>
      <c r="B25" s="556">
        <f t="shared" si="0"/>
        <v>1</v>
      </c>
      <c r="C25" s="509">
        <f>VLOOKUP(B25,'WTAX-CONTRACTUAL'!B:N,2,0)</f>
        <v>0</v>
      </c>
      <c r="D25" s="509" t="e">
        <f>VLOOKUP(C25,'WTAX-CONTRACTUAL'!C:O,2,0)</f>
        <v>#N/A</v>
      </c>
      <c r="E25" s="508">
        <f>VLOOKUP(B25,'WTAX-CONTRACTUAL'!B:N,4,0)</f>
        <v>0</v>
      </c>
      <c r="F25" s="525"/>
      <c r="G25" s="507"/>
      <c r="H25" s="507"/>
      <c r="I25" s="497">
        <f t="shared" si="1"/>
        <v>0</v>
      </c>
      <c r="J25" s="506">
        <f>'WTAX-CONTRACTUAL'!N12</f>
        <v>0</v>
      </c>
      <c r="K25" s="505">
        <f t="shared" si="2"/>
        <v>0</v>
      </c>
      <c r="L25" s="504">
        <f>'WTAX-CONTRACTUAL'!F12</f>
        <v>0</v>
      </c>
      <c r="M25" s="497">
        <f>'CONTRACTUAL - DEDS'!R14</f>
        <v>0</v>
      </c>
      <c r="N25" s="497">
        <f>'CONTRACTUAL - DEDS'!X14</f>
        <v>0</v>
      </c>
      <c r="O25" s="497">
        <f>'CONTRACTUAL - DEDS'!Y14</f>
        <v>0</v>
      </c>
      <c r="P25" s="497">
        <f>'CONTRACTUAL - DEDS'!AE14</f>
        <v>0</v>
      </c>
      <c r="Q25" s="503">
        <f t="shared" si="3"/>
        <v>0</v>
      </c>
      <c r="R25" s="502">
        <f t="shared" si="4"/>
        <v>0</v>
      </c>
      <c r="S25" s="501">
        <f t="shared" si="5"/>
        <v>0</v>
      </c>
      <c r="T25" s="500">
        <f t="shared" si="6"/>
        <v>0</v>
      </c>
      <c r="U25" s="556">
        <f t="shared" si="7"/>
        <v>1</v>
      </c>
      <c r="V25" s="498">
        <f>ROUND('CONTRACTUAL - PAY'!I25*0.12,2)</f>
        <v>0</v>
      </c>
      <c r="W25" s="497">
        <f t="shared" si="8"/>
        <v>0</v>
      </c>
      <c r="X25" s="497">
        <f>MIN((I25*0.05)-'CONTRACTUAL - DEDS'!Y14,2500)</f>
        <v>0</v>
      </c>
      <c r="Y25" s="557">
        <f t="shared" si="9"/>
        <v>0</v>
      </c>
    </row>
    <row r="26" spans="1:26" ht="18.75" customHeight="1" x14ac:dyDescent="0.25">
      <c r="A26" s="432"/>
      <c r="B26" s="556" t="e">
        <f t="shared" si="0"/>
        <v>#VALUE!</v>
      </c>
      <c r="C26" s="509" t="e">
        <f>VLOOKUP(B26,'WTAX-CONTRACTUAL'!B:N,2,0)</f>
        <v>#VALUE!</v>
      </c>
      <c r="D26" s="509" t="e">
        <f>VLOOKUP(C26,'WTAX-CONTRACTUAL'!C:O,2,0)</f>
        <v>#VALUE!</v>
      </c>
      <c r="E26" s="508" t="e">
        <f>VLOOKUP(B26,'WTAX-CONTRACTUAL'!B:N,4,0)</f>
        <v>#VALUE!</v>
      </c>
      <c r="F26" s="525"/>
      <c r="G26" s="507"/>
      <c r="H26" s="507"/>
      <c r="I26" s="497">
        <f t="shared" si="1"/>
        <v>0</v>
      </c>
      <c r="J26" s="506">
        <f>'WTAX-CONTRACTUAL'!N13</f>
        <v>0</v>
      </c>
      <c r="K26" s="505">
        <f t="shared" si="2"/>
        <v>0</v>
      </c>
      <c r="L26" s="504">
        <f>'WTAX-CONTRACTUAL'!F13</f>
        <v>0</v>
      </c>
      <c r="M26" s="497">
        <f>'CONTRACTUAL - DEDS'!R15</f>
        <v>0</v>
      </c>
      <c r="N26" s="497">
        <f>'CONTRACTUAL - DEDS'!X15</f>
        <v>0</v>
      </c>
      <c r="O26" s="497">
        <f>'CONTRACTUAL - DEDS'!Y15</f>
        <v>0</v>
      </c>
      <c r="P26" s="497">
        <f>'CONTRACTUAL - DEDS'!AE15</f>
        <v>0</v>
      </c>
      <c r="Q26" s="503">
        <f t="shared" si="3"/>
        <v>0</v>
      </c>
      <c r="R26" s="502">
        <f t="shared" si="4"/>
        <v>0</v>
      </c>
      <c r="S26" s="501">
        <f t="shared" si="5"/>
        <v>0</v>
      </c>
      <c r="T26" s="500">
        <f t="shared" si="6"/>
        <v>0</v>
      </c>
      <c r="U26" s="556" t="e">
        <f t="shared" si="7"/>
        <v>#VALUE!</v>
      </c>
      <c r="V26" s="498">
        <f>ROUND('CONTRACTUAL - PAY'!I26*0.12,2)</f>
        <v>0</v>
      </c>
      <c r="W26" s="497">
        <f t="shared" si="8"/>
        <v>0</v>
      </c>
      <c r="X26" s="497">
        <f>MIN((I26*0.05)-'CONTRACTUAL - DEDS'!Y15,2500)</f>
        <v>0</v>
      </c>
      <c r="Y26" s="557">
        <f t="shared" si="9"/>
        <v>0</v>
      </c>
    </row>
    <row r="27" spans="1:26" ht="18.75" customHeight="1" x14ac:dyDescent="0.25">
      <c r="A27" s="432"/>
      <c r="B27" s="556">
        <f t="shared" si="0"/>
        <v>1</v>
      </c>
      <c r="C27" s="509">
        <f>VLOOKUP(B27,'WTAX-CONTRACTUAL'!B:N,2,0)</f>
        <v>0</v>
      </c>
      <c r="D27" s="509" t="e">
        <f>VLOOKUP(C27,'WTAX-CONTRACTUAL'!C:O,2,0)</f>
        <v>#N/A</v>
      </c>
      <c r="E27" s="508">
        <f>VLOOKUP(B27,'WTAX-CONTRACTUAL'!B:N,4,0)</f>
        <v>0</v>
      </c>
      <c r="F27" s="525"/>
      <c r="G27" s="507"/>
      <c r="H27" s="507"/>
      <c r="I27" s="497">
        <f t="shared" si="1"/>
        <v>0</v>
      </c>
      <c r="J27" s="506">
        <f>'WTAX-CONTRACTUAL'!N14</f>
        <v>0</v>
      </c>
      <c r="K27" s="505">
        <f t="shared" si="2"/>
        <v>0</v>
      </c>
      <c r="L27" s="504">
        <f>'WTAX-CONTRACTUAL'!F14</f>
        <v>0</v>
      </c>
      <c r="M27" s="497">
        <f>'CONTRACTUAL - DEDS'!R16</f>
        <v>0</v>
      </c>
      <c r="N27" s="497">
        <f>'CONTRACTUAL - DEDS'!X16</f>
        <v>0</v>
      </c>
      <c r="O27" s="497" t="str">
        <f>'CONTRACTUAL - DEDS'!Y16</f>
        <v>PHILHEALTH</v>
      </c>
      <c r="P27" s="497">
        <f>'CONTRACTUAL - DEDS'!AE16</f>
        <v>0</v>
      </c>
      <c r="Q27" s="503">
        <f t="shared" si="3"/>
        <v>0</v>
      </c>
      <c r="R27" s="502">
        <f t="shared" si="4"/>
        <v>0</v>
      </c>
      <c r="S27" s="501">
        <f t="shared" si="5"/>
        <v>0</v>
      </c>
      <c r="T27" s="500">
        <f t="shared" si="6"/>
        <v>0</v>
      </c>
      <c r="U27" s="556">
        <f t="shared" si="7"/>
        <v>1</v>
      </c>
      <c r="V27" s="498">
        <f>ROUND('CONTRACTUAL - PAY'!I27*0.12,2)</f>
        <v>0</v>
      </c>
      <c r="W27" s="497">
        <f t="shared" si="8"/>
        <v>0</v>
      </c>
      <c r="X27" s="497" t="e">
        <f>MIN((I27*0.05)-'CONTRACTUAL - DEDS'!Y16,2500)</f>
        <v>#VALUE!</v>
      </c>
      <c r="Y27" s="557">
        <f t="shared" si="9"/>
        <v>0</v>
      </c>
    </row>
    <row r="28" spans="1:26" ht="18.75" customHeight="1" x14ac:dyDescent="0.25">
      <c r="A28" s="432"/>
      <c r="B28" s="556" t="e">
        <f t="shared" si="0"/>
        <v>#VALUE!</v>
      </c>
      <c r="C28" s="509" t="e">
        <f>VLOOKUP(B28,'WTAX-CONTRACTUAL'!B:N,2,0)</f>
        <v>#VALUE!</v>
      </c>
      <c r="D28" s="509" t="e">
        <f>VLOOKUP(C28,'WTAX-CONTRACTUAL'!C:O,2,0)</f>
        <v>#VALUE!</v>
      </c>
      <c r="E28" s="508" t="e">
        <f>VLOOKUP(B28,'WTAX-CONTRACTUAL'!B:N,4,0)</f>
        <v>#VALUE!</v>
      </c>
      <c r="F28" s="525"/>
      <c r="G28" s="507"/>
      <c r="H28" s="507"/>
      <c r="I28" s="497">
        <f t="shared" si="1"/>
        <v>0</v>
      </c>
      <c r="J28" s="506" t="e">
        <f>'WTAX-CONTRACTUAL'!N15</f>
        <v>#VALUE!</v>
      </c>
      <c r="K28" s="505" t="e">
        <f t="shared" si="2"/>
        <v>#VALUE!</v>
      </c>
      <c r="L28" s="504">
        <f>'WTAX-CONTRACTUAL'!F15</f>
        <v>0</v>
      </c>
      <c r="M28" s="497" t="str">
        <f>'CONTRACTUAL - DEDS'!R17</f>
        <v>TOTAL GSIS DEDS.</v>
      </c>
      <c r="N28" s="497" t="str">
        <f>'CONTRACTUAL - DEDS'!X17</f>
        <v>TOTAL PAG-IBIG DEDS.</v>
      </c>
      <c r="O28" s="497">
        <f>'CONTRACTUAL - DEDS'!Y17</f>
        <v>0</v>
      </c>
      <c r="P28" s="497" t="str">
        <f>'CONTRACTUAL - DEDS'!AE17</f>
        <v>TOTAL OTHER DEDS.</v>
      </c>
      <c r="Q28" s="503">
        <f t="shared" si="3"/>
        <v>0</v>
      </c>
      <c r="R28" s="502" t="e">
        <f t="shared" si="4"/>
        <v>#VALUE!</v>
      </c>
      <c r="S28" s="501" t="e">
        <f t="shared" si="5"/>
        <v>#VALUE!</v>
      </c>
      <c r="T28" s="500" t="e">
        <f t="shared" si="6"/>
        <v>#VALUE!</v>
      </c>
      <c r="U28" s="556" t="e">
        <f t="shared" si="7"/>
        <v>#VALUE!</v>
      </c>
      <c r="V28" s="498">
        <f>ROUND('CONTRACTUAL - PAY'!I28*0.12,2)</f>
        <v>0</v>
      </c>
      <c r="W28" s="497">
        <f t="shared" si="8"/>
        <v>0</v>
      </c>
      <c r="X28" s="497">
        <f>MIN((I28*0.05)-'CONTRACTUAL - DEDS'!Y17,2500)</f>
        <v>0</v>
      </c>
      <c r="Y28" s="557">
        <f t="shared" si="9"/>
        <v>0</v>
      </c>
    </row>
    <row r="29" spans="1:26" ht="18.75" customHeight="1" x14ac:dyDescent="0.25">
      <c r="A29" s="432"/>
      <c r="B29" s="556">
        <f t="shared" si="0"/>
        <v>1</v>
      </c>
      <c r="C29" s="509">
        <f>VLOOKUP(B29,'WTAX-CONTRACTUAL'!B:N,2,0)</f>
        <v>0</v>
      </c>
      <c r="D29" s="509" t="e">
        <f>VLOOKUP(C29,'WTAX-CONTRACTUAL'!C:O,2,0)</f>
        <v>#N/A</v>
      </c>
      <c r="E29" s="508">
        <f>VLOOKUP(B29,'WTAX-CONTRACTUAL'!B:N,4,0)</f>
        <v>0</v>
      </c>
      <c r="F29" s="525"/>
      <c r="G29" s="507"/>
      <c r="H29" s="507"/>
      <c r="I29" s="497">
        <f t="shared" si="1"/>
        <v>0</v>
      </c>
      <c r="J29" s="506">
        <f>'WTAX-CONTRACTUAL'!N16</f>
        <v>0</v>
      </c>
      <c r="K29" s="505">
        <f t="shared" si="2"/>
        <v>0</v>
      </c>
      <c r="L29" s="504">
        <f>'WTAX-CONTRACTUAL'!F16</f>
        <v>0</v>
      </c>
      <c r="M29" s="497">
        <f>'CONTRACTUAL - DEDS'!R18</f>
        <v>0</v>
      </c>
      <c r="N29" s="497">
        <f>'CONTRACTUAL - DEDS'!X18</f>
        <v>0</v>
      </c>
      <c r="O29" s="497">
        <f>'CONTRACTUAL - DEDS'!Y18</f>
        <v>0</v>
      </c>
      <c r="P29" s="497">
        <f>'CONTRACTUAL - DEDS'!AE18</f>
        <v>0</v>
      </c>
      <c r="Q29" s="503">
        <f t="shared" si="3"/>
        <v>0</v>
      </c>
      <c r="R29" s="502">
        <f t="shared" si="4"/>
        <v>0</v>
      </c>
      <c r="S29" s="501">
        <f t="shared" si="5"/>
        <v>0</v>
      </c>
      <c r="T29" s="500">
        <f t="shared" si="6"/>
        <v>0</v>
      </c>
      <c r="U29" s="556">
        <f t="shared" si="7"/>
        <v>1</v>
      </c>
      <c r="V29" s="498">
        <f>ROUND('CONTRACTUAL - PAY'!I29*0.12,2)</f>
        <v>0</v>
      </c>
      <c r="W29" s="497" t="str">
        <f t="shared" si="8"/>
        <v>EC</v>
      </c>
      <c r="X29" s="497">
        <f>MIN((I29*0.05)-'CONTRACTUAL - DEDS'!Y18,2500)</f>
        <v>0</v>
      </c>
      <c r="Y29" s="557" t="str">
        <f t="shared" si="9"/>
        <v>PAG-IBIG</v>
      </c>
    </row>
    <row r="30" spans="1:26" ht="18.75" customHeight="1" x14ac:dyDescent="0.25">
      <c r="A30" s="432"/>
      <c r="B30" s="556">
        <f t="shared" si="0"/>
        <v>1</v>
      </c>
      <c r="C30" s="509">
        <f>VLOOKUP(B30,'WTAX-CONTRACTUAL'!B:N,2,0)</f>
        <v>0</v>
      </c>
      <c r="D30" s="509" t="e">
        <f>VLOOKUP(C30,'WTAX-CONTRACTUAL'!C:O,2,0)</f>
        <v>#N/A</v>
      </c>
      <c r="E30" s="508">
        <f>VLOOKUP(B30,'WTAX-CONTRACTUAL'!B:N,4,0)</f>
        <v>0</v>
      </c>
      <c r="F30" s="525"/>
      <c r="G30" s="507"/>
      <c r="H30" s="507"/>
      <c r="I30" s="497">
        <f t="shared" si="1"/>
        <v>0</v>
      </c>
      <c r="J30" s="506">
        <f>'WTAX-CONTRACTUAL'!N17</f>
        <v>0</v>
      </c>
      <c r="K30" s="505">
        <f t="shared" si="2"/>
        <v>0</v>
      </c>
      <c r="L30" s="504">
        <f>'WTAX-CONTRACTUAL'!F17</f>
        <v>0</v>
      </c>
      <c r="M30" s="497">
        <f>'CONTRACTUAL - DEDS'!R19</f>
        <v>0</v>
      </c>
      <c r="N30" s="497">
        <f>'CONTRACTUAL - DEDS'!X19</f>
        <v>0</v>
      </c>
      <c r="O30" s="497">
        <f>'CONTRACTUAL - DEDS'!Y19</f>
        <v>0</v>
      </c>
      <c r="P30" s="497">
        <f>'CONTRACTUAL - DEDS'!AE19</f>
        <v>0</v>
      </c>
      <c r="Q30" s="503">
        <f t="shared" si="3"/>
        <v>0</v>
      </c>
      <c r="R30" s="502">
        <f t="shared" si="4"/>
        <v>0</v>
      </c>
      <c r="S30" s="501">
        <f t="shared" si="5"/>
        <v>0</v>
      </c>
      <c r="T30" s="500">
        <f t="shared" si="6"/>
        <v>0</v>
      </c>
      <c r="U30" s="556">
        <f t="shared" si="7"/>
        <v>1</v>
      </c>
      <c r="V30" s="498">
        <f>ROUND('CONTRACTUAL - PAY'!I30*0.12,2)</f>
        <v>0</v>
      </c>
      <c r="W30" s="497">
        <f t="shared" si="8"/>
        <v>0</v>
      </c>
      <c r="X30" s="497">
        <f>MIN((I30*0.05)-'CONTRACTUAL - DEDS'!Y19,2500)</f>
        <v>0</v>
      </c>
      <c r="Y30" s="557">
        <f t="shared" si="9"/>
        <v>0</v>
      </c>
    </row>
    <row r="31" spans="1:26" ht="18.75" customHeight="1" x14ac:dyDescent="0.25">
      <c r="A31" s="432"/>
      <c r="B31" s="556">
        <f t="shared" si="0"/>
        <v>1</v>
      </c>
      <c r="C31" s="509">
        <f>VLOOKUP(B31,'WTAX-CONTRACTUAL'!B:N,2,0)</f>
        <v>0</v>
      </c>
      <c r="D31" s="509" t="e">
        <f>VLOOKUP(C31,'WTAX-CONTRACTUAL'!C:O,2,0)</f>
        <v>#N/A</v>
      </c>
      <c r="E31" s="508">
        <f>VLOOKUP(B31,'WTAX-CONTRACTUAL'!B:N,4,0)</f>
        <v>0</v>
      </c>
      <c r="F31" s="525"/>
      <c r="G31" s="507"/>
      <c r="H31" s="507"/>
      <c r="I31" s="497">
        <f t="shared" si="1"/>
        <v>0</v>
      </c>
      <c r="J31" s="506">
        <f>'WTAX-CONTRACTUAL'!N18</f>
        <v>0</v>
      </c>
      <c r="K31" s="505">
        <f t="shared" si="2"/>
        <v>0</v>
      </c>
      <c r="L31" s="504">
        <f>'WTAX-CONTRACTUAL'!F18</f>
        <v>0</v>
      </c>
      <c r="M31" s="497">
        <f>'CONTRACTUAL - DEDS'!R20</f>
        <v>0</v>
      </c>
      <c r="N31" s="497">
        <f>'CONTRACTUAL - DEDS'!X20</f>
        <v>0</v>
      </c>
      <c r="O31" s="497">
        <f>'CONTRACTUAL - DEDS'!Y20</f>
        <v>0</v>
      </c>
      <c r="P31" s="497">
        <f>'CONTRACTUAL - DEDS'!AE20</f>
        <v>0</v>
      </c>
      <c r="Q31" s="503">
        <f t="shared" si="3"/>
        <v>0</v>
      </c>
      <c r="R31" s="502">
        <f t="shared" si="4"/>
        <v>0</v>
      </c>
      <c r="S31" s="501">
        <f t="shared" si="5"/>
        <v>0</v>
      </c>
      <c r="T31" s="500">
        <f t="shared" si="6"/>
        <v>0</v>
      </c>
      <c r="U31" s="556">
        <f t="shared" si="7"/>
        <v>1</v>
      </c>
      <c r="V31" s="498">
        <f>ROUND('CONTRACTUAL - PAY'!I31*0.12,2)</f>
        <v>0</v>
      </c>
      <c r="W31" s="497">
        <f t="shared" si="8"/>
        <v>0</v>
      </c>
      <c r="X31" s="497">
        <f>MIN((I31*0.05)-'CONTRACTUAL - DEDS'!Y20,2500)</f>
        <v>0</v>
      </c>
      <c r="Y31" s="557">
        <f t="shared" si="9"/>
        <v>0</v>
      </c>
    </row>
    <row r="32" spans="1:26" ht="18.75" customHeight="1" x14ac:dyDescent="0.25">
      <c r="A32" s="432"/>
      <c r="B32" s="556">
        <f t="shared" si="0"/>
        <v>2</v>
      </c>
      <c r="C32" s="509">
        <f>VLOOKUP(B32,'WTAX-CONTRACTUAL'!B:N,2,0)</f>
        <v>0</v>
      </c>
      <c r="D32" s="509" t="e">
        <f>VLOOKUP(C32,'WTAX-CONTRACTUAL'!C:O,2,0)</f>
        <v>#N/A</v>
      </c>
      <c r="E32" s="508">
        <f>VLOOKUP(B32,'WTAX-CONTRACTUAL'!B:N,4,0)</f>
        <v>0</v>
      </c>
      <c r="F32" s="525"/>
      <c r="G32" s="507"/>
      <c r="H32" s="507"/>
      <c r="I32" s="497">
        <f t="shared" si="1"/>
        <v>0</v>
      </c>
      <c r="J32" s="506">
        <f>'WTAX-CONTRACTUAL'!N19</f>
        <v>0</v>
      </c>
      <c r="K32" s="505">
        <f t="shared" si="2"/>
        <v>0</v>
      </c>
      <c r="L32" s="504">
        <f>'WTAX-CONTRACTUAL'!F19</f>
        <v>0</v>
      </c>
      <c r="M32" s="497">
        <f>'CONTRACTUAL - DEDS'!R21</f>
        <v>0</v>
      </c>
      <c r="N32" s="497">
        <f>'CONTRACTUAL - DEDS'!X21</f>
        <v>0</v>
      </c>
      <c r="O32" s="497">
        <f>'CONTRACTUAL - DEDS'!Y21</f>
        <v>0</v>
      </c>
      <c r="P32" s="497">
        <f>'CONTRACTUAL - DEDS'!AE21</f>
        <v>0</v>
      </c>
      <c r="Q32" s="503">
        <f t="shared" si="3"/>
        <v>0</v>
      </c>
      <c r="R32" s="502">
        <f t="shared" si="4"/>
        <v>0</v>
      </c>
      <c r="S32" s="501">
        <f t="shared" si="5"/>
        <v>0</v>
      </c>
      <c r="T32" s="500">
        <f t="shared" si="6"/>
        <v>0</v>
      </c>
      <c r="U32" s="556">
        <f t="shared" si="7"/>
        <v>2</v>
      </c>
      <c r="V32" s="498">
        <f>ROUND('CONTRACTUAL - PAY'!I32*0.12,2)</f>
        <v>0</v>
      </c>
      <c r="W32" s="497">
        <f t="shared" si="8"/>
        <v>100</v>
      </c>
      <c r="X32" s="497">
        <f>MIN((I32*0.05)-'CONTRACTUAL - DEDS'!Y21,2500)</f>
        <v>0</v>
      </c>
      <c r="Y32" s="557">
        <f t="shared" si="9"/>
        <v>200</v>
      </c>
    </row>
    <row r="33" spans="1:26" ht="18.75" customHeight="1" x14ac:dyDescent="0.25">
      <c r="A33" s="432"/>
      <c r="B33" s="556">
        <f>+B22+1</f>
        <v>3</v>
      </c>
      <c r="C33" s="509">
        <f>VLOOKUP(B33,'WTAX-CONTRACTUAL'!B:N,2,0)</f>
        <v>0</v>
      </c>
      <c r="D33" s="509" t="e">
        <f>VLOOKUP(C33,'WTAX-CONTRACTUAL'!C:O,2,0)</f>
        <v>#N/A</v>
      </c>
      <c r="E33" s="508">
        <f>VLOOKUP(B33,'WTAX-CONTRACTUAL'!B:N,4,0)</f>
        <v>0</v>
      </c>
      <c r="F33" s="525"/>
      <c r="G33" s="507"/>
      <c r="H33" s="507"/>
      <c r="I33" s="497">
        <f>SUM(F33:H33)</f>
        <v>0</v>
      </c>
      <c r="J33" s="506">
        <f>'WTAX-CONTRACTUAL'!N20</f>
        <v>0</v>
      </c>
      <c r="K33" s="505">
        <f>ROUND(I33-J33,2)</f>
        <v>0</v>
      </c>
      <c r="L33" s="504">
        <f>'WTAX-CONTRACTUAL'!F20</f>
        <v>0</v>
      </c>
      <c r="M33" s="497">
        <f>'CONTRACTUAL - DEDS'!R32</f>
        <v>0</v>
      </c>
      <c r="N33" s="497">
        <f>'CONTRACTUAL - DEDS'!X32</f>
        <v>0</v>
      </c>
      <c r="O33" s="497">
        <f>'CONTRACTUAL - DEDS'!Y32</f>
        <v>0</v>
      </c>
      <c r="P33" s="497">
        <f>'CONTRACTUAL - DEDS'!AE32</f>
        <v>0</v>
      </c>
      <c r="Q33" s="503">
        <f>ROUND(SUM(L33:P33),2)</f>
        <v>0</v>
      </c>
      <c r="R33" s="502">
        <f>K33-Q33</f>
        <v>0</v>
      </c>
      <c r="S33" s="501">
        <f>ROUND(R33/2,0)</f>
        <v>0</v>
      </c>
      <c r="T33" s="500">
        <f>R33-S33</f>
        <v>0</v>
      </c>
      <c r="U33" s="556">
        <f>B33</f>
        <v>3</v>
      </c>
      <c r="V33" s="498">
        <f>ROUND('CONTRACTUAL - PAY'!I33*0.12,2)</f>
        <v>0</v>
      </c>
      <c r="W33" s="497">
        <f>W22</f>
        <v>100</v>
      </c>
      <c r="X33" s="497">
        <f>MIN((I33*0.05)-'CONTRACTUAL - DEDS'!Y32,2500)</f>
        <v>0</v>
      </c>
      <c r="Y33" s="557">
        <f>Y22</f>
        <v>200</v>
      </c>
    </row>
    <row r="34" spans="1:26" ht="18.75" customHeight="1" x14ac:dyDescent="0.25">
      <c r="A34" s="432"/>
      <c r="B34" s="476"/>
      <c r="C34" s="485"/>
      <c r="D34" s="485"/>
      <c r="E34" s="476"/>
      <c r="F34" s="495"/>
      <c r="G34" s="494"/>
      <c r="H34" s="494"/>
      <c r="I34" s="487"/>
      <c r="J34" s="493"/>
      <c r="K34" s="492"/>
      <c r="L34" s="489"/>
      <c r="M34" s="487"/>
      <c r="N34" s="487"/>
      <c r="O34" s="487"/>
      <c r="P34" s="487"/>
      <c r="Q34" s="491"/>
      <c r="R34" s="490"/>
      <c r="S34" s="489"/>
      <c r="T34" s="486"/>
      <c r="U34" s="476"/>
      <c r="V34" s="488"/>
      <c r="W34" s="487"/>
      <c r="X34" s="487"/>
      <c r="Y34" s="486"/>
    </row>
    <row r="35" spans="1:26" ht="18.75" customHeight="1" thickBot="1" x14ac:dyDescent="0.3">
      <c r="A35" s="432"/>
      <c r="B35" s="485"/>
      <c r="C35" s="485"/>
      <c r="D35" s="485"/>
      <c r="E35" s="476"/>
      <c r="F35" s="484">
        <f>SUM(F21:F34)</f>
        <v>0</v>
      </c>
      <c r="G35" s="483"/>
      <c r="H35" s="483">
        <f t="shared" ref="H35:T35" si="10">SUM(H21:H34)</f>
        <v>0</v>
      </c>
      <c r="I35" s="482">
        <f t="shared" si="10"/>
        <v>0</v>
      </c>
      <c r="J35" s="481" t="e">
        <f t="shared" si="10"/>
        <v>#VALUE!</v>
      </c>
      <c r="K35" s="480" t="e">
        <f t="shared" si="10"/>
        <v>#VALUE!</v>
      </c>
      <c r="L35" s="477">
        <f t="shared" si="10"/>
        <v>0</v>
      </c>
      <c r="M35" s="474">
        <f t="shared" si="10"/>
        <v>0</v>
      </c>
      <c r="N35" s="474">
        <f t="shared" si="10"/>
        <v>0</v>
      </c>
      <c r="O35" s="474">
        <f t="shared" si="10"/>
        <v>0</v>
      </c>
      <c r="P35" s="474">
        <f t="shared" si="10"/>
        <v>0</v>
      </c>
      <c r="Q35" s="479">
        <f t="shared" si="10"/>
        <v>0</v>
      </c>
      <c r="R35" s="478" t="e">
        <f t="shared" si="10"/>
        <v>#VALUE!</v>
      </c>
      <c r="S35" s="477" t="e">
        <f t="shared" si="10"/>
        <v>#VALUE!</v>
      </c>
      <c r="T35" s="473" t="e">
        <f t="shared" si="10"/>
        <v>#VALUE!</v>
      </c>
      <c r="U35" s="476"/>
      <c r="V35" s="475">
        <f>SUM(V21:V34)</f>
        <v>0</v>
      </c>
      <c r="W35" s="474">
        <f>SUM(W21:W34)</f>
        <v>400</v>
      </c>
      <c r="X35" s="474" t="e">
        <f>SUM(X21:X34)</f>
        <v>#VALUE!</v>
      </c>
      <c r="Y35" s="473">
        <f>SUM(Y21:Y34)</f>
        <v>800</v>
      </c>
    </row>
    <row r="36" spans="1:26" ht="21" customHeight="1" thickBot="1" x14ac:dyDescent="0.3">
      <c r="A36" s="432"/>
      <c r="B36" s="138" t="s">
        <v>21</v>
      </c>
      <c r="C36" s="983" t="s">
        <v>104</v>
      </c>
      <c r="D36" s="984"/>
      <c r="E36" s="984"/>
      <c r="F36" s="984"/>
      <c r="G36" s="984"/>
      <c r="H36" s="454"/>
      <c r="I36" s="454"/>
      <c r="J36" s="454"/>
      <c r="K36" s="470"/>
      <c r="L36" s="470"/>
      <c r="M36" s="470"/>
      <c r="N36" s="472"/>
      <c r="O36" s="138" t="s">
        <v>23</v>
      </c>
      <c r="P36" s="471" t="s">
        <v>89</v>
      </c>
      <c r="Q36" s="470"/>
      <c r="R36" s="470"/>
      <c r="S36" s="996"/>
      <c r="T36" s="996"/>
      <c r="U36" s="996"/>
      <c r="V36" s="996"/>
      <c r="W36" s="996"/>
      <c r="X36" s="996"/>
      <c r="Y36" s="997"/>
    </row>
    <row r="37" spans="1:26" ht="30.75" customHeight="1" x14ac:dyDescent="0.25">
      <c r="A37" s="432"/>
      <c r="B37" s="447" t="s">
        <v>22</v>
      </c>
      <c r="D37" s="451"/>
      <c r="E37" s="452"/>
      <c r="F37" s="451"/>
      <c r="G37" s="451"/>
      <c r="H37" s="451"/>
      <c r="I37" s="469"/>
      <c r="J37" s="469"/>
      <c r="K37" s="469"/>
      <c r="L37" s="469"/>
      <c r="M37" s="469"/>
      <c r="N37" s="468"/>
      <c r="O37" s="992" t="e" cm="1">
        <f t="array" aca="1" ref="O37" ca="1">PesosInWords2Caps(W37)</f>
        <v>#NAME?</v>
      </c>
      <c r="P37" s="993"/>
      <c r="Q37" s="993"/>
      <c r="R37" s="993"/>
      <c r="S37" s="993"/>
      <c r="T37" s="993"/>
      <c r="U37" s="993"/>
      <c r="V37" s="993"/>
      <c r="W37" s="990" t="e">
        <f>S35</f>
        <v>#VALUE!</v>
      </c>
      <c r="X37" s="990"/>
      <c r="Y37" s="991"/>
    </row>
    <row r="38" spans="1:26" ht="21.75" customHeight="1" x14ac:dyDescent="0.25">
      <c r="A38" s="432"/>
      <c r="B38" s="447"/>
      <c r="C38" s="451"/>
      <c r="D38" s="451"/>
      <c r="E38" s="452"/>
      <c r="F38" s="451"/>
      <c r="G38" s="451"/>
      <c r="H38" s="451"/>
      <c r="I38" s="451"/>
      <c r="J38" s="451"/>
      <c r="K38" s="451"/>
      <c r="L38" s="451"/>
      <c r="M38" s="451"/>
      <c r="N38" s="450"/>
      <c r="O38" s="449"/>
      <c r="P38" s="451"/>
      <c r="Q38" s="451"/>
      <c r="R38" s="451"/>
      <c r="Y38" s="443"/>
    </row>
    <row r="39" spans="1:26" ht="21.75" customHeight="1" x14ac:dyDescent="0.25">
      <c r="A39" s="432"/>
      <c r="B39" s="447"/>
      <c r="N39" s="467"/>
      <c r="O39" s="448"/>
      <c r="P39" s="452"/>
      <c r="Y39" s="443"/>
    </row>
    <row r="40" spans="1:26" ht="16.5" customHeight="1" x14ac:dyDescent="0.25">
      <c r="A40" s="432"/>
      <c r="B40" s="447"/>
      <c r="C40" s="678" t="s">
        <v>47</v>
      </c>
      <c r="D40" s="678"/>
      <c r="E40" s="466"/>
      <c r="F40" s="464">
        <f ca="1">NOW()</f>
        <v>46275.505203009256</v>
      </c>
      <c r="G40" s="465"/>
      <c r="H40" s="678" t="s">
        <v>95</v>
      </c>
      <c r="I40" s="678"/>
      <c r="J40" s="678"/>
      <c r="K40" s="678"/>
      <c r="L40" s="451"/>
      <c r="M40" s="464">
        <f ca="1">NOW()</f>
        <v>46275.505203009256</v>
      </c>
      <c r="N40" s="445"/>
      <c r="O40" s="444"/>
      <c r="P40" s="460"/>
      <c r="Q40" s="678" t="s">
        <v>97</v>
      </c>
      <c r="R40" s="678"/>
      <c r="S40" s="678"/>
      <c r="V40" s="463"/>
      <c r="W40" s="462"/>
      <c r="X40" s="462"/>
      <c r="Y40" s="443"/>
    </row>
    <row r="41" spans="1:26" ht="15.75" x14ac:dyDescent="0.25">
      <c r="A41" s="432"/>
      <c r="B41" s="447"/>
      <c r="C41" s="669" t="s">
        <v>93</v>
      </c>
      <c r="D41" s="669"/>
      <c r="F41" s="459" t="s">
        <v>29</v>
      </c>
      <c r="H41" s="669" t="s">
        <v>94</v>
      </c>
      <c r="I41" s="669"/>
      <c r="J41" s="669"/>
      <c r="K41" s="669"/>
      <c r="M41" s="459" t="s">
        <v>29</v>
      </c>
      <c r="N41" s="461"/>
      <c r="O41" s="444"/>
      <c r="P41" s="460"/>
      <c r="Q41" s="669" t="s">
        <v>96</v>
      </c>
      <c r="R41" s="669"/>
      <c r="S41" s="669"/>
      <c r="V41" s="459" t="s">
        <v>29</v>
      </c>
      <c r="Y41" s="443"/>
    </row>
    <row r="42" spans="1:26" ht="16.5" thickBot="1" x14ac:dyDescent="0.3">
      <c r="A42" s="432"/>
      <c r="B42" s="396"/>
      <c r="C42" s="457"/>
      <c r="D42" s="457"/>
      <c r="E42" s="458"/>
      <c r="F42" s="457"/>
      <c r="G42" s="457"/>
      <c r="H42" s="457"/>
      <c r="I42" s="457"/>
      <c r="J42" s="457"/>
      <c r="K42" s="394"/>
      <c r="L42" s="394"/>
      <c r="M42" s="394"/>
      <c r="N42" s="439"/>
      <c r="O42" s="438"/>
      <c r="P42" s="456"/>
      <c r="Q42" s="437"/>
      <c r="R42" s="437"/>
      <c r="S42" s="437"/>
      <c r="T42" s="394"/>
      <c r="U42" s="455"/>
      <c r="V42" s="394"/>
      <c r="W42" s="394"/>
      <c r="X42" s="394"/>
      <c r="Y42" s="435"/>
      <c r="Z42" s="975"/>
    </row>
    <row r="43" spans="1:26" ht="21" customHeight="1" thickBot="1" x14ac:dyDescent="0.3">
      <c r="A43" s="432"/>
      <c r="B43" s="138" t="s">
        <v>24</v>
      </c>
      <c r="C43" s="969" t="s">
        <v>105</v>
      </c>
      <c r="D43" s="969" t="s">
        <v>100</v>
      </c>
      <c r="E43" s="969"/>
      <c r="F43" s="969"/>
      <c r="G43" s="969"/>
      <c r="H43" s="969"/>
      <c r="I43" s="969"/>
      <c r="J43" s="969"/>
      <c r="K43" s="969"/>
      <c r="L43" s="965" t="e">
        <f>S35</f>
        <v>#VALUE!</v>
      </c>
      <c r="M43" s="965"/>
      <c r="N43" s="966"/>
      <c r="O43" s="138" t="s">
        <v>25</v>
      </c>
      <c r="P43" s="971" t="s">
        <v>35</v>
      </c>
      <c r="Q43" s="971"/>
      <c r="R43" s="971"/>
      <c r="S43" s="971"/>
      <c r="T43" s="972"/>
      <c r="U43" s="138" t="s">
        <v>27</v>
      </c>
      <c r="V43" s="454"/>
      <c r="W43" s="454"/>
      <c r="X43" s="454"/>
      <c r="Y43" s="453"/>
      <c r="Z43" s="976"/>
    </row>
    <row r="44" spans="1:26" ht="30.75" customHeight="1" x14ac:dyDescent="0.25">
      <c r="A44" s="432"/>
      <c r="B44" s="447" t="s">
        <v>26</v>
      </c>
      <c r="C44" s="970"/>
      <c r="D44" s="970"/>
      <c r="E44" s="970"/>
      <c r="F44" s="970"/>
      <c r="G44" s="970"/>
      <c r="H44" s="970"/>
      <c r="I44" s="970"/>
      <c r="J44" s="970"/>
      <c r="K44" s="970"/>
      <c r="L44" s="967"/>
      <c r="M44" s="967"/>
      <c r="N44" s="968"/>
      <c r="O44" s="449"/>
      <c r="P44" s="973"/>
      <c r="Q44" s="973"/>
      <c r="R44" s="973"/>
      <c r="S44" s="973"/>
      <c r="T44" s="974"/>
      <c r="U44" s="448"/>
      <c r="V44" s="441" t="s">
        <v>90</v>
      </c>
      <c r="W44" s="820" t="str">
        <f>'GEN.AD - PAY'!$W$172</f>
        <v>01-101101-2026-01-0003</v>
      </c>
      <c r="X44" s="820"/>
      <c r="Y44" s="822"/>
      <c r="Z44" s="976"/>
    </row>
    <row r="45" spans="1:26" ht="24.95" customHeight="1" x14ac:dyDescent="0.25">
      <c r="A45" s="432"/>
      <c r="B45" s="447"/>
      <c r="C45" s="451" t="s">
        <v>28</v>
      </c>
      <c r="D45" s="451"/>
      <c r="E45" s="452"/>
      <c r="F45" s="451"/>
      <c r="G45" s="451"/>
      <c r="H45" s="451"/>
      <c r="I45" s="451"/>
      <c r="J45" s="451"/>
      <c r="K45" s="451"/>
      <c r="L45" s="451"/>
      <c r="M45" s="451"/>
      <c r="N45" s="450"/>
      <c r="O45" s="449"/>
      <c r="P45" s="451"/>
      <c r="T45" s="443"/>
      <c r="U45" s="442"/>
      <c r="V45" s="441" t="s">
        <v>91</v>
      </c>
      <c r="W45" s="918">
        <f>'GEN.AD - PAY'!$W$173</f>
        <v>46038</v>
      </c>
      <c r="X45" s="918"/>
      <c r="Y45" s="919"/>
      <c r="Z45" s="976"/>
    </row>
    <row r="46" spans="1:26" ht="24.95" customHeight="1" x14ac:dyDescent="0.25">
      <c r="A46" s="432"/>
      <c r="B46" s="447"/>
      <c r="E46" s="678" t="s">
        <v>102</v>
      </c>
      <c r="F46" s="678"/>
      <c r="G46" s="678"/>
      <c r="H46" s="678"/>
      <c r="I46" s="678"/>
      <c r="K46" s="964"/>
      <c r="L46" s="964"/>
      <c r="M46" s="451"/>
      <c r="N46" s="450"/>
      <c r="O46" s="449"/>
      <c r="P46" s="678" t="s">
        <v>99</v>
      </c>
      <c r="Q46" s="678"/>
      <c r="R46" s="678"/>
      <c r="S46" s="678"/>
      <c r="T46" s="443"/>
      <c r="U46" s="448"/>
      <c r="V46" s="441" t="s">
        <v>92</v>
      </c>
      <c r="W46" s="820" t="str">
        <f>'GEN.AD - PAY'!$W$174</f>
        <v>01-2026-01-0019</v>
      </c>
      <c r="X46" s="820"/>
      <c r="Y46" s="822"/>
      <c r="Z46" s="976"/>
    </row>
    <row r="47" spans="1:26" ht="24.95" customHeight="1" x14ac:dyDescent="0.25">
      <c r="A47" s="432"/>
      <c r="B47" s="447"/>
      <c r="E47" s="1001" t="s">
        <v>101</v>
      </c>
      <c r="F47" s="1001"/>
      <c r="G47" s="1001"/>
      <c r="H47" s="1001"/>
      <c r="I47" s="1001"/>
      <c r="K47" s="1006" t="s">
        <v>29</v>
      </c>
      <c r="L47" s="1006"/>
      <c r="M47" s="446"/>
      <c r="N47" s="445"/>
      <c r="O47" s="444"/>
      <c r="P47" s="669" t="s">
        <v>98</v>
      </c>
      <c r="Q47" s="669"/>
      <c r="R47" s="669"/>
      <c r="S47" s="669"/>
      <c r="T47" s="443"/>
      <c r="U47" s="442"/>
      <c r="V47" s="441" t="s">
        <v>91</v>
      </c>
      <c r="W47" s="918">
        <f>'GEN.AD - PAY'!$W$175</f>
        <v>46038</v>
      </c>
      <c r="X47" s="918"/>
      <c r="Y47" s="919"/>
      <c r="Z47" s="440"/>
    </row>
    <row r="48" spans="1:26" ht="16.5" thickBot="1" x14ac:dyDescent="0.3">
      <c r="A48" s="432"/>
      <c r="B48" s="396"/>
      <c r="C48" s="394"/>
      <c r="D48" s="394"/>
      <c r="E48" s="1000"/>
      <c r="F48" s="1000"/>
      <c r="G48" s="1000"/>
      <c r="H48" s="1000"/>
      <c r="I48" s="394"/>
      <c r="J48" s="394"/>
      <c r="K48" s="437"/>
      <c r="L48" s="437"/>
      <c r="M48" s="437"/>
      <c r="N48" s="439"/>
      <c r="O48" s="438"/>
      <c r="P48" s="437"/>
      <c r="Q48" s="437"/>
      <c r="R48" s="437"/>
      <c r="S48" s="437"/>
      <c r="T48" s="435"/>
      <c r="U48" s="436"/>
      <c r="V48" s="394"/>
      <c r="W48" s="394"/>
      <c r="X48" s="394"/>
      <c r="Y48" s="435"/>
    </row>
    <row r="50" spans="3:3" x14ac:dyDescent="0.25">
      <c r="C50" s="433"/>
    </row>
    <row r="51" spans="3:3" x14ac:dyDescent="0.25">
      <c r="C51" s="433"/>
    </row>
    <row r="52" spans="3:3" x14ac:dyDescent="0.25">
      <c r="C52" s="433"/>
    </row>
    <row r="53" spans="3:3" x14ac:dyDescent="0.25">
      <c r="C53" s="433"/>
    </row>
    <row r="54" spans="3:3" x14ac:dyDescent="0.25">
      <c r="C54" s="433"/>
    </row>
  </sheetData>
  <mergeCells count="66">
    <mergeCell ref="B8:Y8"/>
    <mergeCell ref="V18:V19"/>
    <mergeCell ref="W18:W19"/>
    <mergeCell ref="X2:Y2"/>
    <mergeCell ref="B3:Y3"/>
    <mergeCell ref="B4:Y4"/>
    <mergeCell ref="B5:Y5"/>
    <mergeCell ref="B6:Y6"/>
    <mergeCell ref="B9:Y9"/>
    <mergeCell ref="B10:Y10"/>
    <mergeCell ref="F18:F19"/>
    <mergeCell ref="G18:G19"/>
    <mergeCell ref="B11:Y11"/>
    <mergeCell ref="D12:D14"/>
    <mergeCell ref="B13:C13"/>
    <mergeCell ref="W13:Y13"/>
    <mergeCell ref="B15:Y15"/>
    <mergeCell ref="B17:B19"/>
    <mergeCell ref="S17:S19"/>
    <mergeCell ref="T17:T19"/>
    <mergeCell ref="C17:C19"/>
    <mergeCell ref="D17:D19"/>
    <mergeCell ref="X18:X19"/>
    <mergeCell ref="Y18:Y19"/>
    <mergeCell ref="L18:L19"/>
    <mergeCell ref="M18:M19"/>
    <mergeCell ref="H18:H19"/>
    <mergeCell ref="I18:I19"/>
    <mergeCell ref="C36:G36"/>
    <mergeCell ref="O37:V37"/>
    <mergeCell ref="W37:Y37"/>
    <mergeCell ref="N18:N19"/>
    <mergeCell ref="O18:O19"/>
    <mergeCell ref="P18:P19"/>
    <mergeCell ref="Q18:Q19"/>
    <mergeCell ref="U17:U19"/>
    <mergeCell ref="V17:Y17"/>
    <mergeCell ref="S36:Y36"/>
    <mergeCell ref="E17:E19"/>
    <mergeCell ref="F17:K17"/>
    <mergeCell ref="L17:Q17"/>
    <mergeCell ref="J18:J19"/>
    <mergeCell ref="K18:K19"/>
    <mergeCell ref="R17:R19"/>
    <mergeCell ref="C40:D40"/>
    <mergeCell ref="H40:K40"/>
    <mergeCell ref="Q40:S40"/>
    <mergeCell ref="C41:D41"/>
    <mergeCell ref="H41:K41"/>
    <mergeCell ref="Q41:S41"/>
    <mergeCell ref="E48:H48"/>
    <mergeCell ref="Z42:Z46"/>
    <mergeCell ref="C43:C44"/>
    <mergeCell ref="D43:K44"/>
    <mergeCell ref="L43:N44"/>
    <mergeCell ref="P43:T44"/>
    <mergeCell ref="W44:Y44"/>
    <mergeCell ref="W45:Y45"/>
    <mergeCell ref="E46:I46"/>
    <mergeCell ref="K46:L46"/>
    <mergeCell ref="P46:S46"/>
    <mergeCell ref="W46:Y46"/>
    <mergeCell ref="E47:I47"/>
    <mergeCell ref="K47:L47"/>
    <mergeCell ref="P47:S47"/>
    <mergeCell ref="W47:Y47"/>
  </mergeCells>
  <conditionalFormatting sqref="S21:T33">
    <cfRule type="cellIs" dxfId="0" priority="1" stopIfTrue="1" operator="equal">
      <formula>2500</formula>
    </cfRule>
  </conditionalFormatting>
  <printOptions horizontalCentered="1"/>
  <pageMargins left="0.39370078740157483" right="0.39370078740157483" top="0.39370078740157483" bottom="0.78740157480314965" header="0" footer="0.39370078740157483"/>
  <pageSetup paperSize="14" scale="51" fitToHeight="0" orientation="landscape" r:id="rId1"/>
  <headerFooter alignWithMargins="0">
    <oddHeader>&amp;R
&amp;16Sheet &amp;"Times New Roman,Bold"&amp;U&amp;P&amp;"Times New Roman,Regular"&amp;U of &amp;"Times New Roman,Bold"&amp;U&amp;N&amp;"Times New Roman,Regular"&amp;U Sheets</oddHeader>
  </headerFooter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2848F-E622-4B47-9E83-593EC55DD36F}">
  <sheetPr codeName="Sheet41">
    <tabColor rgb="FF002060"/>
    <pageSetUpPr fitToPage="1"/>
  </sheetPr>
  <dimension ref="A1:AG40"/>
  <sheetViews>
    <sheetView tabSelected="1" showWhiteSpace="0" zoomScaleNormal="100" zoomScaleSheetLayoutView="100" workbookViewId="0">
      <selection activeCell="B14" sqref="B14:Z14"/>
    </sheetView>
  </sheetViews>
  <sheetFormatPr defaultRowHeight="30.75" x14ac:dyDescent="0.25"/>
  <cols>
    <col min="1" max="1" width="9.375" style="429" customWidth="1"/>
    <col min="2" max="2" width="6.75" style="379" customWidth="1"/>
    <col min="3" max="3" width="24.625" style="379" customWidth="1"/>
    <col min="4" max="4" width="12.875" style="379" customWidth="1"/>
    <col min="5" max="5" width="9.625" style="382" customWidth="1"/>
    <col min="6" max="6" width="10.875" style="379" customWidth="1"/>
    <col min="7" max="7" width="12" style="379" customWidth="1"/>
    <col min="8" max="12" width="10.625" style="379" customWidth="1"/>
    <col min="13" max="13" width="12.25" style="379" customWidth="1"/>
    <col min="14" max="17" width="10.625" style="379" customWidth="1"/>
    <col min="18" max="18" width="11.75" style="379" customWidth="1"/>
    <col min="19" max="19" width="11.25" style="379" customWidth="1"/>
    <col min="20" max="20" width="10.625" style="379" customWidth="1"/>
    <col min="21" max="21" width="10.75" style="379" customWidth="1"/>
    <col min="22" max="23" width="9.875" style="379" customWidth="1"/>
    <col min="24" max="24" width="11.125" style="379" customWidth="1"/>
    <col min="25" max="25" width="10.875" style="379" customWidth="1"/>
    <col min="26" max="26" width="12.375" style="379" customWidth="1"/>
    <col min="27" max="27" width="11.125" style="379" customWidth="1"/>
    <col min="28" max="28" width="11.25" style="379" customWidth="1"/>
    <col min="29" max="30" width="9.875" style="379" customWidth="1"/>
    <col min="31" max="31" width="11.5" style="379" customWidth="1"/>
    <col min="32" max="32" width="13.875" style="379" customWidth="1"/>
    <col min="33" max="33" width="10.375" style="379" bestFit="1" customWidth="1"/>
    <col min="34" max="16384" width="9" style="379"/>
  </cols>
  <sheetData>
    <row r="1" spans="1:33" ht="23.25" customHeight="1" x14ac:dyDescent="0.25">
      <c r="A1" s="432">
        <v>94</v>
      </c>
      <c r="F1" s="542"/>
      <c r="X1" s="542"/>
      <c r="Y1" s="542"/>
      <c r="AE1" s="542"/>
      <c r="AF1" s="101"/>
    </row>
    <row r="2" spans="1:33" ht="23.25" x14ac:dyDescent="0.25">
      <c r="A2" s="432"/>
      <c r="F2" s="542"/>
      <c r="X2" s="542"/>
      <c r="Y2" s="542"/>
      <c r="AE2" s="701" t="s">
        <v>40</v>
      </c>
      <c r="AF2" s="701"/>
    </row>
    <row r="3" spans="1:33" ht="15.75" customHeight="1" x14ac:dyDescent="0.25">
      <c r="A3" s="432"/>
      <c r="B3" s="702" t="s">
        <v>42</v>
      </c>
      <c r="C3" s="702"/>
      <c r="D3" s="702"/>
      <c r="E3" s="702"/>
      <c r="F3" s="702"/>
      <c r="G3" s="702"/>
      <c r="H3" s="702"/>
      <c r="I3" s="702"/>
      <c r="J3" s="702"/>
      <c r="K3" s="702"/>
      <c r="L3" s="702"/>
      <c r="M3" s="702"/>
      <c r="N3" s="702"/>
      <c r="O3" s="702"/>
      <c r="P3" s="702"/>
      <c r="Q3" s="702"/>
      <c r="R3" s="702"/>
      <c r="S3" s="702"/>
      <c r="T3" s="702"/>
      <c r="U3" s="702"/>
      <c r="V3" s="702"/>
      <c r="W3" s="702"/>
      <c r="X3" s="702"/>
      <c r="Y3" s="702"/>
      <c r="Z3" s="702"/>
      <c r="AA3" s="702"/>
      <c r="AB3" s="702"/>
      <c r="AC3" s="702"/>
      <c r="AD3" s="702"/>
      <c r="AE3" s="702"/>
      <c r="AF3" s="702"/>
    </row>
    <row r="4" spans="1:33" ht="15.75" customHeight="1" x14ac:dyDescent="0.25">
      <c r="A4" s="432"/>
      <c r="B4" s="703" t="s">
        <v>43</v>
      </c>
      <c r="C4" s="703"/>
      <c r="D4" s="703"/>
      <c r="E4" s="703"/>
      <c r="F4" s="703"/>
      <c r="G4" s="703"/>
      <c r="H4" s="703"/>
      <c r="I4" s="703"/>
      <c r="J4" s="703"/>
      <c r="K4" s="703"/>
      <c r="L4" s="703"/>
      <c r="M4" s="703"/>
      <c r="N4" s="703"/>
      <c r="O4" s="703"/>
      <c r="P4" s="703"/>
      <c r="Q4" s="703"/>
      <c r="R4" s="703"/>
      <c r="S4" s="703"/>
      <c r="T4" s="703"/>
      <c r="U4" s="703"/>
      <c r="V4" s="703"/>
      <c r="W4" s="703"/>
      <c r="X4" s="703"/>
      <c r="Y4" s="703"/>
      <c r="Z4" s="703"/>
      <c r="AA4" s="703"/>
      <c r="AB4" s="703"/>
      <c r="AC4" s="703"/>
      <c r="AD4" s="703"/>
      <c r="AE4" s="703"/>
      <c r="AF4" s="703"/>
    </row>
    <row r="5" spans="1:33" ht="15.75" customHeight="1" x14ac:dyDescent="0.25">
      <c r="A5" s="432"/>
      <c r="B5" s="703" t="s">
        <v>44</v>
      </c>
      <c r="C5" s="703"/>
      <c r="D5" s="703"/>
      <c r="E5" s="703"/>
      <c r="F5" s="703"/>
      <c r="G5" s="703"/>
      <c r="H5" s="703"/>
      <c r="I5" s="703"/>
      <c r="J5" s="703"/>
      <c r="K5" s="703"/>
      <c r="L5" s="703"/>
      <c r="M5" s="703"/>
      <c r="N5" s="703"/>
      <c r="O5" s="703"/>
      <c r="P5" s="703"/>
      <c r="Q5" s="703"/>
      <c r="R5" s="703"/>
      <c r="S5" s="703"/>
      <c r="T5" s="703"/>
      <c r="U5" s="703"/>
      <c r="V5" s="703"/>
      <c r="W5" s="703"/>
      <c r="X5" s="703"/>
      <c r="Y5" s="703"/>
      <c r="Z5" s="703"/>
      <c r="AA5" s="703"/>
      <c r="AB5" s="703"/>
      <c r="AC5" s="703"/>
      <c r="AD5" s="703"/>
      <c r="AE5" s="703"/>
      <c r="AF5" s="703"/>
    </row>
    <row r="6" spans="1:33" ht="15.75" customHeight="1" x14ac:dyDescent="0.25">
      <c r="A6" s="432"/>
      <c r="B6" s="702" t="s">
        <v>45</v>
      </c>
      <c r="C6" s="702"/>
      <c r="D6" s="702"/>
      <c r="E6" s="702"/>
      <c r="F6" s="702"/>
      <c r="G6" s="702"/>
      <c r="H6" s="702"/>
      <c r="I6" s="702"/>
      <c r="J6" s="702"/>
      <c r="K6" s="702"/>
      <c r="L6" s="702"/>
      <c r="M6" s="702"/>
      <c r="N6" s="702"/>
      <c r="O6" s="702"/>
      <c r="P6" s="702"/>
      <c r="Q6" s="702"/>
      <c r="R6" s="702"/>
      <c r="S6" s="702"/>
      <c r="T6" s="702"/>
      <c r="U6" s="702"/>
      <c r="V6" s="702"/>
      <c r="W6" s="702"/>
      <c r="X6" s="702"/>
      <c r="Y6" s="702"/>
      <c r="Z6" s="702"/>
      <c r="AA6" s="702"/>
      <c r="AB6" s="702"/>
      <c r="AC6" s="702"/>
      <c r="AD6" s="702"/>
      <c r="AE6" s="702"/>
      <c r="AF6" s="702"/>
    </row>
    <row r="7" spans="1:33" ht="15.75" customHeight="1" x14ac:dyDescent="0.25">
      <c r="A7" s="432"/>
      <c r="F7" s="102"/>
      <c r="X7" s="102"/>
      <c r="Y7" s="102"/>
      <c r="AE7" s="102"/>
      <c r="AF7" s="102"/>
    </row>
    <row r="8" spans="1:33" ht="22.5" x14ac:dyDescent="0.25">
      <c r="A8" s="432"/>
      <c r="B8" s="697" t="s">
        <v>64</v>
      </c>
      <c r="C8" s="697"/>
      <c r="D8" s="697"/>
      <c r="E8" s="697"/>
      <c r="F8" s="697"/>
      <c r="G8" s="697"/>
      <c r="H8" s="697"/>
      <c r="I8" s="697"/>
      <c r="J8" s="697"/>
      <c r="K8" s="697"/>
      <c r="L8" s="697"/>
      <c r="M8" s="697"/>
      <c r="N8" s="697"/>
      <c r="O8" s="697"/>
      <c r="P8" s="697"/>
      <c r="Q8" s="697"/>
      <c r="R8" s="697"/>
      <c r="S8" s="697"/>
      <c r="T8" s="697"/>
      <c r="U8" s="697"/>
      <c r="V8" s="697"/>
      <c r="W8" s="697"/>
      <c r="X8" s="697"/>
      <c r="Y8" s="697"/>
      <c r="Z8" s="697"/>
      <c r="AA8" s="697"/>
      <c r="AB8" s="697"/>
      <c r="AC8" s="697"/>
      <c r="AD8" s="697"/>
      <c r="AE8" s="697"/>
      <c r="AF8" s="697"/>
    </row>
    <row r="9" spans="1:33" ht="20.25" x14ac:dyDescent="0.25">
      <c r="A9" s="432"/>
      <c r="B9" s="698" t="str">
        <f>'CONTRACTUAL - PAY'!B9</f>
        <v>CONTRACTUAL EMPLOYEES</v>
      </c>
      <c r="C9" s="698"/>
      <c r="D9" s="698"/>
      <c r="E9" s="698"/>
      <c r="F9" s="698"/>
      <c r="G9" s="698"/>
      <c r="H9" s="698"/>
      <c r="I9" s="698"/>
      <c r="J9" s="698"/>
      <c r="K9" s="698"/>
      <c r="L9" s="698"/>
      <c r="M9" s="698"/>
      <c r="N9" s="698"/>
      <c r="O9" s="698"/>
      <c r="P9" s="698"/>
      <c r="Q9" s="698"/>
      <c r="R9" s="698"/>
      <c r="S9" s="698"/>
      <c r="T9" s="698"/>
      <c r="U9" s="698"/>
      <c r="V9" s="698"/>
      <c r="W9" s="698"/>
      <c r="X9" s="698"/>
      <c r="Y9" s="698"/>
      <c r="Z9" s="698"/>
      <c r="AA9" s="698"/>
      <c r="AB9" s="698"/>
      <c r="AC9" s="698"/>
      <c r="AD9" s="698"/>
      <c r="AE9" s="698"/>
      <c r="AF9" s="698"/>
    </row>
    <row r="10" spans="1:33" ht="20.25" x14ac:dyDescent="0.25">
      <c r="A10" s="432"/>
      <c r="B10" s="699" t="str">
        <f>'CONTRACTUAL - PAY'!B10</f>
        <v>For the period JANUARY 1-31, 2026</v>
      </c>
      <c r="C10" s="699"/>
      <c r="D10" s="699"/>
      <c r="E10" s="699"/>
      <c r="F10" s="699"/>
      <c r="G10" s="699"/>
      <c r="H10" s="699"/>
      <c r="I10" s="699"/>
      <c r="J10" s="699"/>
      <c r="K10" s="699"/>
      <c r="L10" s="699"/>
      <c r="M10" s="699"/>
      <c r="N10" s="699"/>
      <c r="O10" s="699"/>
      <c r="P10" s="699"/>
      <c r="Q10" s="699"/>
      <c r="R10" s="699"/>
      <c r="S10" s="699"/>
      <c r="T10" s="699"/>
      <c r="U10" s="699"/>
      <c r="V10" s="699"/>
      <c r="W10" s="699"/>
      <c r="X10" s="699"/>
      <c r="Y10" s="699"/>
      <c r="Z10" s="699"/>
      <c r="AA10" s="699"/>
      <c r="AB10" s="699"/>
      <c r="AC10" s="699"/>
      <c r="AD10" s="699"/>
      <c r="AE10" s="699"/>
      <c r="AF10" s="699"/>
    </row>
    <row r="11" spans="1:33" ht="15.75" x14ac:dyDescent="0.25">
      <c r="A11" s="432"/>
      <c r="C11" s="382"/>
      <c r="D11" s="700" t="str">
        <f>+'CONTRACTUAL - PAY'!D12</f>
        <v>01</v>
      </c>
      <c r="F11" s="382"/>
      <c r="G11" s="382"/>
      <c r="H11" s="382"/>
      <c r="I11" s="382"/>
      <c r="J11" s="382"/>
      <c r="K11" s="382"/>
      <c r="L11" s="382"/>
      <c r="M11" s="382"/>
      <c r="N11" s="382"/>
      <c r="O11" s="382"/>
      <c r="P11" s="382"/>
      <c r="Q11" s="382"/>
      <c r="R11" s="382"/>
      <c r="S11" s="382"/>
      <c r="T11" s="382"/>
      <c r="U11" s="382"/>
      <c r="V11" s="382"/>
      <c r="W11" s="382"/>
      <c r="X11" s="382"/>
      <c r="Y11" s="382"/>
      <c r="Z11" s="382"/>
      <c r="AA11" s="382"/>
      <c r="AB11" s="382"/>
      <c r="AC11" s="382"/>
      <c r="AD11" s="382"/>
      <c r="AE11" s="382"/>
      <c r="AF11" s="382"/>
    </row>
    <row r="12" spans="1:33" s="451" customFormat="1" ht="24.95" customHeight="1" x14ac:dyDescent="0.25">
      <c r="A12" s="432"/>
      <c r="B12" s="704" t="s">
        <v>88</v>
      </c>
      <c r="C12" s="704"/>
      <c r="D12" s="698"/>
      <c r="E12" s="540"/>
      <c r="F12" s="539"/>
      <c r="G12" s="539"/>
      <c r="H12" s="539"/>
      <c r="I12" s="539"/>
      <c r="J12" s="539"/>
      <c r="K12" s="539"/>
      <c r="L12" s="539"/>
      <c r="M12" s="539"/>
      <c r="N12" s="539"/>
      <c r="O12" s="539"/>
      <c r="P12" s="539"/>
      <c r="Q12" s="539"/>
      <c r="R12" s="379"/>
      <c r="S12" s="379"/>
      <c r="T12" s="379"/>
      <c r="U12" s="379"/>
      <c r="AA12" s="563"/>
      <c r="AB12" s="539" t="s">
        <v>103</v>
      </c>
      <c r="AC12" s="539"/>
      <c r="AD12" s="705" t="str">
        <f>'CONTRACTUAL - PAY'!W13</f>
        <v>2026-01-026</v>
      </c>
      <c r="AE12" s="705"/>
      <c r="AF12" s="705"/>
    </row>
    <row r="13" spans="1:33" s="451" customFormat="1" ht="24.95" customHeight="1" x14ac:dyDescent="0.25">
      <c r="A13" s="432"/>
      <c r="B13" s="379"/>
      <c r="C13" s="379"/>
      <c r="D13" s="698"/>
      <c r="E13" s="382"/>
      <c r="F13" s="379"/>
      <c r="G13" s="379"/>
      <c r="H13" s="379"/>
      <c r="I13" s="379"/>
      <c r="J13" s="379"/>
      <c r="K13" s="379"/>
      <c r="L13" s="379"/>
      <c r="M13" s="379"/>
      <c r="N13" s="379"/>
      <c r="O13" s="379"/>
      <c r="P13" s="379"/>
      <c r="Q13" s="379"/>
      <c r="R13" s="379"/>
      <c r="S13" s="379"/>
      <c r="T13" s="379"/>
      <c r="U13" s="379"/>
      <c r="AB13" s="539"/>
      <c r="AC13" s="539"/>
      <c r="AD13" s="379"/>
      <c r="AE13" s="379"/>
      <c r="AF13" s="379"/>
    </row>
    <row r="14" spans="1:33" s="451" customFormat="1" ht="15.75" customHeight="1" x14ac:dyDescent="0.25">
      <c r="A14" s="432"/>
      <c r="B14" s="685"/>
      <c r="C14" s="685"/>
      <c r="D14" s="685"/>
      <c r="E14" s="685"/>
      <c r="F14" s="685"/>
      <c r="G14" s="685"/>
      <c r="H14" s="685"/>
      <c r="I14" s="685"/>
      <c r="J14" s="685"/>
      <c r="K14" s="685"/>
      <c r="L14" s="685"/>
      <c r="M14" s="685"/>
      <c r="N14" s="685"/>
      <c r="O14" s="685"/>
      <c r="P14" s="685"/>
      <c r="Q14" s="685"/>
      <c r="R14" s="685"/>
      <c r="S14" s="685"/>
      <c r="T14" s="685"/>
      <c r="U14" s="685"/>
      <c r="V14" s="685"/>
      <c r="W14" s="685"/>
      <c r="X14" s="685"/>
      <c r="Y14" s="685"/>
      <c r="Z14" s="685"/>
    </row>
    <row r="15" spans="1:33" ht="9" customHeight="1" thickBot="1" x14ac:dyDescent="0.3">
      <c r="A15" s="432"/>
      <c r="C15" s="394"/>
      <c r="D15" s="394"/>
      <c r="E15" s="455"/>
      <c r="F15" s="394"/>
      <c r="G15" s="394"/>
      <c r="H15" s="394"/>
      <c r="I15" s="394"/>
      <c r="J15" s="394"/>
      <c r="K15" s="394"/>
      <c r="L15" s="394"/>
      <c r="M15" s="394"/>
      <c r="N15" s="394"/>
      <c r="O15" s="394"/>
      <c r="P15" s="394"/>
      <c r="Q15" s="394"/>
      <c r="R15" s="394"/>
      <c r="X15" s="394"/>
      <c r="Y15" s="394"/>
      <c r="AE15" s="394"/>
      <c r="AF15" s="394"/>
    </row>
    <row r="16" spans="1:33" ht="16.5" customHeight="1" thickBot="1" x14ac:dyDescent="0.3">
      <c r="A16" s="432"/>
      <c r="B16" s="686" t="s">
        <v>6</v>
      </c>
      <c r="C16" s="695" t="s">
        <v>1</v>
      </c>
      <c r="D16" s="695" t="s">
        <v>2</v>
      </c>
      <c r="E16" s="686" t="s">
        <v>14</v>
      </c>
      <c r="F16" s="682" t="s">
        <v>54</v>
      </c>
      <c r="G16" s="679" t="s">
        <v>66</v>
      </c>
      <c r="H16" s="680"/>
      <c r="I16" s="680"/>
      <c r="J16" s="680"/>
      <c r="K16" s="680"/>
      <c r="L16" s="680"/>
      <c r="M16" s="680"/>
      <c r="N16" s="680"/>
      <c r="O16" s="680"/>
      <c r="P16" s="680"/>
      <c r="Q16" s="680"/>
      <c r="R16" s="681"/>
      <c r="S16" s="679" t="s">
        <v>63</v>
      </c>
      <c r="T16" s="680"/>
      <c r="U16" s="680"/>
      <c r="V16" s="680"/>
      <c r="W16" s="680"/>
      <c r="X16" s="681"/>
      <c r="Y16" s="682" t="s">
        <v>57</v>
      </c>
      <c r="Z16" s="679" t="s">
        <v>80</v>
      </c>
      <c r="AA16" s="680"/>
      <c r="AB16" s="680"/>
      <c r="AC16" s="680"/>
      <c r="AD16" s="680"/>
      <c r="AE16" s="681"/>
      <c r="AF16" s="686" t="s">
        <v>87</v>
      </c>
      <c r="AG16" s="538"/>
    </row>
    <row r="17" spans="1:33" ht="19.5" customHeight="1" x14ac:dyDescent="0.25">
      <c r="A17" s="432"/>
      <c r="B17" s="687"/>
      <c r="C17" s="696"/>
      <c r="D17" s="696"/>
      <c r="E17" s="687"/>
      <c r="F17" s="683"/>
      <c r="G17" s="689" t="s">
        <v>65</v>
      </c>
      <c r="H17" s="661" t="s">
        <v>110</v>
      </c>
      <c r="I17" s="691" t="s">
        <v>67</v>
      </c>
      <c r="J17" s="659" t="s">
        <v>68</v>
      </c>
      <c r="K17" s="657" t="s">
        <v>69</v>
      </c>
      <c r="L17" s="657" t="s">
        <v>70</v>
      </c>
      <c r="M17" s="657" t="s">
        <v>71</v>
      </c>
      <c r="N17" s="657" t="s">
        <v>72</v>
      </c>
      <c r="O17" s="661" t="s">
        <v>73</v>
      </c>
      <c r="P17" s="661" t="s">
        <v>111</v>
      </c>
      <c r="Q17" s="661" t="s">
        <v>78</v>
      </c>
      <c r="R17" s="663" t="s">
        <v>74</v>
      </c>
      <c r="S17" s="665" t="s">
        <v>75</v>
      </c>
      <c r="T17" s="667" t="s">
        <v>76</v>
      </c>
      <c r="U17" s="657" t="s">
        <v>71</v>
      </c>
      <c r="V17" s="657" t="s">
        <v>77</v>
      </c>
      <c r="W17" s="670" t="s">
        <v>78</v>
      </c>
      <c r="X17" s="672" t="s">
        <v>79</v>
      </c>
      <c r="Y17" s="683"/>
      <c r="Z17" s="674" t="s">
        <v>81</v>
      </c>
      <c r="AA17" s="676" t="s">
        <v>82</v>
      </c>
      <c r="AB17" s="657" t="s">
        <v>83</v>
      </c>
      <c r="AC17" s="659" t="s">
        <v>84</v>
      </c>
      <c r="AD17" s="670" t="s">
        <v>86</v>
      </c>
      <c r="AE17" s="693" t="s">
        <v>85</v>
      </c>
      <c r="AF17" s="687"/>
      <c r="AG17" s="538"/>
    </row>
    <row r="18" spans="1:33" ht="26.25" customHeight="1" thickBot="1" x14ac:dyDescent="0.3">
      <c r="A18" s="432"/>
      <c r="B18" s="687"/>
      <c r="C18" s="696"/>
      <c r="D18" s="696"/>
      <c r="E18" s="687"/>
      <c r="F18" s="684"/>
      <c r="G18" s="690"/>
      <c r="H18" s="662"/>
      <c r="I18" s="692"/>
      <c r="J18" s="660"/>
      <c r="K18" s="658"/>
      <c r="L18" s="658"/>
      <c r="M18" s="658"/>
      <c r="N18" s="658"/>
      <c r="O18" s="662"/>
      <c r="P18" s="662"/>
      <c r="Q18" s="662"/>
      <c r="R18" s="664"/>
      <c r="S18" s="666"/>
      <c r="T18" s="668"/>
      <c r="U18" s="658"/>
      <c r="V18" s="658"/>
      <c r="W18" s="671"/>
      <c r="X18" s="673"/>
      <c r="Y18" s="684"/>
      <c r="Z18" s="675"/>
      <c r="AA18" s="677"/>
      <c r="AB18" s="658"/>
      <c r="AC18" s="660"/>
      <c r="AD18" s="671"/>
      <c r="AE18" s="694"/>
      <c r="AF18" s="688"/>
      <c r="AG18" s="538"/>
    </row>
    <row r="19" spans="1:33" ht="18.75" customHeight="1" x14ac:dyDescent="0.25">
      <c r="A19" s="432"/>
      <c r="B19" s="423"/>
      <c r="C19" s="423"/>
      <c r="D19" s="423"/>
      <c r="E19" s="530"/>
      <c r="F19" s="423"/>
      <c r="G19" s="529"/>
      <c r="H19" s="559"/>
      <c r="I19" s="559"/>
      <c r="J19" s="559"/>
      <c r="K19" s="559"/>
      <c r="L19" s="559"/>
      <c r="M19" s="559"/>
      <c r="N19" s="559"/>
      <c r="O19" s="559"/>
      <c r="P19" s="559"/>
      <c r="Q19" s="559"/>
      <c r="R19" s="527"/>
      <c r="S19" s="561"/>
      <c r="T19" s="560"/>
      <c r="U19" s="559"/>
      <c r="V19" s="559"/>
      <c r="W19" s="559"/>
      <c r="X19" s="562"/>
      <c r="Y19" s="423"/>
      <c r="Z19" s="561"/>
      <c r="AA19" s="560"/>
      <c r="AB19" s="559"/>
      <c r="AC19" s="559"/>
      <c r="AD19" s="559"/>
      <c r="AE19" s="558"/>
      <c r="AF19" s="527"/>
    </row>
    <row r="20" spans="1:33" ht="18.75" customHeight="1" x14ac:dyDescent="0.25">
      <c r="A20" s="432"/>
      <c r="B20" s="556">
        <v>1</v>
      </c>
      <c r="C20" s="509">
        <f>'CONTRACTUAL - PAY'!C21</f>
        <v>0</v>
      </c>
      <c r="D20" s="509" t="e">
        <f>'CONTRACTUAL - PAY'!D21</f>
        <v>#N/A</v>
      </c>
      <c r="E20" s="508">
        <f>'CONTRACTUAL - PAY'!E21</f>
        <v>0</v>
      </c>
      <c r="F20" s="502">
        <f>'CONTRACTUAL - PAY'!L21</f>
        <v>0</v>
      </c>
      <c r="G20" s="498">
        <f>ROUND('CONTRACTUAL - PAY'!I21*0.09,2)</f>
        <v>0</v>
      </c>
      <c r="H20" s="507"/>
      <c r="I20" s="507"/>
      <c r="J20" s="507"/>
      <c r="K20" s="507"/>
      <c r="L20" s="507"/>
      <c r="M20" s="507"/>
      <c r="N20" s="507"/>
      <c r="O20" s="507"/>
      <c r="P20" s="507"/>
      <c r="Q20" s="507"/>
      <c r="R20" s="557">
        <f>SUM(G20:Q20)</f>
        <v>0</v>
      </c>
      <c r="S20" s="525"/>
      <c r="T20" s="526"/>
      <c r="U20" s="507"/>
      <c r="V20" s="507"/>
      <c r="W20" s="507"/>
      <c r="X20" s="503">
        <f>SUM(S20:W20)</f>
        <v>0</v>
      </c>
      <c r="Y20" s="502">
        <f>MIN(ROUNDDOWN('CONTRACTUAL - PAY'!I21*0.05/2,2),2500)</f>
        <v>0</v>
      </c>
      <c r="Z20" s="525"/>
      <c r="AA20" s="526"/>
      <c r="AB20" s="507"/>
      <c r="AC20" s="507"/>
      <c r="AD20" s="507"/>
      <c r="AE20" s="496">
        <f>SUM(Z20:AD20)</f>
        <v>0</v>
      </c>
      <c r="AF20" s="553">
        <f>SUM(F20,R20,X20,Y20,AE20)</f>
        <v>0</v>
      </c>
    </row>
    <row r="21" spans="1:33" ht="18.75" customHeight="1" x14ac:dyDescent="0.25">
      <c r="A21" s="432"/>
      <c r="B21" s="556">
        <f>+B20+1</f>
        <v>2</v>
      </c>
      <c r="C21" s="509">
        <f>'CONTRACTUAL - PAY'!C22</f>
        <v>0</v>
      </c>
      <c r="D21" s="509" t="e">
        <f>'CONTRACTUAL - PAY'!D22</f>
        <v>#N/A</v>
      </c>
      <c r="E21" s="508">
        <f>'CONTRACTUAL - PAY'!E22</f>
        <v>0</v>
      </c>
      <c r="F21" s="502">
        <f>'CONTRACTUAL - PAY'!L22</f>
        <v>0</v>
      </c>
      <c r="G21" s="498">
        <f>ROUND('CONTRACTUAL - PAY'!I22*0.09,2)</f>
        <v>0</v>
      </c>
      <c r="H21" s="507"/>
      <c r="I21" s="507"/>
      <c r="J21" s="507"/>
      <c r="K21" s="507"/>
      <c r="L21" s="507"/>
      <c r="M21" s="507"/>
      <c r="N21" s="507"/>
      <c r="O21" s="507"/>
      <c r="P21" s="507"/>
      <c r="Q21" s="507"/>
      <c r="R21" s="557">
        <f>SUM(G21:Q21)</f>
        <v>0</v>
      </c>
      <c r="S21" s="525"/>
      <c r="T21" s="526"/>
      <c r="U21" s="507"/>
      <c r="V21" s="507"/>
      <c r="W21" s="507"/>
      <c r="X21" s="503">
        <f>SUM(S21:W21)</f>
        <v>0</v>
      </c>
      <c r="Y21" s="502">
        <f>MIN(ROUNDDOWN('CONTRACTUAL - PAY'!I22*0.05/2,2),2500)</f>
        <v>0</v>
      </c>
      <c r="Z21" s="525"/>
      <c r="AA21" s="526"/>
      <c r="AB21" s="507"/>
      <c r="AC21" s="507"/>
      <c r="AD21" s="507"/>
      <c r="AE21" s="496">
        <f>SUM(Z21:AD21)</f>
        <v>0</v>
      </c>
      <c r="AF21" s="553">
        <f>SUM(F21,R21,X21,Y21,AE21)</f>
        <v>0</v>
      </c>
    </row>
    <row r="22" spans="1:33" ht="18.75" customHeight="1" x14ac:dyDescent="0.25">
      <c r="A22" s="432"/>
      <c r="B22" s="556">
        <f t="shared" ref="B22:B31" si="0">+B11+1</f>
        <v>1</v>
      </c>
      <c r="C22" s="509">
        <f>'CONTRACTUAL - PAY'!C23</f>
        <v>0</v>
      </c>
      <c r="D22" s="509" t="e">
        <f>'CONTRACTUAL - PAY'!D23</f>
        <v>#N/A</v>
      </c>
      <c r="E22" s="508">
        <f>'CONTRACTUAL - PAY'!E23</f>
        <v>0</v>
      </c>
      <c r="F22" s="502">
        <f>'CONTRACTUAL - PAY'!L23</f>
        <v>0</v>
      </c>
      <c r="G22" s="498">
        <f>ROUND('CONTRACTUAL - PAY'!I23*0.09,2)</f>
        <v>0</v>
      </c>
      <c r="H22" s="507"/>
      <c r="I22" s="507"/>
      <c r="J22" s="507"/>
      <c r="K22" s="507"/>
      <c r="L22" s="507"/>
      <c r="M22" s="507"/>
      <c r="N22" s="507"/>
      <c r="O22" s="507"/>
      <c r="P22" s="507"/>
      <c r="Q22" s="507"/>
      <c r="R22" s="557">
        <f t="shared" ref="R22:R31" si="1">SUM(G22:Q22)</f>
        <v>0</v>
      </c>
      <c r="S22" s="525"/>
      <c r="T22" s="526"/>
      <c r="U22" s="507"/>
      <c r="V22" s="507"/>
      <c r="W22" s="507"/>
      <c r="X22" s="503">
        <f t="shared" ref="X22:X31" si="2">SUM(S22:W22)</f>
        <v>0</v>
      </c>
      <c r="Y22" s="502">
        <f>MIN(ROUNDDOWN('CONTRACTUAL - PAY'!I23*0.05/2,2),2500)</f>
        <v>0</v>
      </c>
      <c r="Z22" s="525"/>
      <c r="AA22" s="526"/>
      <c r="AB22" s="507"/>
      <c r="AC22" s="507"/>
      <c r="AD22" s="507"/>
      <c r="AE22" s="496">
        <f t="shared" ref="AE22:AE31" si="3">SUM(Z22:AD22)</f>
        <v>0</v>
      </c>
      <c r="AF22" s="553">
        <f t="shared" ref="AF22:AF31" si="4">SUM(F22,R22,X22,Y22,AE22)</f>
        <v>0</v>
      </c>
    </row>
    <row r="23" spans="1:33" ht="18.75" customHeight="1" x14ac:dyDescent="0.25">
      <c r="A23" s="432"/>
      <c r="B23" s="556" t="e">
        <f t="shared" si="0"/>
        <v>#VALUE!</v>
      </c>
      <c r="C23" s="509" t="e">
        <f>'CONTRACTUAL - PAY'!C24</f>
        <v>#VALUE!</v>
      </c>
      <c r="D23" s="509" t="e">
        <f>'CONTRACTUAL - PAY'!D24</f>
        <v>#VALUE!</v>
      </c>
      <c r="E23" s="508" t="e">
        <f>'CONTRACTUAL - PAY'!E24</f>
        <v>#VALUE!</v>
      </c>
      <c r="F23" s="502">
        <f>'CONTRACTUAL - PAY'!L24</f>
        <v>0</v>
      </c>
      <c r="G23" s="498">
        <f>ROUND('CONTRACTUAL - PAY'!I24*0.09,2)</f>
        <v>0</v>
      </c>
      <c r="H23" s="507"/>
      <c r="I23" s="507"/>
      <c r="J23" s="507"/>
      <c r="K23" s="507"/>
      <c r="L23" s="507"/>
      <c r="M23" s="507"/>
      <c r="N23" s="507"/>
      <c r="O23" s="507"/>
      <c r="P23" s="507"/>
      <c r="Q23" s="507"/>
      <c r="R23" s="557">
        <f t="shared" si="1"/>
        <v>0</v>
      </c>
      <c r="S23" s="525"/>
      <c r="T23" s="526"/>
      <c r="U23" s="507"/>
      <c r="V23" s="507"/>
      <c r="W23" s="507"/>
      <c r="X23" s="503">
        <f t="shared" si="2"/>
        <v>0</v>
      </c>
      <c r="Y23" s="502">
        <f>MIN(ROUNDDOWN('CONTRACTUAL - PAY'!I24*0.05/2,2),2500)</f>
        <v>0</v>
      </c>
      <c r="Z23" s="525"/>
      <c r="AA23" s="526"/>
      <c r="AB23" s="507"/>
      <c r="AC23" s="507"/>
      <c r="AD23" s="507"/>
      <c r="AE23" s="496">
        <f t="shared" si="3"/>
        <v>0</v>
      </c>
      <c r="AF23" s="553">
        <f t="shared" si="4"/>
        <v>0</v>
      </c>
    </row>
    <row r="24" spans="1:33" ht="18.75" customHeight="1" x14ac:dyDescent="0.25">
      <c r="A24" s="432"/>
      <c r="B24" s="556">
        <f t="shared" si="0"/>
        <v>1</v>
      </c>
      <c r="C24" s="509">
        <f>'CONTRACTUAL - PAY'!C25</f>
        <v>0</v>
      </c>
      <c r="D24" s="509" t="e">
        <f>'CONTRACTUAL - PAY'!D25</f>
        <v>#N/A</v>
      </c>
      <c r="E24" s="508">
        <f>'CONTRACTUAL - PAY'!E25</f>
        <v>0</v>
      </c>
      <c r="F24" s="502">
        <f>'CONTRACTUAL - PAY'!L25</f>
        <v>0</v>
      </c>
      <c r="G24" s="498">
        <f>ROUND('CONTRACTUAL - PAY'!I25*0.09,2)</f>
        <v>0</v>
      </c>
      <c r="H24" s="507"/>
      <c r="I24" s="507"/>
      <c r="J24" s="507"/>
      <c r="K24" s="507"/>
      <c r="L24" s="507"/>
      <c r="M24" s="507"/>
      <c r="N24" s="507"/>
      <c r="O24" s="507"/>
      <c r="P24" s="507"/>
      <c r="Q24" s="507"/>
      <c r="R24" s="557">
        <f t="shared" si="1"/>
        <v>0</v>
      </c>
      <c r="S24" s="525"/>
      <c r="T24" s="526"/>
      <c r="U24" s="507"/>
      <c r="V24" s="507"/>
      <c r="W24" s="507"/>
      <c r="X24" s="503">
        <f t="shared" si="2"/>
        <v>0</v>
      </c>
      <c r="Y24" s="502">
        <f>MIN(ROUNDDOWN('CONTRACTUAL - PAY'!I25*0.05/2,2),2500)</f>
        <v>0</v>
      </c>
      <c r="Z24" s="525"/>
      <c r="AA24" s="526"/>
      <c r="AB24" s="507"/>
      <c r="AC24" s="507"/>
      <c r="AD24" s="507"/>
      <c r="AE24" s="496">
        <f t="shared" si="3"/>
        <v>0</v>
      </c>
      <c r="AF24" s="553">
        <f t="shared" si="4"/>
        <v>0</v>
      </c>
    </row>
    <row r="25" spans="1:33" ht="18.75" customHeight="1" x14ac:dyDescent="0.25">
      <c r="A25" s="432"/>
      <c r="B25" s="556">
        <f t="shared" si="0"/>
        <v>1</v>
      </c>
      <c r="C25" s="509" t="e">
        <f>'CONTRACTUAL - PAY'!C26</f>
        <v>#VALUE!</v>
      </c>
      <c r="D25" s="509" t="e">
        <f>'CONTRACTUAL - PAY'!D26</f>
        <v>#VALUE!</v>
      </c>
      <c r="E25" s="508" t="e">
        <f>'CONTRACTUAL - PAY'!E26</f>
        <v>#VALUE!</v>
      </c>
      <c r="F25" s="502">
        <f>'CONTRACTUAL - PAY'!L26</f>
        <v>0</v>
      </c>
      <c r="G25" s="498">
        <f>ROUND('CONTRACTUAL - PAY'!I26*0.09,2)</f>
        <v>0</v>
      </c>
      <c r="H25" s="507"/>
      <c r="I25" s="507"/>
      <c r="J25" s="507"/>
      <c r="K25" s="507"/>
      <c r="L25" s="507"/>
      <c r="M25" s="507"/>
      <c r="N25" s="507"/>
      <c r="O25" s="507"/>
      <c r="P25" s="507"/>
      <c r="Q25" s="507"/>
      <c r="R25" s="557">
        <f t="shared" si="1"/>
        <v>0</v>
      </c>
      <c r="S25" s="525"/>
      <c r="T25" s="526"/>
      <c r="U25" s="507"/>
      <c r="V25" s="507"/>
      <c r="W25" s="507"/>
      <c r="X25" s="503">
        <f t="shared" si="2"/>
        <v>0</v>
      </c>
      <c r="Y25" s="502">
        <f>MIN(ROUNDDOWN('CONTRACTUAL - PAY'!I26*0.05/2,2),2500)</f>
        <v>0</v>
      </c>
      <c r="Z25" s="525"/>
      <c r="AA25" s="526"/>
      <c r="AB25" s="507"/>
      <c r="AC25" s="507"/>
      <c r="AD25" s="507"/>
      <c r="AE25" s="496">
        <f t="shared" si="3"/>
        <v>0</v>
      </c>
      <c r="AF25" s="553">
        <f t="shared" si="4"/>
        <v>0</v>
      </c>
    </row>
    <row r="26" spans="1:33" ht="18.75" customHeight="1" x14ac:dyDescent="0.25">
      <c r="A26" s="432"/>
      <c r="B26" s="556">
        <f t="shared" si="0"/>
        <v>1</v>
      </c>
      <c r="C26" s="509">
        <f>'CONTRACTUAL - PAY'!C27</f>
        <v>0</v>
      </c>
      <c r="D26" s="509" t="e">
        <f>'CONTRACTUAL - PAY'!D27</f>
        <v>#N/A</v>
      </c>
      <c r="E26" s="508">
        <f>'CONTRACTUAL - PAY'!E27</f>
        <v>0</v>
      </c>
      <c r="F26" s="502">
        <f>'CONTRACTUAL - PAY'!L27</f>
        <v>0</v>
      </c>
      <c r="G26" s="498">
        <f>ROUND('CONTRACTUAL - PAY'!I27*0.09,2)</f>
        <v>0</v>
      </c>
      <c r="H26" s="507"/>
      <c r="I26" s="507"/>
      <c r="J26" s="507"/>
      <c r="K26" s="507"/>
      <c r="L26" s="507"/>
      <c r="M26" s="507"/>
      <c r="N26" s="507"/>
      <c r="O26" s="507"/>
      <c r="P26" s="507"/>
      <c r="Q26" s="507"/>
      <c r="R26" s="557">
        <f t="shared" si="1"/>
        <v>0</v>
      </c>
      <c r="S26" s="525"/>
      <c r="T26" s="526"/>
      <c r="U26" s="507"/>
      <c r="V26" s="507"/>
      <c r="W26" s="507"/>
      <c r="X26" s="503">
        <f t="shared" si="2"/>
        <v>0</v>
      </c>
      <c r="Y26" s="502">
        <f>MIN(ROUNDDOWN('CONTRACTUAL - PAY'!I27*0.05/2,2),2500)</f>
        <v>0</v>
      </c>
      <c r="Z26" s="525"/>
      <c r="AA26" s="526"/>
      <c r="AB26" s="507"/>
      <c r="AC26" s="507"/>
      <c r="AD26" s="507"/>
      <c r="AE26" s="496">
        <f t="shared" si="3"/>
        <v>0</v>
      </c>
      <c r="AF26" s="553">
        <f t="shared" si="4"/>
        <v>0</v>
      </c>
    </row>
    <row r="27" spans="1:33" ht="18.75" customHeight="1" x14ac:dyDescent="0.25">
      <c r="A27" s="432"/>
      <c r="B27" s="556" t="e">
        <f t="shared" si="0"/>
        <v>#VALUE!</v>
      </c>
      <c r="C27" s="509" t="e">
        <f>'CONTRACTUAL - PAY'!C28</f>
        <v>#VALUE!</v>
      </c>
      <c r="D27" s="509" t="e">
        <f>'CONTRACTUAL - PAY'!D28</f>
        <v>#VALUE!</v>
      </c>
      <c r="E27" s="508" t="e">
        <f>'CONTRACTUAL - PAY'!E28</f>
        <v>#VALUE!</v>
      </c>
      <c r="F27" s="502">
        <f>'CONTRACTUAL - PAY'!L28</f>
        <v>0</v>
      </c>
      <c r="G27" s="498">
        <f>ROUND('CONTRACTUAL - PAY'!I28*0.09,2)</f>
        <v>0</v>
      </c>
      <c r="H27" s="507"/>
      <c r="I27" s="507"/>
      <c r="J27" s="507"/>
      <c r="K27" s="507"/>
      <c r="L27" s="507"/>
      <c r="M27" s="507"/>
      <c r="N27" s="507"/>
      <c r="O27" s="507"/>
      <c r="P27" s="507"/>
      <c r="Q27" s="507"/>
      <c r="R27" s="557">
        <f t="shared" si="1"/>
        <v>0</v>
      </c>
      <c r="S27" s="525"/>
      <c r="T27" s="526"/>
      <c r="U27" s="507"/>
      <c r="V27" s="507"/>
      <c r="W27" s="507"/>
      <c r="X27" s="503">
        <f t="shared" si="2"/>
        <v>0</v>
      </c>
      <c r="Y27" s="502">
        <f>MIN(ROUNDDOWN('CONTRACTUAL - PAY'!I28*0.05/2,2),2500)</f>
        <v>0</v>
      </c>
      <c r="Z27" s="525"/>
      <c r="AA27" s="526"/>
      <c r="AB27" s="507"/>
      <c r="AC27" s="507"/>
      <c r="AD27" s="507"/>
      <c r="AE27" s="496">
        <f t="shared" si="3"/>
        <v>0</v>
      </c>
      <c r="AF27" s="553">
        <f t="shared" si="4"/>
        <v>0</v>
      </c>
    </row>
    <row r="28" spans="1:33" ht="18.75" customHeight="1" x14ac:dyDescent="0.25">
      <c r="A28" s="432"/>
      <c r="B28" s="556">
        <f t="shared" si="0"/>
        <v>1</v>
      </c>
      <c r="C28" s="509">
        <f>'CONTRACTUAL - PAY'!C29</f>
        <v>0</v>
      </c>
      <c r="D28" s="509" t="e">
        <f>'CONTRACTUAL - PAY'!D29</f>
        <v>#N/A</v>
      </c>
      <c r="E28" s="508">
        <f>'CONTRACTUAL - PAY'!E29</f>
        <v>0</v>
      </c>
      <c r="F28" s="502">
        <f>'CONTRACTUAL - PAY'!L29</f>
        <v>0</v>
      </c>
      <c r="G28" s="498">
        <f>ROUND('CONTRACTUAL - PAY'!I29*0.09,2)</f>
        <v>0</v>
      </c>
      <c r="H28" s="507"/>
      <c r="I28" s="507"/>
      <c r="J28" s="507"/>
      <c r="K28" s="507"/>
      <c r="L28" s="507"/>
      <c r="M28" s="507"/>
      <c r="N28" s="507"/>
      <c r="O28" s="507"/>
      <c r="P28" s="507"/>
      <c r="Q28" s="507"/>
      <c r="R28" s="557">
        <f t="shared" si="1"/>
        <v>0</v>
      </c>
      <c r="S28" s="525"/>
      <c r="T28" s="526"/>
      <c r="U28" s="507"/>
      <c r="V28" s="507"/>
      <c r="W28" s="507"/>
      <c r="X28" s="503">
        <f t="shared" si="2"/>
        <v>0</v>
      </c>
      <c r="Y28" s="502">
        <f>MIN(ROUNDDOWN('CONTRACTUAL - PAY'!I29*0.05/2,2),2500)</f>
        <v>0</v>
      </c>
      <c r="Z28" s="525"/>
      <c r="AA28" s="526"/>
      <c r="AB28" s="507"/>
      <c r="AC28" s="507"/>
      <c r="AD28" s="507"/>
      <c r="AE28" s="496">
        <f t="shared" si="3"/>
        <v>0</v>
      </c>
      <c r="AF28" s="553">
        <f t="shared" si="4"/>
        <v>0</v>
      </c>
    </row>
    <row r="29" spans="1:33" ht="18.75" customHeight="1" x14ac:dyDescent="0.25">
      <c r="A29" s="432"/>
      <c r="B29" s="556">
        <f t="shared" si="0"/>
        <v>1</v>
      </c>
      <c r="C29" s="509">
        <f>'CONTRACTUAL - PAY'!C30</f>
        <v>0</v>
      </c>
      <c r="D29" s="509" t="e">
        <f>'CONTRACTUAL - PAY'!D30</f>
        <v>#N/A</v>
      </c>
      <c r="E29" s="508">
        <f>'CONTRACTUAL - PAY'!E30</f>
        <v>0</v>
      </c>
      <c r="F29" s="502">
        <f>'CONTRACTUAL - PAY'!L30</f>
        <v>0</v>
      </c>
      <c r="G29" s="498">
        <f>ROUND('CONTRACTUAL - PAY'!I30*0.09,2)</f>
        <v>0</v>
      </c>
      <c r="H29" s="507"/>
      <c r="I29" s="507"/>
      <c r="J29" s="507"/>
      <c r="K29" s="507"/>
      <c r="L29" s="507"/>
      <c r="M29" s="507"/>
      <c r="N29" s="507"/>
      <c r="O29" s="507"/>
      <c r="P29" s="507"/>
      <c r="Q29" s="507"/>
      <c r="R29" s="557">
        <f t="shared" si="1"/>
        <v>0</v>
      </c>
      <c r="S29" s="525"/>
      <c r="T29" s="526"/>
      <c r="U29" s="507"/>
      <c r="V29" s="507"/>
      <c r="W29" s="507"/>
      <c r="X29" s="503">
        <f t="shared" si="2"/>
        <v>0</v>
      </c>
      <c r="Y29" s="502">
        <f>MIN(ROUNDDOWN('CONTRACTUAL - PAY'!I30*0.05/2,2),2500)</f>
        <v>0</v>
      </c>
      <c r="Z29" s="525"/>
      <c r="AA29" s="526"/>
      <c r="AB29" s="507"/>
      <c r="AC29" s="507"/>
      <c r="AD29" s="507"/>
      <c r="AE29" s="496">
        <f t="shared" si="3"/>
        <v>0</v>
      </c>
      <c r="AF29" s="553">
        <f t="shared" si="4"/>
        <v>0</v>
      </c>
    </row>
    <row r="30" spans="1:33" ht="18.75" customHeight="1" x14ac:dyDescent="0.25">
      <c r="A30" s="432"/>
      <c r="B30" s="556">
        <f t="shared" si="0"/>
        <v>1</v>
      </c>
      <c r="C30" s="509">
        <f>'CONTRACTUAL - PAY'!C31</f>
        <v>0</v>
      </c>
      <c r="D30" s="509" t="e">
        <f>'CONTRACTUAL - PAY'!D31</f>
        <v>#N/A</v>
      </c>
      <c r="E30" s="508">
        <f>'CONTRACTUAL - PAY'!E31</f>
        <v>0</v>
      </c>
      <c r="F30" s="502">
        <f>'CONTRACTUAL - PAY'!L31</f>
        <v>0</v>
      </c>
      <c r="G30" s="498">
        <f>ROUND('CONTRACTUAL - PAY'!I31*0.09,2)</f>
        <v>0</v>
      </c>
      <c r="H30" s="507"/>
      <c r="I30" s="507"/>
      <c r="J30" s="507"/>
      <c r="K30" s="507"/>
      <c r="L30" s="507"/>
      <c r="M30" s="507"/>
      <c r="N30" s="507"/>
      <c r="O30" s="507"/>
      <c r="P30" s="507"/>
      <c r="Q30" s="507"/>
      <c r="R30" s="557">
        <f t="shared" si="1"/>
        <v>0</v>
      </c>
      <c r="S30" s="525"/>
      <c r="T30" s="526"/>
      <c r="U30" s="507"/>
      <c r="V30" s="507"/>
      <c r="W30" s="507"/>
      <c r="X30" s="503">
        <f t="shared" si="2"/>
        <v>0</v>
      </c>
      <c r="Y30" s="502">
        <f>MIN(ROUNDDOWN('CONTRACTUAL - PAY'!I31*0.05/2,2),2500)</f>
        <v>0</v>
      </c>
      <c r="Z30" s="525"/>
      <c r="AA30" s="526"/>
      <c r="AB30" s="507"/>
      <c r="AC30" s="507"/>
      <c r="AD30" s="507"/>
      <c r="AE30" s="496">
        <f t="shared" si="3"/>
        <v>0</v>
      </c>
      <c r="AF30" s="553">
        <f t="shared" si="4"/>
        <v>0</v>
      </c>
    </row>
    <row r="31" spans="1:33" ht="18.75" customHeight="1" x14ac:dyDescent="0.25">
      <c r="A31" s="432"/>
      <c r="B31" s="556">
        <f t="shared" si="0"/>
        <v>2</v>
      </c>
      <c r="C31" s="509">
        <f>'CONTRACTUAL - PAY'!C32</f>
        <v>0</v>
      </c>
      <c r="D31" s="509" t="e">
        <f>'CONTRACTUAL - PAY'!D32</f>
        <v>#N/A</v>
      </c>
      <c r="E31" s="508">
        <f>'CONTRACTUAL - PAY'!E32</f>
        <v>0</v>
      </c>
      <c r="F31" s="502">
        <f>'CONTRACTUAL - PAY'!L32</f>
        <v>0</v>
      </c>
      <c r="G31" s="498">
        <f>ROUND('CONTRACTUAL - PAY'!I32*0.09,2)</f>
        <v>0</v>
      </c>
      <c r="H31" s="507"/>
      <c r="I31" s="507"/>
      <c r="J31" s="507"/>
      <c r="K31" s="507"/>
      <c r="L31" s="507"/>
      <c r="M31" s="507"/>
      <c r="N31" s="507"/>
      <c r="O31" s="507"/>
      <c r="P31" s="507"/>
      <c r="Q31" s="507"/>
      <c r="R31" s="557">
        <f t="shared" si="1"/>
        <v>0</v>
      </c>
      <c r="S31" s="525"/>
      <c r="T31" s="526"/>
      <c r="U31" s="507"/>
      <c r="V31" s="507"/>
      <c r="W31" s="507"/>
      <c r="X31" s="503">
        <f t="shared" si="2"/>
        <v>0</v>
      </c>
      <c r="Y31" s="502">
        <f>MIN(ROUNDDOWN('CONTRACTUAL - PAY'!I32*0.05/2,2),2500)</f>
        <v>0</v>
      </c>
      <c r="Z31" s="525"/>
      <c r="AA31" s="526"/>
      <c r="AB31" s="507"/>
      <c r="AC31" s="507"/>
      <c r="AD31" s="507"/>
      <c r="AE31" s="496">
        <f t="shared" si="3"/>
        <v>0</v>
      </c>
      <c r="AF31" s="553">
        <f t="shared" si="4"/>
        <v>0</v>
      </c>
    </row>
    <row r="32" spans="1:33" ht="18.75" customHeight="1" x14ac:dyDescent="0.25">
      <c r="A32" s="432"/>
      <c r="B32" s="556">
        <f>+B21+1</f>
        <v>3</v>
      </c>
      <c r="C32" s="509">
        <f>'CONTRACTUAL - PAY'!C33</f>
        <v>0</v>
      </c>
      <c r="D32" s="509" t="e">
        <f>'CONTRACTUAL - PAY'!D33</f>
        <v>#N/A</v>
      </c>
      <c r="E32" s="508">
        <f>'CONTRACTUAL - PAY'!E33</f>
        <v>0</v>
      </c>
      <c r="F32" s="502">
        <f>'CONTRACTUAL - PAY'!L33</f>
        <v>0</v>
      </c>
      <c r="G32" s="498">
        <f>ROUND('CONTRACTUAL - PAY'!I33*0.09,2)</f>
        <v>0</v>
      </c>
      <c r="H32" s="507"/>
      <c r="I32" s="507"/>
      <c r="J32" s="507"/>
      <c r="K32" s="507"/>
      <c r="L32" s="507"/>
      <c r="M32" s="507"/>
      <c r="N32" s="507"/>
      <c r="O32" s="507"/>
      <c r="P32" s="507"/>
      <c r="Q32" s="507"/>
      <c r="R32" s="557">
        <f>SUM(G32:Q32)</f>
        <v>0</v>
      </c>
      <c r="S32" s="525"/>
      <c r="T32" s="526"/>
      <c r="U32" s="507"/>
      <c r="V32" s="507"/>
      <c r="W32" s="507"/>
      <c r="X32" s="503">
        <f>SUM(S32:W32)</f>
        <v>0</v>
      </c>
      <c r="Y32" s="502">
        <f>MIN(ROUNDDOWN('CONTRACTUAL - PAY'!I33*0.05/2,2),2500)</f>
        <v>0</v>
      </c>
      <c r="Z32" s="525"/>
      <c r="AA32" s="526"/>
      <c r="AB32" s="507"/>
      <c r="AC32" s="507"/>
      <c r="AD32" s="507"/>
      <c r="AE32" s="496">
        <f>SUM(Z32:AD32)</f>
        <v>0</v>
      </c>
      <c r="AF32" s="553">
        <f>SUM(F32,R32,X32,Y32,AE32)</f>
        <v>0</v>
      </c>
    </row>
    <row r="33" spans="1:32" ht="18.75" customHeight="1" x14ac:dyDescent="0.25">
      <c r="A33" s="432"/>
      <c r="B33" s="556"/>
      <c r="C33" s="485"/>
      <c r="D33" s="485"/>
      <c r="E33" s="476"/>
      <c r="F33" s="490"/>
      <c r="G33" s="488"/>
      <c r="H33" s="494"/>
      <c r="I33" s="494"/>
      <c r="J33" s="494"/>
      <c r="K33" s="494"/>
      <c r="L33" s="494"/>
      <c r="M33" s="494"/>
      <c r="N33" s="494"/>
      <c r="O33" s="494"/>
      <c r="P33" s="494"/>
      <c r="Q33" s="494"/>
      <c r="R33" s="486"/>
      <c r="S33" s="495"/>
      <c r="T33" s="555"/>
      <c r="U33" s="494"/>
      <c r="V33" s="494"/>
      <c r="W33" s="494"/>
      <c r="X33" s="491"/>
      <c r="Y33" s="490"/>
      <c r="Z33" s="495"/>
      <c r="AA33" s="555"/>
      <c r="AB33" s="494"/>
      <c r="AC33" s="494"/>
      <c r="AD33" s="494"/>
      <c r="AE33" s="554"/>
      <c r="AF33" s="553">
        <f>SUM(F33,R33,X33,Y33,AE33)</f>
        <v>0</v>
      </c>
    </row>
    <row r="34" spans="1:32" ht="18.75" customHeight="1" thickBot="1" x14ac:dyDescent="0.3">
      <c r="A34" s="432"/>
      <c r="B34" s="552"/>
      <c r="C34" s="552"/>
      <c r="D34" s="552"/>
      <c r="E34" s="551"/>
      <c r="F34" s="544">
        <f t="shared" ref="F34:AF34" si="5">SUM(F20:F33)</f>
        <v>0</v>
      </c>
      <c r="G34" s="550">
        <f t="shared" si="5"/>
        <v>0</v>
      </c>
      <c r="H34" s="546">
        <f t="shared" si="5"/>
        <v>0</v>
      </c>
      <c r="I34" s="546">
        <f t="shared" si="5"/>
        <v>0</v>
      </c>
      <c r="J34" s="546">
        <f t="shared" si="5"/>
        <v>0</v>
      </c>
      <c r="K34" s="546">
        <f t="shared" si="5"/>
        <v>0</v>
      </c>
      <c r="L34" s="546">
        <f t="shared" si="5"/>
        <v>0</v>
      </c>
      <c r="M34" s="546">
        <f t="shared" si="5"/>
        <v>0</v>
      </c>
      <c r="N34" s="546">
        <f t="shared" si="5"/>
        <v>0</v>
      </c>
      <c r="O34" s="546">
        <f t="shared" si="5"/>
        <v>0</v>
      </c>
      <c r="P34" s="546">
        <f t="shared" si="5"/>
        <v>0</v>
      </c>
      <c r="Q34" s="546">
        <f t="shared" si="5"/>
        <v>0</v>
      </c>
      <c r="R34" s="549">
        <f t="shared" si="5"/>
        <v>0</v>
      </c>
      <c r="S34" s="548">
        <f t="shared" si="5"/>
        <v>0</v>
      </c>
      <c r="T34" s="547">
        <f t="shared" si="5"/>
        <v>0</v>
      </c>
      <c r="U34" s="546">
        <f t="shared" si="5"/>
        <v>0</v>
      </c>
      <c r="V34" s="546">
        <f t="shared" si="5"/>
        <v>0</v>
      </c>
      <c r="W34" s="546">
        <f t="shared" si="5"/>
        <v>0</v>
      </c>
      <c r="X34" s="545">
        <f t="shared" si="5"/>
        <v>0</v>
      </c>
      <c r="Y34" s="544">
        <f t="shared" si="5"/>
        <v>0</v>
      </c>
      <c r="Z34" s="548">
        <f t="shared" si="5"/>
        <v>0</v>
      </c>
      <c r="AA34" s="547">
        <f t="shared" si="5"/>
        <v>0</v>
      </c>
      <c r="AB34" s="546">
        <f t="shared" si="5"/>
        <v>0</v>
      </c>
      <c r="AC34" s="546">
        <f t="shared" si="5"/>
        <v>0</v>
      </c>
      <c r="AD34" s="546">
        <f t="shared" si="5"/>
        <v>0</v>
      </c>
      <c r="AE34" s="545">
        <f t="shared" si="5"/>
        <v>0</v>
      </c>
      <c r="AF34" s="544">
        <f t="shared" si="5"/>
        <v>0</v>
      </c>
    </row>
    <row r="36" spans="1:32" x14ac:dyDescent="0.25">
      <c r="AF36" s="388"/>
    </row>
    <row r="37" spans="1:32" x14ac:dyDescent="0.25">
      <c r="C37" s="678" t="s">
        <v>47</v>
      </c>
      <c r="D37" s="678"/>
    </row>
    <row r="38" spans="1:32" x14ac:dyDescent="0.25">
      <c r="C38" s="669" t="s">
        <v>93</v>
      </c>
      <c r="D38" s="669"/>
    </row>
    <row r="40" spans="1:32" x14ac:dyDescent="0.25">
      <c r="C40" s="433"/>
    </row>
  </sheetData>
  <mergeCells count="48">
    <mergeCell ref="B8:AF8"/>
    <mergeCell ref="B9:AF9"/>
    <mergeCell ref="B10:AF10"/>
    <mergeCell ref="D11:D13"/>
    <mergeCell ref="AE2:AF2"/>
    <mergeCell ref="B3:AF3"/>
    <mergeCell ref="B4:AF4"/>
    <mergeCell ref="B5:AF5"/>
    <mergeCell ref="B6:AF6"/>
    <mergeCell ref="B12:C12"/>
    <mergeCell ref="AD12:AF12"/>
    <mergeCell ref="B16:B18"/>
    <mergeCell ref="C16:C18"/>
    <mergeCell ref="D16:D18"/>
    <mergeCell ref="E16:E18"/>
    <mergeCell ref="F16:F18"/>
    <mergeCell ref="S16:X16"/>
    <mergeCell ref="Y16:Y18"/>
    <mergeCell ref="Z16:AE16"/>
    <mergeCell ref="B14:Z14"/>
    <mergeCell ref="AF16:AF18"/>
    <mergeCell ref="G17:G18"/>
    <mergeCell ref="H17:H18"/>
    <mergeCell ref="I17:I18"/>
    <mergeCell ref="J17:J18"/>
    <mergeCell ref="K17:K18"/>
    <mergeCell ref="L17:L18"/>
    <mergeCell ref="G16:R16"/>
    <mergeCell ref="M17:M18"/>
    <mergeCell ref="N17:N18"/>
    <mergeCell ref="AD17:AD18"/>
    <mergeCell ref="AE17:AE18"/>
    <mergeCell ref="C38:D38"/>
    <mergeCell ref="W17:W18"/>
    <mergeCell ref="X17:X18"/>
    <mergeCell ref="Z17:Z18"/>
    <mergeCell ref="AA17:AA18"/>
    <mergeCell ref="O17:O18"/>
    <mergeCell ref="P17:P18"/>
    <mergeCell ref="C37:D37"/>
    <mergeCell ref="AB17:AB18"/>
    <mergeCell ref="AC17:AC18"/>
    <mergeCell ref="Q17:Q18"/>
    <mergeCell ref="R17:R18"/>
    <mergeCell ref="S17:S18"/>
    <mergeCell ref="T17:T18"/>
    <mergeCell ref="U17:U18"/>
    <mergeCell ref="V17:V18"/>
  </mergeCells>
  <printOptions horizontalCentered="1"/>
  <pageMargins left="0.39370078740157483" right="0.39370078740157483" top="0.39370078740157483" bottom="0.19685039370078741" header="0" footer="0.19685039370078741"/>
  <pageSetup paperSize="14" scale="41" fitToHeight="0" orientation="landscape" r:id="rId1"/>
  <headerFooter alignWithMargins="0">
    <oddHeader>&amp;R
&amp;16Sheet &amp;"Times New Roman,Bold"&amp;U&amp;P&amp;"Times New Roman,Regular"&amp;U of &amp;"Times New Roman,Bold"&amp;U&amp;N&amp;"Times New Roman,Regular"&amp;U Sheets</oddHead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41</vt:i4>
      </vt:variant>
      <vt:variant>
        <vt:lpstr>Named Ranges</vt:lpstr>
      </vt:variant>
      <vt:variant>
        <vt:i4>53</vt:i4>
      </vt:variant>
    </vt:vector>
  </HeadingPairs>
  <TitlesOfParts>
    <vt:vector size="94" baseType="lpstr">
      <vt:lpstr>Payroll</vt:lpstr>
      <vt:lpstr>SUMMARY</vt:lpstr>
      <vt:lpstr>WTAX-GEN.AD</vt:lpstr>
      <vt:lpstr>GEN.AD - PAY</vt:lpstr>
      <vt:lpstr>GEN.AD - DEDS</vt:lpstr>
      <vt:lpstr>WTAX-AUX</vt:lpstr>
      <vt:lpstr>AUX - PAY</vt:lpstr>
      <vt:lpstr>AUX - DEDS</vt:lpstr>
      <vt:lpstr>WTAX-CEN</vt:lpstr>
      <vt:lpstr>CEN - PAY</vt:lpstr>
      <vt:lpstr>CEN - DEDS</vt:lpstr>
      <vt:lpstr>WTAX-CIT</vt:lpstr>
      <vt:lpstr>CIT - PAY</vt:lpstr>
      <vt:lpstr>CIT - DEDS</vt:lpstr>
      <vt:lpstr>WTAX-CBPA</vt:lpstr>
      <vt:lpstr>CBPA - PAY</vt:lpstr>
      <vt:lpstr>CBPA - DEDS</vt:lpstr>
      <vt:lpstr>WTAX-CAS</vt:lpstr>
      <vt:lpstr>CAS - PAY</vt:lpstr>
      <vt:lpstr>CAS - DEDS</vt:lpstr>
      <vt:lpstr>WTAX-CAFA</vt:lpstr>
      <vt:lpstr>CAFA - PAY</vt:lpstr>
      <vt:lpstr>CAFA - DEDS</vt:lpstr>
      <vt:lpstr>WTAX-CED</vt:lpstr>
      <vt:lpstr>CED - PAY</vt:lpstr>
      <vt:lpstr>CED - DEDS</vt:lpstr>
      <vt:lpstr>WTAX-PE</vt:lpstr>
      <vt:lpstr>PE - PAY</vt:lpstr>
      <vt:lpstr>PE - DEDS</vt:lpstr>
      <vt:lpstr>WTAX-RESEARCH</vt:lpstr>
      <vt:lpstr>RESEARCH - PAY</vt:lpstr>
      <vt:lpstr>RESEARCH - DEDS</vt:lpstr>
      <vt:lpstr>WTAX-EXTENSION</vt:lpstr>
      <vt:lpstr>EXTENSION - PAY</vt:lpstr>
      <vt:lpstr>EXTENSION - DEDS</vt:lpstr>
      <vt:lpstr>WTAX-TEMPO</vt:lpstr>
      <vt:lpstr>TEMPO - PAY</vt:lpstr>
      <vt:lpstr>TEMPO - DEDS</vt:lpstr>
      <vt:lpstr>WTAX-CONTRACTUAL</vt:lpstr>
      <vt:lpstr>CONTRACTUAL - PAY</vt:lpstr>
      <vt:lpstr>CONTRACTUAL - DEDS</vt:lpstr>
      <vt:lpstr>'AUX - DEDS'!Print_Area</vt:lpstr>
      <vt:lpstr>'AUX - PAY'!Print_Area</vt:lpstr>
      <vt:lpstr>'CAFA - DEDS'!Print_Area</vt:lpstr>
      <vt:lpstr>'CAFA - PAY'!Print_Area</vt:lpstr>
      <vt:lpstr>'CAS - DEDS'!Print_Area</vt:lpstr>
      <vt:lpstr>'CAS - PAY'!Print_Area</vt:lpstr>
      <vt:lpstr>'CBPA - DEDS'!Print_Area</vt:lpstr>
      <vt:lpstr>'CBPA - PAY'!Print_Area</vt:lpstr>
      <vt:lpstr>'CED - DEDS'!Print_Area</vt:lpstr>
      <vt:lpstr>'CED - PAY'!Print_Area</vt:lpstr>
      <vt:lpstr>'CEN - DEDS'!Print_Area</vt:lpstr>
      <vt:lpstr>'CEN - PAY'!Print_Area</vt:lpstr>
      <vt:lpstr>'CIT - DEDS'!Print_Area</vt:lpstr>
      <vt:lpstr>'CIT - PAY'!Print_Area</vt:lpstr>
      <vt:lpstr>'CONTRACTUAL - DEDS'!Print_Area</vt:lpstr>
      <vt:lpstr>'CONTRACTUAL - PAY'!Print_Area</vt:lpstr>
      <vt:lpstr>'EXTENSION - DEDS'!Print_Area</vt:lpstr>
      <vt:lpstr>'EXTENSION - PAY'!Print_Area</vt:lpstr>
      <vt:lpstr>'GEN.AD - DEDS'!Print_Area</vt:lpstr>
      <vt:lpstr>'GEN.AD - PAY'!Print_Area</vt:lpstr>
      <vt:lpstr>Payroll!Print_Area</vt:lpstr>
      <vt:lpstr>'PE - DEDS'!Print_Area</vt:lpstr>
      <vt:lpstr>'PE - PAY'!Print_Area</vt:lpstr>
      <vt:lpstr>'RESEARCH - DEDS'!Print_Area</vt:lpstr>
      <vt:lpstr>'RESEARCH - PAY'!Print_Area</vt:lpstr>
      <vt:lpstr>'TEMPO - DEDS'!Print_Area</vt:lpstr>
      <vt:lpstr>'TEMPO - PAY'!Print_Area</vt:lpstr>
      <vt:lpstr>'AUX - DEDS'!Print_Titles</vt:lpstr>
      <vt:lpstr>'AUX - PAY'!Print_Titles</vt:lpstr>
      <vt:lpstr>'CAFA - DEDS'!Print_Titles</vt:lpstr>
      <vt:lpstr>'CAFA - PAY'!Print_Titles</vt:lpstr>
      <vt:lpstr>'CAS - DEDS'!Print_Titles</vt:lpstr>
      <vt:lpstr>'CAS - PAY'!Print_Titles</vt:lpstr>
      <vt:lpstr>'CBPA - DEDS'!Print_Titles</vt:lpstr>
      <vt:lpstr>'CBPA - PAY'!Print_Titles</vt:lpstr>
      <vt:lpstr>'CED - DEDS'!Print_Titles</vt:lpstr>
      <vt:lpstr>'CED - PAY'!Print_Titles</vt:lpstr>
      <vt:lpstr>'CEN - DEDS'!Print_Titles</vt:lpstr>
      <vt:lpstr>'CEN - PAY'!Print_Titles</vt:lpstr>
      <vt:lpstr>'CIT - DEDS'!Print_Titles</vt:lpstr>
      <vt:lpstr>'CIT - PAY'!Print_Titles</vt:lpstr>
      <vt:lpstr>'CONTRACTUAL - DEDS'!Print_Titles</vt:lpstr>
      <vt:lpstr>'CONTRACTUAL - PAY'!Print_Titles</vt:lpstr>
      <vt:lpstr>'EXTENSION - DEDS'!Print_Titles</vt:lpstr>
      <vt:lpstr>'EXTENSION - PAY'!Print_Titles</vt:lpstr>
      <vt:lpstr>'GEN.AD - DEDS'!Print_Titles</vt:lpstr>
      <vt:lpstr>'GEN.AD - PAY'!Print_Titles</vt:lpstr>
      <vt:lpstr>'PE - DEDS'!Print_Titles</vt:lpstr>
      <vt:lpstr>'PE - PAY'!Print_Titles</vt:lpstr>
      <vt:lpstr>'RESEARCH - DEDS'!Print_Titles</vt:lpstr>
      <vt:lpstr>'RESEARCH - PAY'!Print_Titles</vt:lpstr>
      <vt:lpstr>'TEMPO - DEDS'!Print_Titles</vt:lpstr>
      <vt:lpstr>'TEMPO - PAY'!Print_Titles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FMS</dc:creator>
  <cp:lastModifiedBy>MSOfficePro</cp:lastModifiedBy>
  <cp:lastPrinted>2026-09-10T02:15:36Z</cp:lastPrinted>
  <dcterms:created xsi:type="dcterms:W3CDTF">2002-04-17T21:54:39Z</dcterms:created>
  <dcterms:modified xsi:type="dcterms:W3CDTF">2026-09-10T04:07:29Z</dcterms:modified>
</cp:coreProperties>
</file>